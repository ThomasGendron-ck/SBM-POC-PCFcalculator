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ThomasGendron\Downloads\"/>
    </mc:Choice>
  </mc:AlternateContent>
  <xr:revisionPtr revIDLastSave="0" documentId="13_ncr:1_{4138D1FB-6346-4FE2-9378-59A0F2A95481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UserGuide" sheetId="1" r:id="rId1"/>
    <sheet name="DQR_Guide" sheetId="2" r:id="rId2"/>
    <sheet name="Product" sheetId="3" r:id="rId3"/>
    <sheet name="Component" sheetId="4" r:id="rId4"/>
  </sheets>
  <definedNames>
    <definedName name="_xlnm._FilterDatabase" localSheetId="3" hidden="1">Component!$A$2:$BC$964</definedName>
    <definedName name="_xlnm._FilterDatabase" localSheetId="2" hidden="1">Product!$A$2:$AX$219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964" i="4" l="1"/>
  <c r="AX964" i="4"/>
  <c r="BB964" i="4" s="1"/>
  <c r="AY963" i="4"/>
  <c r="AX963" i="4"/>
  <c r="BB963" i="4" s="1"/>
  <c r="AY962" i="4"/>
  <c r="AX962" i="4"/>
  <c r="BB962" i="4" s="1"/>
  <c r="AY961" i="4"/>
  <c r="AX961" i="4"/>
  <c r="BB961" i="4" s="1"/>
  <c r="BB960" i="4"/>
  <c r="AY960" i="4"/>
  <c r="AX960" i="4"/>
  <c r="AY959" i="4"/>
  <c r="AX959" i="4"/>
  <c r="BB959" i="4" s="1"/>
  <c r="AY958" i="4"/>
  <c r="AX958" i="4"/>
  <c r="BB958" i="4" s="1"/>
  <c r="AY957" i="4"/>
  <c r="AX957" i="4"/>
  <c r="BB957" i="4" s="1"/>
  <c r="AY956" i="4"/>
  <c r="AX956" i="4"/>
  <c r="BB956" i="4" s="1"/>
  <c r="BB955" i="4"/>
  <c r="AY955" i="4"/>
  <c r="AX955" i="4"/>
  <c r="AY954" i="4"/>
  <c r="AX954" i="4"/>
  <c r="BB954" i="4" s="1"/>
  <c r="AY953" i="4"/>
  <c r="AX953" i="4"/>
  <c r="BB953" i="4" s="1"/>
  <c r="BB952" i="4"/>
  <c r="AY952" i="4"/>
  <c r="AX952" i="4"/>
  <c r="AY951" i="4"/>
  <c r="AX951" i="4"/>
  <c r="BB951" i="4" s="1"/>
  <c r="AY950" i="4"/>
  <c r="AX950" i="4"/>
  <c r="BB950" i="4" s="1"/>
  <c r="AY949" i="4"/>
  <c r="AX949" i="4"/>
  <c r="BB949" i="4" s="1"/>
  <c r="AY948" i="4"/>
  <c r="AX948" i="4"/>
  <c r="BB948" i="4" s="1"/>
  <c r="AY947" i="4"/>
  <c r="AX947" i="4"/>
  <c r="BB947" i="4" s="1"/>
  <c r="AY946" i="4"/>
  <c r="AX946" i="4"/>
  <c r="BB946" i="4" s="1"/>
  <c r="AY945" i="4"/>
  <c r="AX945" i="4"/>
  <c r="BB945" i="4" s="1"/>
  <c r="AY944" i="4"/>
  <c r="AX944" i="4"/>
  <c r="BB944" i="4" s="1"/>
  <c r="AY943" i="4"/>
  <c r="AX943" i="4"/>
  <c r="BB943" i="4" s="1"/>
  <c r="AY942" i="4"/>
  <c r="AX942" i="4"/>
  <c r="BB942" i="4" s="1"/>
  <c r="AY941" i="4"/>
  <c r="AX941" i="4"/>
  <c r="BB941" i="4" s="1"/>
  <c r="AY940" i="4"/>
  <c r="AX940" i="4"/>
  <c r="BB940" i="4" s="1"/>
  <c r="AY939" i="4"/>
  <c r="AX939" i="4"/>
  <c r="BB939" i="4" s="1"/>
  <c r="AY938" i="4"/>
  <c r="AX938" i="4"/>
  <c r="BB938" i="4" s="1"/>
  <c r="AY937" i="4"/>
  <c r="AX937" i="4"/>
  <c r="BB937" i="4" s="1"/>
  <c r="AY936" i="4"/>
  <c r="AX936" i="4"/>
  <c r="BB936" i="4" s="1"/>
  <c r="AY935" i="4"/>
  <c r="AX935" i="4"/>
  <c r="BB935" i="4" s="1"/>
  <c r="AY934" i="4"/>
  <c r="AX934" i="4"/>
  <c r="BB934" i="4" s="1"/>
  <c r="AY933" i="4"/>
  <c r="AX933" i="4"/>
  <c r="BB933" i="4" s="1"/>
  <c r="AY932" i="4"/>
  <c r="AX932" i="4"/>
  <c r="BB932" i="4" s="1"/>
  <c r="AY931" i="4"/>
  <c r="AX931" i="4"/>
  <c r="BB931" i="4" s="1"/>
  <c r="AY930" i="4"/>
  <c r="AX930" i="4"/>
  <c r="BB930" i="4" s="1"/>
  <c r="AY929" i="4"/>
  <c r="AX929" i="4"/>
  <c r="BB929" i="4" s="1"/>
  <c r="AY928" i="4"/>
  <c r="AX928" i="4"/>
  <c r="BB928" i="4" s="1"/>
  <c r="AY927" i="4"/>
  <c r="AX927" i="4"/>
  <c r="BB927" i="4" s="1"/>
  <c r="AY926" i="4"/>
  <c r="AX926" i="4"/>
  <c r="BB926" i="4" s="1"/>
  <c r="AY925" i="4"/>
  <c r="AX925" i="4"/>
  <c r="BB925" i="4" s="1"/>
  <c r="AY924" i="4"/>
  <c r="AX924" i="4"/>
  <c r="BB924" i="4" s="1"/>
  <c r="AY923" i="4"/>
  <c r="AX923" i="4"/>
  <c r="BB923" i="4" s="1"/>
  <c r="AY922" i="4"/>
  <c r="AX922" i="4"/>
  <c r="BB922" i="4" s="1"/>
  <c r="AY921" i="4"/>
  <c r="AX921" i="4"/>
  <c r="BB921" i="4" s="1"/>
  <c r="AY920" i="4"/>
  <c r="AX920" i="4"/>
  <c r="BB920" i="4" s="1"/>
  <c r="AY919" i="4"/>
  <c r="AX919" i="4"/>
  <c r="BB919" i="4" s="1"/>
  <c r="AY918" i="4"/>
  <c r="AX918" i="4"/>
  <c r="BB918" i="4" s="1"/>
  <c r="AY917" i="4"/>
  <c r="AX917" i="4"/>
  <c r="BB917" i="4" s="1"/>
  <c r="AY916" i="4"/>
  <c r="AX916" i="4"/>
  <c r="BB916" i="4" s="1"/>
  <c r="BB915" i="4"/>
  <c r="AY915" i="4"/>
  <c r="AX915" i="4"/>
  <c r="AY914" i="4"/>
  <c r="AX914" i="4"/>
  <c r="BB914" i="4" s="1"/>
  <c r="AY913" i="4"/>
  <c r="AX913" i="4"/>
  <c r="BB913" i="4" s="1"/>
  <c r="BB912" i="4"/>
  <c r="AY912" i="4"/>
  <c r="AX912" i="4"/>
  <c r="AY911" i="4"/>
  <c r="AX911" i="4"/>
  <c r="BB911" i="4" s="1"/>
  <c r="AY910" i="4"/>
  <c r="AX910" i="4"/>
  <c r="BB910" i="4" s="1"/>
  <c r="AY909" i="4"/>
  <c r="AX909" i="4"/>
  <c r="BB909" i="4" s="1"/>
  <c r="AY908" i="4"/>
  <c r="AX908" i="4"/>
  <c r="BB908" i="4" s="1"/>
  <c r="AY907" i="4"/>
  <c r="AX907" i="4"/>
  <c r="BB907" i="4" s="1"/>
  <c r="AY906" i="4"/>
  <c r="AX906" i="4"/>
  <c r="BB906" i="4" s="1"/>
  <c r="AY905" i="4"/>
  <c r="AX905" i="4"/>
  <c r="BB905" i="4" s="1"/>
  <c r="AY904" i="4"/>
  <c r="AX904" i="4"/>
  <c r="BB904" i="4" s="1"/>
  <c r="AY903" i="4"/>
  <c r="AX903" i="4"/>
  <c r="BB903" i="4" s="1"/>
  <c r="AY902" i="4"/>
  <c r="AX902" i="4"/>
  <c r="BB902" i="4" s="1"/>
  <c r="BB901" i="4"/>
  <c r="AY901" i="4"/>
  <c r="AX901" i="4"/>
  <c r="AY900" i="4"/>
  <c r="AX900" i="4"/>
  <c r="BB900" i="4" s="1"/>
  <c r="AY899" i="4"/>
  <c r="AX899" i="4"/>
  <c r="BB899" i="4" s="1"/>
  <c r="AY898" i="4"/>
  <c r="AX898" i="4"/>
  <c r="BB898" i="4" s="1"/>
  <c r="AY897" i="4"/>
  <c r="AX897" i="4"/>
  <c r="BB897" i="4" s="1"/>
  <c r="BB896" i="4"/>
  <c r="AY896" i="4"/>
  <c r="AX896" i="4"/>
  <c r="AY895" i="4"/>
  <c r="AX895" i="4"/>
  <c r="BB895" i="4" s="1"/>
  <c r="AY894" i="4"/>
  <c r="AX894" i="4"/>
  <c r="BB894" i="4" s="1"/>
  <c r="AY893" i="4"/>
  <c r="AX893" i="4"/>
  <c r="BB893" i="4" s="1"/>
  <c r="AY892" i="4"/>
  <c r="AX892" i="4"/>
  <c r="BB892" i="4" s="1"/>
  <c r="AY891" i="4"/>
  <c r="AX891" i="4"/>
  <c r="BB891" i="4" s="1"/>
  <c r="AY890" i="4"/>
  <c r="AX890" i="4"/>
  <c r="BB890" i="4" s="1"/>
  <c r="AY889" i="4"/>
  <c r="AX889" i="4"/>
  <c r="BB889" i="4" s="1"/>
  <c r="AY888" i="4"/>
  <c r="AX888" i="4"/>
  <c r="BB888" i="4" s="1"/>
  <c r="AY887" i="4"/>
  <c r="AX887" i="4"/>
  <c r="BB887" i="4" s="1"/>
  <c r="AY886" i="4"/>
  <c r="AX886" i="4"/>
  <c r="BB886" i="4" s="1"/>
  <c r="BB885" i="4"/>
  <c r="AY885" i="4"/>
  <c r="AX885" i="4"/>
  <c r="AY884" i="4"/>
  <c r="AX884" i="4"/>
  <c r="BB884" i="4" s="1"/>
  <c r="AY883" i="4"/>
  <c r="AX883" i="4"/>
  <c r="BB883" i="4" s="1"/>
  <c r="AY882" i="4"/>
  <c r="AX882" i="4"/>
  <c r="BB882" i="4" s="1"/>
  <c r="AY881" i="4"/>
  <c r="AX881" i="4"/>
  <c r="BB881" i="4" s="1"/>
  <c r="AY880" i="4"/>
  <c r="AX880" i="4"/>
  <c r="BB880" i="4" s="1"/>
  <c r="BB879" i="4"/>
  <c r="AY879" i="4"/>
  <c r="AX879" i="4"/>
  <c r="AY878" i="4"/>
  <c r="AX878" i="4"/>
  <c r="BB878" i="4" s="1"/>
  <c r="AY877" i="4"/>
  <c r="AX877" i="4"/>
  <c r="BB877" i="4" s="1"/>
  <c r="BB876" i="4"/>
  <c r="AY876" i="4"/>
  <c r="AX876" i="4"/>
  <c r="BB875" i="4"/>
  <c r="AY875" i="4"/>
  <c r="AX875" i="4"/>
  <c r="AY874" i="4"/>
  <c r="AX874" i="4"/>
  <c r="BB874" i="4" s="1"/>
  <c r="AY873" i="4"/>
  <c r="AX873" i="4"/>
  <c r="BB873" i="4" s="1"/>
  <c r="AY872" i="4"/>
  <c r="AX872" i="4"/>
  <c r="BB872" i="4" s="1"/>
  <c r="AY871" i="4"/>
  <c r="AX871" i="4"/>
  <c r="BB871" i="4" s="1"/>
  <c r="AY870" i="4"/>
  <c r="AX870" i="4"/>
  <c r="BB870" i="4" s="1"/>
  <c r="AY869" i="4"/>
  <c r="AX869" i="4"/>
  <c r="BB869" i="4" s="1"/>
  <c r="BB868" i="4"/>
  <c r="AY868" i="4"/>
  <c r="AX868" i="4"/>
  <c r="AY867" i="4"/>
  <c r="AX867" i="4"/>
  <c r="BB867" i="4" s="1"/>
  <c r="AY866" i="4"/>
  <c r="AX866" i="4"/>
  <c r="BB866" i="4" s="1"/>
  <c r="AY865" i="4"/>
  <c r="AX865" i="4"/>
  <c r="BB865" i="4" s="1"/>
  <c r="AY864" i="4"/>
  <c r="AX864" i="4"/>
  <c r="BB864" i="4" s="1"/>
  <c r="AY863" i="4"/>
  <c r="AX863" i="4"/>
  <c r="BB863" i="4" s="1"/>
  <c r="AY862" i="4"/>
  <c r="AX862" i="4"/>
  <c r="BB862" i="4" s="1"/>
  <c r="BB861" i="4"/>
  <c r="AY861" i="4"/>
  <c r="AX861" i="4"/>
  <c r="AY860" i="4"/>
  <c r="AX860" i="4"/>
  <c r="BB860" i="4" s="1"/>
  <c r="AY859" i="4"/>
  <c r="AX859" i="4"/>
  <c r="BB859" i="4" s="1"/>
  <c r="AY858" i="4"/>
  <c r="AX858" i="4"/>
  <c r="BB858" i="4" s="1"/>
  <c r="AY857" i="4"/>
  <c r="AX857" i="4"/>
  <c r="BB857" i="4" s="1"/>
  <c r="AY856" i="4"/>
  <c r="AX856" i="4"/>
  <c r="BB856" i="4" s="1"/>
  <c r="BB855" i="4"/>
  <c r="AY855" i="4"/>
  <c r="AX855" i="4"/>
  <c r="AY854" i="4"/>
  <c r="AX854" i="4"/>
  <c r="BB854" i="4" s="1"/>
  <c r="AY853" i="4"/>
  <c r="AX853" i="4"/>
  <c r="BB853" i="4" s="1"/>
  <c r="BB852" i="4"/>
  <c r="AY852" i="4"/>
  <c r="AX852" i="4"/>
  <c r="AY851" i="4"/>
  <c r="AX851" i="4"/>
  <c r="BB851" i="4" s="1"/>
  <c r="AY850" i="4"/>
  <c r="AX850" i="4"/>
  <c r="BB850" i="4" s="1"/>
  <c r="AY849" i="4"/>
  <c r="AX849" i="4"/>
  <c r="BB849" i="4" s="1"/>
  <c r="AY848" i="4"/>
  <c r="AX848" i="4"/>
  <c r="BB848" i="4" s="1"/>
  <c r="AY847" i="4"/>
  <c r="AX847" i="4"/>
  <c r="BB847" i="4" s="1"/>
  <c r="AY846" i="4"/>
  <c r="AX846" i="4"/>
  <c r="BB846" i="4" s="1"/>
  <c r="AY845" i="4"/>
  <c r="AX845" i="4"/>
  <c r="BB845" i="4" s="1"/>
  <c r="BB844" i="4"/>
  <c r="AY844" i="4"/>
  <c r="AX844" i="4"/>
  <c r="AY843" i="4"/>
  <c r="AX843" i="4"/>
  <c r="BB843" i="4" s="1"/>
  <c r="AY842" i="4"/>
  <c r="AX842" i="4"/>
  <c r="BB842" i="4" s="1"/>
  <c r="AY841" i="4"/>
  <c r="AX841" i="4"/>
  <c r="BB841" i="4" s="1"/>
  <c r="AY840" i="4"/>
  <c r="AX840" i="4"/>
  <c r="BB840" i="4" s="1"/>
  <c r="AY839" i="4"/>
  <c r="AX839" i="4"/>
  <c r="BB839" i="4" s="1"/>
  <c r="AY838" i="4"/>
  <c r="AX838" i="4"/>
  <c r="BB838" i="4" s="1"/>
  <c r="BB837" i="4"/>
  <c r="AY837" i="4"/>
  <c r="AX837" i="4"/>
  <c r="AY836" i="4"/>
  <c r="AX836" i="4"/>
  <c r="BB836" i="4" s="1"/>
  <c r="AY835" i="4"/>
  <c r="AX835" i="4"/>
  <c r="BB835" i="4" s="1"/>
  <c r="AY834" i="4"/>
  <c r="AX834" i="4"/>
  <c r="BB834" i="4" s="1"/>
  <c r="AY833" i="4"/>
  <c r="AX833" i="4"/>
  <c r="BB833" i="4" s="1"/>
  <c r="AY832" i="4"/>
  <c r="AX832" i="4"/>
  <c r="BB832" i="4" s="1"/>
  <c r="BB831" i="4"/>
  <c r="AY831" i="4"/>
  <c r="AX831" i="4"/>
  <c r="AY830" i="4"/>
  <c r="AX830" i="4"/>
  <c r="BB830" i="4" s="1"/>
  <c r="AY829" i="4"/>
  <c r="AX829" i="4"/>
  <c r="BB829" i="4" s="1"/>
  <c r="BB828" i="4"/>
  <c r="AY828" i="4"/>
  <c r="AX828" i="4"/>
  <c r="AY827" i="4"/>
  <c r="AX827" i="4"/>
  <c r="BB827" i="4" s="1"/>
  <c r="AY826" i="4"/>
  <c r="AX826" i="4"/>
  <c r="BB826" i="4" s="1"/>
  <c r="AY825" i="4"/>
  <c r="AX825" i="4"/>
  <c r="BB825" i="4" s="1"/>
  <c r="BB824" i="4"/>
  <c r="AY824" i="4"/>
  <c r="AX824" i="4"/>
  <c r="AY823" i="4"/>
  <c r="AX823" i="4"/>
  <c r="BB823" i="4" s="1"/>
  <c r="AY822" i="4"/>
  <c r="AX822" i="4"/>
  <c r="BB822" i="4" s="1"/>
  <c r="BB821" i="4"/>
  <c r="AY821" i="4"/>
  <c r="AX821" i="4"/>
  <c r="AY820" i="4"/>
  <c r="AX820" i="4"/>
  <c r="BB820" i="4" s="1"/>
  <c r="AY819" i="4"/>
  <c r="AX819" i="4"/>
  <c r="BB819" i="4" s="1"/>
  <c r="AY818" i="4"/>
  <c r="AX818" i="4"/>
  <c r="BB818" i="4" s="1"/>
  <c r="AY817" i="4"/>
  <c r="AX817" i="4"/>
  <c r="BB817" i="4" s="1"/>
  <c r="AY816" i="4"/>
  <c r="AX816" i="4"/>
  <c r="BB816" i="4" s="1"/>
  <c r="BB815" i="4"/>
  <c r="AY815" i="4"/>
  <c r="AX815" i="4"/>
  <c r="AY814" i="4"/>
  <c r="AX814" i="4"/>
  <c r="BB814" i="4" s="1"/>
  <c r="AY813" i="4"/>
  <c r="AX813" i="4"/>
  <c r="BB813" i="4" s="1"/>
  <c r="AY812" i="4"/>
  <c r="AX812" i="4"/>
  <c r="BB812" i="4" s="1"/>
  <c r="AY811" i="4"/>
  <c r="AX811" i="4"/>
  <c r="BB811" i="4" s="1"/>
  <c r="AY810" i="4"/>
  <c r="AX810" i="4"/>
  <c r="BB810" i="4" s="1"/>
  <c r="AY809" i="4"/>
  <c r="AX809" i="4"/>
  <c r="BB809" i="4" s="1"/>
  <c r="AY808" i="4"/>
  <c r="AX808" i="4"/>
  <c r="BB808" i="4" s="1"/>
  <c r="BB807" i="4"/>
  <c r="AY807" i="4"/>
  <c r="AX807" i="4"/>
  <c r="AY806" i="4"/>
  <c r="AX806" i="4"/>
  <c r="BB806" i="4" s="1"/>
  <c r="AY805" i="4"/>
  <c r="AX805" i="4"/>
  <c r="BB805" i="4" s="1"/>
  <c r="AY804" i="4"/>
  <c r="AX804" i="4"/>
  <c r="BB804" i="4" s="1"/>
  <c r="AY803" i="4"/>
  <c r="AX803" i="4"/>
  <c r="BB803" i="4" s="1"/>
  <c r="AY802" i="4"/>
  <c r="AX802" i="4"/>
  <c r="BB802" i="4" s="1"/>
  <c r="AY801" i="4"/>
  <c r="AX801" i="4"/>
  <c r="BB801" i="4" s="1"/>
  <c r="AY800" i="4"/>
  <c r="AX800" i="4"/>
  <c r="BB800" i="4" s="1"/>
  <c r="AY799" i="4"/>
  <c r="AX799" i="4"/>
  <c r="BB799" i="4" s="1"/>
  <c r="AY798" i="4"/>
  <c r="AX798" i="4"/>
  <c r="BB798" i="4" s="1"/>
  <c r="BB797" i="4"/>
  <c r="AY797" i="4"/>
  <c r="AX797" i="4"/>
  <c r="AY796" i="4"/>
  <c r="AX796" i="4"/>
  <c r="BB796" i="4" s="1"/>
  <c r="AY795" i="4"/>
  <c r="AX795" i="4"/>
  <c r="BB795" i="4" s="1"/>
  <c r="AY794" i="4"/>
  <c r="AX794" i="4"/>
  <c r="BB794" i="4" s="1"/>
  <c r="AY793" i="4"/>
  <c r="AX793" i="4"/>
  <c r="BB793" i="4" s="1"/>
  <c r="AY792" i="4"/>
  <c r="AX792" i="4"/>
  <c r="BB792" i="4" s="1"/>
  <c r="AY791" i="4"/>
  <c r="AX791" i="4"/>
  <c r="BB791" i="4" s="1"/>
  <c r="AY790" i="4"/>
  <c r="AX790" i="4"/>
  <c r="BB790" i="4" s="1"/>
  <c r="AY789" i="4"/>
  <c r="AX789" i="4"/>
  <c r="BB789" i="4" s="1"/>
  <c r="AY788" i="4"/>
  <c r="AX788" i="4"/>
  <c r="BB788" i="4" s="1"/>
  <c r="AY787" i="4"/>
  <c r="AX787" i="4"/>
  <c r="BB787" i="4" s="1"/>
  <c r="AY786" i="4"/>
  <c r="AX786" i="4"/>
  <c r="BB786" i="4" s="1"/>
  <c r="AY785" i="4"/>
  <c r="AX785" i="4"/>
  <c r="BB785" i="4" s="1"/>
  <c r="AY784" i="4"/>
  <c r="AX784" i="4"/>
  <c r="BB784" i="4" s="1"/>
  <c r="AY783" i="4"/>
  <c r="AX783" i="4"/>
  <c r="BB783" i="4" s="1"/>
  <c r="AY782" i="4"/>
  <c r="AX782" i="4"/>
  <c r="BB782" i="4" s="1"/>
  <c r="AY781" i="4"/>
  <c r="AX781" i="4"/>
  <c r="BB781" i="4" s="1"/>
  <c r="AY780" i="4"/>
  <c r="AX780" i="4"/>
  <c r="BB780" i="4" s="1"/>
  <c r="AY779" i="4"/>
  <c r="AX779" i="4"/>
  <c r="BB779" i="4" s="1"/>
  <c r="AY778" i="4"/>
  <c r="AX778" i="4"/>
  <c r="BB778" i="4" s="1"/>
  <c r="AY777" i="4"/>
  <c r="AX777" i="4"/>
  <c r="BB777" i="4" s="1"/>
  <c r="AY776" i="4"/>
  <c r="AX776" i="4"/>
  <c r="BB776" i="4" s="1"/>
  <c r="AY775" i="4"/>
  <c r="AX775" i="4"/>
  <c r="BB775" i="4" s="1"/>
  <c r="AY774" i="4"/>
  <c r="AX774" i="4"/>
  <c r="BB774" i="4" s="1"/>
  <c r="AY773" i="4"/>
  <c r="AX773" i="4"/>
  <c r="BB773" i="4" s="1"/>
  <c r="AY772" i="4"/>
  <c r="AX772" i="4"/>
  <c r="BB772" i="4" s="1"/>
  <c r="AY771" i="4"/>
  <c r="AX771" i="4"/>
  <c r="BB771" i="4" s="1"/>
  <c r="AY770" i="4"/>
  <c r="AX770" i="4"/>
  <c r="BB770" i="4" s="1"/>
  <c r="AY769" i="4"/>
  <c r="AX769" i="4"/>
  <c r="BB769" i="4" s="1"/>
  <c r="AY768" i="4"/>
  <c r="AX768" i="4"/>
  <c r="BB768" i="4" s="1"/>
  <c r="AY767" i="4"/>
  <c r="AX767" i="4"/>
  <c r="BB767" i="4" s="1"/>
  <c r="AY766" i="4"/>
  <c r="AX766" i="4"/>
  <c r="BB766" i="4" s="1"/>
  <c r="AY765" i="4"/>
  <c r="AX765" i="4"/>
  <c r="BB765" i="4" s="1"/>
  <c r="BB764" i="4"/>
  <c r="AY764" i="4"/>
  <c r="AX764" i="4"/>
  <c r="AY763" i="4"/>
  <c r="AX763" i="4"/>
  <c r="BB763" i="4" s="1"/>
  <c r="AY762" i="4"/>
  <c r="AX762" i="4"/>
  <c r="BB762" i="4" s="1"/>
  <c r="AY761" i="4"/>
  <c r="AX761" i="4"/>
  <c r="BB761" i="4" s="1"/>
  <c r="AY760" i="4"/>
  <c r="AX760" i="4"/>
  <c r="BB760" i="4" s="1"/>
  <c r="AY759" i="4"/>
  <c r="AX759" i="4"/>
  <c r="BB759" i="4" s="1"/>
  <c r="AY758" i="4"/>
  <c r="AX758" i="4"/>
  <c r="BB758" i="4" s="1"/>
  <c r="AY757" i="4"/>
  <c r="AX757" i="4"/>
  <c r="BB757" i="4" s="1"/>
  <c r="AY756" i="4"/>
  <c r="AX756" i="4"/>
  <c r="BB756" i="4" s="1"/>
  <c r="AY755" i="4"/>
  <c r="AX755" i="4"/>
  <c r="BB755" i="4" s="1"/>
  <c r="AY754" i="4"/>
  <c r="AX754" i="4"/>
  <c r="BB754" i="4" s="1"/>
  <c r="AY753" i="4"/>
  <c r="AX753" i="4"/>
  <c r="BB753" i="4" s="1"/>
  <c r="AY752" i="4"/>
  <c r="AX752" i="4"/>
  <c r="BB752" i="4" s="1"/>
  <c r="AY751" i="4"/>
  <c r="AX751" i="4"/>
  <c r="BB751" i="4" s="1"/>
  <c r="AY750" i="4"/>
  <c r="AX750" i="4"/>
  <c r="BB750" i="4" s="1"/>
  <c r="AY749" i="4"/>
  <c r="AX749" i="4"/>
  <c r="BB749" i="4" s="1"/>
  <c r="BB748" i="4"/>
  <c r="AY748" i="4"/>
  <c r="AX748" i="4"/>
  <c r="AY747" i="4"/>
  <c r="AX747" i="4"/>
  <c r="BB747" i="4" s="1"/>
  <c r="AY746" i="4"/>
  <c r="AX746" i="4"/>
  <c r="BB746" i="4" s="1"/>
  <c r="AY745" i="4"/>
  <c r="AX745" i="4"/>
  <c r="BB745" i="4" s="1"/>
  <c r="AY744" i="4"/>
  <c r="AX744" i="4"/>
  <c r="BB744" i="4" s="1"/>
  <c r="AY743" i="4"/>
  <c r="AX743" i="4"/>
  <c r="BB743" i="4" s="1"/>
  <c r="AY742" i="4"/>
  <c r="AX742" i="4"/>
  <c r="BB742" i="4" s="1"/>
  <c r="AY741" i="4"/>
  <c r="AX741" i="4"/>
  <c r="BB741" i="4" s="1"/>
  <c r="AY740" i="4"/>
  <c r="AX740" i="4"/>
  <c r="BB740" i="4" s="1"/>
  <c r="AY739" i="4"/>
  <c r="AX739" i="4"/>
  <c r="BB739" i="4" s="1"/>
  <c r="AY738" i="4"/>
  <c r="AX738" i="4"/>
  <c r="BB738" i="4" s="1"/>
  <c r="AY737" i="4"/>
  <c r="AX737" i="4"/>
  <c r="BB737" i="4" s="1"/>
  <c r="AY736" i="4"/>
  <c r="AX736" i="4"/>
  <c r="BB736" i="4" s="1"/>
  <c r="AY735" i="4"/>
  <c r="AX735" i="4"/>
  <c r="BB735" i="4" s="1"/>
  <c r="AY734" i="4"/>
  <c r="AX734" i="4"/>
  <c r="BB734" i="4" s="1"/>
  <c r="AY733" i="4"/>
  <c r="AX733" i="4"/>
  <c r="BB733" i="4" s="1"/>
  <c r="AY732" i="4"/>
  <c r="AX732" i="4"/>
  <c r="BB732" i="4" s="1"/>
  <c r="AY731" i="4"/>
  <c r="AX731" i="4"/>
  <c r="BB731" i="4" s="1"/>
  <c r="AY730" i="4"/>
  <c r="AX730" i="4"/>
  <c r="BB730" i="4" s="1"/>
  <c r="AY729" i="4"/>
  <c r="AX729" i="4"/>
  <c r="BB729" i="4" s="1"/>
  <c r="AY728" i="4"/>
  <c r="AX728" i="4"/>
  <c r="BB728" i="4" s="1"/>
  <c r="AY727" i="4"/>
  <c r="AX727" i="4"/>
  <c r="BB727" i="4" s="1"/>
  <c r="AY726" i="4"/>
  <c r="AX726" i="4"/>
  <c r="BB726" i="4" s="1"/>
  <c r="AY725" i="4"/>
  <c r="AX725" i="4"/>
  <c r="BB725" i="4" s="1"/>
  <c r="AY724" i="4"/>
  <c r="AX724" i="4"/>
  <c r="BB724" i="4" s="1"/>
  <c r="AY723" i="4"/>
  <c r="AX723" i="4"/>
  <c r="BB723" i="4" s="1"/>
  <c r="AY722" i="4"/>
  <c r="AX722" i="4"/>
  <c r="BB722" i="4" s="1"/>
  <c r="AY721" i="4"/>
  <c r="AX721" i="4"/>
  <c r="BB721" i="4" s="1"/>
  <c r="AY720" i="4"/>
  <c r="AX720" i="4"/>
  <c r="BB720" i="4" s="1"/>
  <c r="AY719" i="4"/>
  <c r="AX719" i="4"/>
  <c r="BB719" i="4" s="1"/>
  <c r="AY718" i="4"/>
  <c r="AX718" i="4"/>
  <c r="BB718" i="4" s="1"/>
  <c r="AY717" i="4"/>
  <c r="AX717" i="4"/>
  <c r="BB717" i="4" s="1"/>
  <c r="AY716" i="4"/>
  <c r="AX716" i="4"/>
  <c r="BB716" i="4" s="1"/>
  <c r="AY715" i="4"/>
  <c r="AX715" i="4"/>
  <c r="BB715" i="4" s="1"/>
  <c r="AY714" i="4"/>
  <c r="AX714" i="4"/>
  <c r="BB714" i="4" s="1"/>
  <c r="AY713" i="4"/>
  <c r="AX713" i="4"/>
  <c r="BB713" i="4" s="1"/>
  <c r="AY712" i="4"/>
  <c r="AX712" i="4"/>
  <c r="BB712" i="4" s="1"/>
  <c r="AY711" i="4"/>
  <c r="AX711" i="4"/>
  <c r="BB711" i="4" s="1"/>
  <c r="AY710" i="4"/>
  <c r="AX710" i="4"/>
  <c r="BB710" i="4" s="1"/>
  <c r="AY709" i="4"/>
  <c r="AX709" i="4"/>
  <c r="BB709" i="4" s="1"/>
  <c r="AY708" i="4"/>
  <c r="AX708" i="4"/>
  <c r="BB708" i="4" s="1"/>
  <c r="BB707" i="4"/>
  <c r="AY707" i="4"/>
  <c r="AX707" i="4"/>
  <c r="AY706" i="4"/>
  <c r="AX706" i="4"/>
  <c r="BB706" i="4" s="1"/>
  <c r="AY705" i="4"/>
  <c r="AX705" i="4"/>
  <c r="BB705" i="4" s="1"/>
  <c r="AY704" i="4"/>
  <c r="AX704" i="4"/>
  <c r="BB704" i="4" s="1"/>
  <c r="AY703" i="4"/>
  <c r="AX703" i="4"/>
  <c r="BB703" i="4" s="1"/>
  <c r="AY702" i="4"/>
  <c r="AX702" i="4"/>
  <c r="BB702" i="4" s="1"/>
  <c r="AY701" i="4"/>
  <c r="AX701" i="4"/>
  <c r="BB701" i="4" s="1"/>
  <c r="BB700" i="4"/>
  <c r="AY700" i="4"/>
  <c r="AX700" i="4"/>
  <c r="AY699" i="4"/>
  <c r="AX699" i="4"/>
  <c r="BB699" i="4" s="1"/>
  <c r="AY698" i="4"/>
  <c r="AX698" i="4"/>
  <c r="BB698" i="4" s="1"/>
  <c r="AY697" i="4"/>
  <c r="AX697" i="4"/>
  <c r="BB697" i="4" s="1"/>
  <c r="AY696" i="4"/>
  <c r="AX696" i="4"/>
  <c r="BB696" i="4" s="1"/>
  <c r="AY695" i="4"/>
  <c r="AX695" i="4"/>
  <c r="BB695" i="4" s="1"/>
  <c r="AY694" i="4"/>
  <c r="AX694" i="4"/>
  <c r="BB694" i="4" s="1"/>
  <c r="AY693" i="4"/>
  <c r="AX693" i="4"/>
  <c r="BB693" i="4" s="1"/>
  <c r="AY692" i="4"/>
  <c r="AX692" i="4"/>
  <c r="BB692" i="4" s="1"/>
  <c r="BB691" i="4"/>
  <c r="AY691" i="4"/>
  <c r="AX691" i="4"/>
  <c r="AY690" i="4"/>
  <c r="AX690" i="4"/>
  <c r="BB690" i="4" s="1"/>
  <c r="AY689" i="4"/>
  <c r="AX689" i="4"/>
  <c r="BB689" i="4" s="1"/>
  <c r="AY688" i="4"/>
  <c r="AX688" i="4"/>
  <c r="BB688" i="4" s="1"/>
  <c r="AY687" i="4"/>
  <c r="AX687" i="4"/>
  <c r="BB687" i="4" s="1"/>
  <c r="AY686" i="4"/>
  <c r="AX686" i="4"/>
  <c r="BB686" i="4" s="1"/>
  <c r="AY685" i="4"/>
  <c r="AX685" i="4"/>
  <c r="BB685" i="4" s="1"/>
  <c r="AY684" i="4"/>
  <c r="AX684" i="4"/>
  <c r="BB684" i="4" s="1"/>
  <c r="AY683" i="4"/>
  <c r="AX683" i="4"/>
  <c r="BB683" i="4" s="1"/>
  <c r="AY682" i="4"/>
  <c r="AX682" i="4"/>
  <c r="BB682" i="4" s="1"/>
  <c r="AY681" i="4"/>
  <c r="AX681" i="4"/>
  <c r="BB681" i="4" s="1"/>
  <c r="AY680" i="4"/>
  <c r="AX680" i="4"/>
  <c r="BB680" i="4" s="1"/>
  <c r="AY679" i="4"/>
  <c r="AX679" i="4"/>
  <c r="BB679" i="4" s="1"/>
  <c r="AY678" i="4"/>
  <c r="AX678" i="4"/>
  <c r="BB678" i="4" s="1"/>
  <c r="AY677" i="4"/>
  <c r="AX677" i="4"/>
  <c r="BB677" i="4" s="1"/>
  <c r="AY676" i="4"/>
  <c r="AX676" i="4"/>
  <c r="BB676" i="4" s="1"/>
  <c r="AY675" i="4"/>
  <c r="AX675" i="4"/>
  <c r="BB675" i="4" s="1"/>
  <c r="AY674" i="4"/>
  <c r="AX674" i="4"/>
  <c r="BB674" i="4" s="1"/>
  <c r="AY673" i="4"/>
  <c r="AX673" i="4"/>
  <c r="BB673" i="4" s="1"/>
  <c r="AY672" i="4"/>
  <c r="AX672" i="4"/>
  <c r="BB672" i="4" s="1"/>
  <c r="AY671" i="4"/>
  <c r="AX671" i="4"/>
  <c r="BB671" i="4" s="1"/>
  <c r="AY670" i="4"/>
  <c r="AX670" i="4"/>
  <c r="BB670" i="4" s="1"/>
  <c r="AY669" i="4"/>
  <c r="AX669" i="4"/>
  <c r="BB669" i="4" s="1"/>
  <c r="BB668" i="4"/>
  <c r="AY668" i="4"/>
  <c r="AX668" i="4"/>
  <c r="AY667" i="4"/>
  <c r="AX667" i="4"/>
  <c r="BB667" i="4" s="1"/>
  <c r="AY666" i="4"/>
  <c r="AX666" i="4"/>
  <c r="BB666" i="4" s="1"/>
  <c r="AY665" i="4"/>
  <c r="AX665" i="4"/>
  <c r="BB665" i="4" s="1"/>
  <c r="AY664" i="4"/>
  <c r="AX664" i="4"/>
  <c r="BB664" i="4" s="1"/>
  <c r="AY663" i="4"/>
  <c r="AX663" i="4"/>
  <c r="BB663" i="4" s="1"/>
  <c r="AY662" i="4"/>
  <c r="AX662" i="4"/>
  <c r="BB662" i="4" s="1"/>
  <c r="BB661" i="4"/>
  <c r="AY661" i="4"/>
  <c r="AX661" i="4"/>
  <c r="AY660" i="4"/>
  <c r="AX660" i="4"/>
  <c r="BB660" i="4" s="1"/>
  <c r="AY659" i="4"/>
  <c r="AX659" i="4"/>
  <c r="BB659" i="4" s="1"/>
  <c r="AY658" i="4"/>
  <c r="AX658" i="4"/>
  <c r="BB658" i="4" s="1"/>
  <c r="AY657" i="4"/>
  <c r="AX657" i="4"/>
  <c r="BB657" i="4" s="1"/>
  <c r="AY656" i="4"/>
  <c r="AX656" i="4"/>
  <c r="BB656" i="4" s="1"/>
  <c r="BB655" i="4"/>
  <c r="AY655" i="4"/>
  <c r="AX655" i="4"/>
  <c r="AY654" i="4"/>
  <c r="AX654" i="4"/>
  <c r="BB654" i="4" s="1"/>
  <c r="AY653" i="4"/>
  <c r="AX653" i="4"/>
  <c r="BB653" i="4" s="1"/>
  <c r="BB652" i="4"/>
  <c r="AY652" i="4"/>
  <c r="AX652" i="4"/>
  <c r="AY651" i="4"/>
  <c r="AX651" i="4"/>
  <c r="BB651" i="4" s="1"/>
  <c r="AY650" i="4"/>
  <c r="AX650" i="4"/>
  <c r="BB650" i="4" s="1"/>
  <c r="AY649" i="4"/>
  <c r="AX649" i="4"/>
  <c r="BB649" i="4" s="1"/>
  <c r="BB648" i="4"/>
  <c r="AY648" i="4"/>
  <c r="AX648" i="4"/>
  <c r="AY647" i="4"/>
  <c r="AX647" i="4"/>
  <c r="BB647" i="4" s="1"/>
  <c r="AY646" i="4"/>
  <c r="AX646" i="4"/>
  <c r="BB646" i="4" s="1"/>
  <c r="BB645" i="4"/>
  <c r="AY645" i="4"/>
  <c r="AX645" i="4"/>
  <c r="AY644" i="4"/>
  <c r="AX644" i="4"/>
  <c r="BB644" i="4" s="1"/>
  <c r="AY643" i="4"/>
  <c r="AX643" i="4"/>
  <c r="BB643" i="4" s="1"/>
  <c r="AY642" i="4"/>
  <c r="AX642" i="4"/>
  <c r="BB642" i="4" s="1"/>
  <c r="AY641" i="4"/>
  <c r="AX641" i="4"/>
  <c r="BB641" i="4" s="1"/>
  <c r="AY640" i="4"/>
  <c r="AX640" i="4"/>
  <c r="BB640" i="4" s="1"/>
  <c r="AY639" i="4"/>
  <c r="AX639" i="4"/>
  <c r="BB639" i="4" s="1"/>
  <c r="AY638" i="4"/>
  <c r="AX638" i="4"/>
  <c r="BB638" i="4" s="1"/>
  <c r="AY637" i="4"/>
  <c r="AX637" i="4"/>
  <c r="BB637" i="4" s="1"/>
  <c r="BB636" i="4"/>
  <c r="AY636" i="4"/>
  <c r="AX636" i="4"/>
  <c r="AY635" i="4"/>
  <c r="AX635" i="4"/>
  <c r="BB635" i="4" s="1"/>
  <c r="AY634" i="4"/>
  <c r="AX634" i="4"/>
  <c r="BB634" i="4" s="1"/>
  <c r="AY633" i="4"/>
  <c r="AX633" i="4"/>
  <c r="BB633" i="4" s="1"/>
  <c r="AY632" i="4"/>
  <c r="AX632" i="4"/>
  <c r="BB632" i="4" s="1"/>
  <c r="BB631" i="4"/>
  <c r="AY631" i="4"/>
  <c r="AX631" i="4"/>
  <c r="AY630" i="4"/>
  <c r="AX630" i="4"/>
  <c r="BB630" i="4" s="1"/>
  <c r="AY629" i="4"/>
  <c r="AX629" i="4"/>
  <c r="BB629" i="4" s="1"/>
  <c r="AY628" i="4"/>
  <c r="AX628" i="4"/>
  <c r="BB628" i="4" s="1"/>
  <c r="AY627" i="4"/>
  <c r="AX627" i="4"/>
  <c r="BB627" i="4" s="1"/>
  <c r="AY626" i="4"/>
  <c r="AX626" i="4"/>
  <c r="BB626" i="4" s="1"/>
  <c r="AY625" i="4"/>
  <c r="AX625" i="4"/>
  <c r="BB625" i="4" s="1"/>
  <c r="AY624" i="4"/>
  <c r="AX624" i="4"/>
  <c r="BB624" i="4" s="1"/>
  <c r="BB623" i="4"/>
  <c r="AY623" i="4"/>
  <c r="AX623" i="4"/>
  <c r="AY622" i="4"/>
  <c r="AX622" i="4"/>
  <c r="BB622" i="4" s="1"/>
  <c r="AY621" i="4"/>
  <c r="AX621" i="4"/>
  <c r="BB621" i="4" s="1"/>
  <c r="BB620" i="4"/>
  <c r="AY620" i="4"/>
  <c r="AX620" i="4"/>
  <c r="AY619" i="4"/>
  <c r="AX619" i="4"/>
  <c r="BB619" i="4" s="1"/>
  <c r="AY618" i="4"/>
  <c r="AX618" i="4"/>
  <c r="BB618" i="4" s="1"/>
  <c r="AY617" i="4"/>
  <c r="AX617" i="4"/>
  <c r="BB617" i="4" s="1"/>
  <c r="BB616" i="4"/>
  <c r="AY616" i="4"/>
  <c r="AX616" i="4"/>
  <c r="BB615" i="4"/>
  <c r="AY615" i="4"/>
  <c r="AX615" i="4"/>
  <c r="AY614" i="4"/>
  <c r="AX614" i="4"/>
  <c r="BB614" i="4" s="1"/>
  <c r="AY613" i="4"/>
  <c r="AX613" i="4"/>
  <c r="BB613" i="4" s="1"/>
  <c r="AY612" i="4"/>
  <c r="AX612" i="4"/>
  <c r="BB612" i="4" s="1"/>
  <c r="AY611" i="4"/>
  <c r="AX611" i="4"/>
  <c r="BB611" i="4" s="1"/>
  <c r="AY610" i="4"/>
  <c r="AX610" i="4"/>
  <c r="BB610" i="4" s="1"/>
  <c r="AY609" i="4"/>
  <c r="AX609" i="4"/>
  <c r="BB609" i="4" s="1"/>
  <c r="AY608" i="4"/>
  <c r="AX608" i="4"/>
  <c r="BB608" i="4" s="1"/>
  <c r="AY607" i="4"/>
  <c r="AX607" i="4"/>
  <c r="BB607" i="4" s="1"/>
  <c r="AY606" i="4"/>
  <c r="AX606" i="4"/>
  <c r="BB606" i="4" s="1"/>
  <c r="AY605" i="4"/>
  <c r="AX605" i="4"/>
  <c r="BB605" i="4" s="1"/>
  <c r="AY604" i="4"/>
  <c r="AX604" i="4"/>
  <c r="BB604" i="4" s="1"/>
  <c r="AY603" i="4"/>
  <c r="AX603" i="4"/>
  <c r="BB603" i="4" s="1"/>
  <c r="AY602" i="4"/>
  <c r="AX602" i="4"/>
  <c r="BB602" i="4" s="1"/>
  <c r="AY601" i="4"/>
  <c r="AX601" i="4"/>
  <c r="BB601" i="4" s="1"/>
  <c r="BB600" i="4"/>
  <c r="AY600" i="4"/>
  <c r="AX600" i="4"/>
  <c r="AY599" i="4"/>
  <c r="AX599" i="4"/>
  <c r="BB599" i="4" s="1"/>
  <c r="AY598" i="4"/>
  <c r="AX598" i="4"/>
  <c r="BB598" i="4" s="1"/>
  <c r="AY597" i="4"/>
  <c r="AX597" i="4"/>
  <c r="BB597" i="4" s="1"/>
  <c r="AY596" i="4"/>
  <c r="AX596" i="4"/>
  <c r="BB596" i="4" s="1"/>
  <c r="AY595" i="4"/>
  <c r="AX595" i="4"/>
  <c r="BB595" i="4" s="1"/>
  <c r="AY594" i="4"/>
  <c r="AX594" i="4"/>
  <c r="BB594" i="4" s="1"/>
  <c r="AY593" i="4"/>
  <c r="AX593" i="4"/>
  <c r="BB593" i="4" s="1"/>
  <c r="AY592" i="4"/>
  <c r="AX592" i="4"/>
  <c r="BB592" i="4" s="1"/>
  <c r="AY591" i="4"/>
  <c r="AX591" i="4"/>
  <c r="BB591" i="4" s="1"/>
  <c r="AY590" i="4"/>
  <c r="AX590" i="4"/>
  <c r="BB590" i="4" s="1"/>
  <c r="AY589" i="4"/>
  <c r="AX589" i="4"/>
  <c r="BB589" i="4" s="1"/>
  <c r="AY588" i="4"/>
  <c r="AX588" i="4"/>
  <c r="BB588" i="4" s="1"/>
  <c r="AY587" i="4"/>
  <c r="AX587" i="4"/>
  <c r="BB587" i="4" s="1"/>
  <c r="AY586" i="4"/>
  <c r="AX586" i="4"/>
  <c r="BB586" i="4" s="1"/>
  <c r="AY585" i="4"/>
  <c r="AX585" i="4"/>
  <c r="BB585" i="4" s="1"/>
  <c r="AY584" i="4"/>
  <c r="AX584" i="4"/>
  <c r="BB584" i="4" s="1"/>
  <c r="AY583" i="4"/>
  <c r="AX583" i="4"/>
  <c r="BB583" i="4" s="1"/>
  <c r="AY582" i="4"/>
  <c r="AX582" i="4"/>
  <c r="BB582" i="4" s="1"/>
  <c r="BB581" i="4"/>
  <c r="AY581" i="4"/>
  <c r="AX581" i="4"/>
  <c r="AY580" i="4"/>
  <c r="AX580" i="4"/>
  <c r="BB580" i="4" s="1"/>
  <c r="AY579" i="4"/>
  <c r="AX579" i="4"/>
  <c r="BB579" i="4" s="1"/>
  <c r="AY578" i="4"/>
  <c r="AX578" i="4"/>
  <c r="BB578" i="4" s="1"/>
  <c r="AY577" i="4"/>
  <c r="AX577" i="4"/>
  <c r="BB577" i="4" s="1"/>
  <c r="AY576" i="4"/>
  <c r="AX576" i="4"/>
  <c r="BB576" i="4" s="1"/>
  <c r="AY575" i="4"/>
  <c r="AX575" i="4"/>
  <c r="BB575" i="4" s="1"/>
  <c r="AY574" i="4"/>
  <c r="AX574" i="4"/>
  <c r="BB574" i="4" s="1"/>
  <c r="AY573" i="4"/>
  <c r="AX573" i="4"/>
  <c r="BB573" i="4" s="1"/>
  <c r="AY572" i="4"/>
  <c r="AX572" i="4"/>
  <c r="BB572" i="4" s="1"/>
  <c r="AY571" i="4"/>
  <c r="AX571" i="4"/>
  <c r="BB571" i="4" s="1"/>
  <c r="AY570" i="4"/>
  <c r="AX570" i="4"/>
  <c r="BB570" i="4" s="1"/>
  <c r="AY569" i="4"/>
  <c r="AX569" i="4"/>
  <c r="BB569" i="4" s="1"/>
  <c r="AY568" i="4"/>
  <c r="AX568" i="4"/>
  <c r="BB568" i="4" s="1"/>
  <c r="AY567" i="4"/>
  <c r="AX567" i="4"/>
  <c r="BB567" i="4" s="1"/>
  <c r="AY566" i="4"/>
  <c r="AX566" i="4"/>
  <c r="BB566" i="4" s="1"/>
  <c r="AY565" i="4"/>
  <c r="AX565" i="4"/>
  <c r="BB565" i="4" s="1"/>
  <c r="AY564" i="4"/>
  <c r="AX564" i="4"/>
  <c r="BB564" i="4" s="1"/>
  <c r="AY563" i="4"/>
  <c r="AX563" i="4"/>
  <c r="BB563" i="4" s="1"/>
  <c r="AY562" i="4"/>
  <c r="AX562" i="4"/>
  <c r="BB562" i="4" s="1"/>
  <c r="AY561" i="4"/>
  <c r="AX561" i="4"/>
  <c r="BB561" i="4" s="1"/>
  <c r="AY560" i="4"/>
  <c r="AX560" i="4"/>
  <c r="BB560" i="4" s="1"/>
  <c r="AY559" i="4"/>
  <c r="AX559" i="4"/>
  <c r="BB559" i="4" s="1"/>
  <c r="AY558" i="4"/>
  <c r="AX558" i="4"/>
  <c r="BB558" i="4" s="1"/>
  <c r="AY557" i="4"/>
  <c r="AX557" i="4"/>
  <c r="BB557" i="4" s="1"/>
  <c r="AY556" i="4"/>
  <c r="AX556" i="4"/>
  <c r="BB556" i="4" s="1"/>
  <c r="AY555" i="4"/>
  <c r="AX555" i="4"/>
  <c r="BB555" i="4" s="1"/>
  <c r="AY554" i="4"/>
  <c r="AX554" i="4"/>
  <c r="BB554" i="4" s="1"/>
  <c r="AY553" i="4"/>
  <c r="AX553" i="4"/>
  <c r="BB553" i="4" s="1"/>
  <c r="AY552" i="4"/>
  <c r="AX552" i="4"/>
  <c r="BB552" i="4" s="1"/>
  <c r="AY551" i="4"/>
  <c r="AX551" i="4"/>
  <c r="BB551" i="4" s="1"/>
  <c r="AY550" i="4"/>
  <c r="AX550" i="4"/>
  <c r="BB550" i="4" s="1"/>
  <c r="AY549" i="4"/>
  <c r="AX549" i="4"/>
  <c r="BB549" i="4" s="1"/>
  <c r="AY548" i="4"/>
  <c r="AX548" i="4"/>
  <c r="BB548" i="4" s="1"/>
  <c r="AY547" i="4"/>
  <c r="AX547" i="4"/>
  <c r="BB547" i="4" s="1"/>
  <c r="AY546" i="4"/>
  <c r="AX546" i="4"/>
  <c r="BB546" i="4" s="1"/>
  <c r="AY545" i="4"/>
  <c r="AX545" i="4"/>
  <c r="BB545" i="4" s="1"/>
  <c r="BB544" i="4"/>
  <c r="AY544" i="4"/>
  <c r="AX544" i="4"/>
  <c r="AY543" i="4"/>
  <c r="AX543" i="4"/>
  <c r="BB543" i="4" s="1"/>
  <c r="AY542" i="4"/>
  <c r="AX542" i="4"/>
  <c r="BB542" i="4" s="1"/>
  <c r="AY541" i="4"/>
  <c r="AX541" i="4"/>
  <c r="BB541" i="4" s="1"/>
  <c r="AY540" i="4"/>
  <c r="AX540" i="4"/>
  <c r="BB540" i="4" s="1"/>
  <c r="AY539" i="4"/>
  <c r="AX539" i="4"/>
  <c r="BB539" i="4" s="1"/>
  <c r="AY538" i="4"/>
  <c r="AX538" i="4"/>
  <c r="BB538" i="4" s="1"/>
  <c r="AY537" i="4"/>
  <c r="AX537" i="4"/>
  <c r="BB537" i="4" s="1"/>
  <c r="AY536" i="4"/>
  <c r="AX536" i="4"/>
  <c r="BB536" i="4" s="1"/>
  <c r="AY535" i="4"/>
  <c r="AX535" i="4"/>
  <c r="BB535" i="4" s="1"/>
  <c r="AY534" i="4"/>
  <c r="AX534" i="4"/>
  <c r="BB534" i="4" s="1"/>
  <c r="AY533" i="4"/>
  <c r="AX533" i="4"/>
  <c r="BB533" i="4" s="1"/>
  <c r="AY532" i="4"/>
  <c r="AX532" i="4"/>
  <c r="BB532" i="4" s="1"/>
  <c r="BB531" i="4"/>
  <c r="AY531" i="4"/>
  <c r="AX531" i="4"/>
  <c r="AY530" i="4"/>
  <c r="AX530" i="4"/>
  <c r="BB530" i="4" s="1"/>
  <c r="AY529" i="4"/>
  <c r="AX529" i="4"/>
  <c r="BB529" i="4" s="1"/>
  <c r="AY528" i="4"/>
  <c r="AX528" i="4"/>
  <c r="BB528" i="4" s="1"/>
  <c r="AY527" i="4"/>
  <c r="AX527" i="4"/>
  <c r="BB527" i="4" s="1"/>
  <c r="AY526" i="4"/>
  <c r="AX526" i="4"/>
  <c r="BB526" i="4" s="1"/>
  <c r="AY525" i="4"/>
  <c r="AX525" i="4"/>
  <c r="BB525" i="4" s="1"/>
  <c r="AY524" i="4"/>
  <c r="AX524" i="4"/>
  <c r="BB524" i="4" s="1"/>
  <c r="AY523" i="4"/>
  <c r="AX523" i="4"/>
  <c r="BB523" i="4" s="1"/>
  <c r="AY522" i="4"/>
  <c r="AX522" i="4"/>
  <c r="BB522" i="4" s="1"/>
  <c r="AY521" i="4"/>
  <c r="AX521" i="4"/>
  <c r="BB521" i="4" s="1"/>
  <c r="AY520" i="4"/>
  <c r="AX520" i="4"/>
  <c r="BB520" i="4" s="1"/>
  <c r="AY519" i="4"/>
  <c r="AX519" i="4"/>
  <c r="BB519" i="4" s="1"/>
  <c r="AY518" i="4"/>
  <c r="AX518" i="4"/>
  <c r="BB518" i="4" s="1"/>
  <c r="AY517" i="4"/>
  <c r="AX517" i="4"/>
  <c r="BB517" i="4" s="1"/>
  <c r="AY516" i="4"/>
  <c r="AX516" i="4"/>
  <c r="BB516" i="4" s="1"/>
  <c r="AY515" i="4"/>
  <c r="AX515" i="4"/>
  <c r="BB515" i="4" s="1"/>
  <c r="AY514" i="4"/>
  <c r="AX514" i="4"/>
  <c r="BB514" i="4" s="1"/>
  <c r="AY513" i="4"/>
  <c r="AX513" i="4"/>
  <c r="BB513" i="4" s="1"/>
  <c r="BB512" i="4"/>
  <c r="AY512" i="4"/>
  <c r="AX512" i="4"/>
  <c r="AY511" i="4"/>
  <c r="AX511" i="4"/>
  <c r="BB511" i="4" s="1"/>
  <c r="AY510" i="4"/>
  <c r="AX510" i="4"/>
  <c r="BB510" i="4" s="1"/>
  <c r="AY509" i="4"/>
  <c r="AX509" i="4"/>
  <c r="BB509" i="4" s="1"/>
  <c r="AY508" i="4"/>
  <c r="AX508" i="4"/>
  <c r="BB508" i="4" s="1"/>
  <c r="AY507" i="4"/>
  <c r="AX507" i="4"/>
  <c r="BB507" i="4" s="1"/>
  <c r="AY506" i="4"/>
  <c r="AX506" i="4"/>
  <c r="BB506" i="4" s="1"/>
  <c r="AY505" i="4"/>
  <c r="AX505" i="4"/>
  <c r="BB505" i="4" s="1"/>
  <c r="AY504" i="4"/>
  <c r="AX504" i="4"/>
  <c r="BB504" i="4" s="1"/>
  <c r="AY503" i="4"/>
  <c r="AX503" i="4"/>
  <c r="BB503" i="4" s="1"/>
  <c r="AY502" i="4"/>
  <c r="AX502" i="4"/>
  <c r="BB502" i="4" s="1"/>
  <c r="AY501" i="4"/>
  <c r="AX501" i="4"/>
  <c r="BB501" i="4" s="1"/>
  <c r="AY500" i="4"/>
  <c r="AX500" i="4"/>
  <c r="BB500" i="4" s="1"/>
  <c r="AY499" i="4"/>
  <c r="AX499" i="4"/>
  <c r="BB499" i="4" s="1"/>
  <c r="AY498" i="4"/>
  <c r="AX498" i="4"/>
  <c r="BB498" i="4" s="1"/>
  <c r="AY497" i="4"/>
  <c r="AX497" i="4"/>
  <c r="BB497" i="4" s="1"/>
  <c r="AY496" i="4"/>
  <c r="AX496" i="4"/>
  <c r="BB496" i="4" s="1"/>
  <c r="AY495" i="4"/>
  <c r="AX495" i="4"/>
  <c r="BB495" i="4" s="1"/>
  <c r="AY494" i="4"/>
  <c r="AX494" i="4"/>
  <c r="BB494" i="4" s="1"/>
  <c r="AY493" i="4"/>
  <c r="AX493" i="4"/>
  <c r="BB493" i="4" s="1"/>
  <c r="AY492" i="4"/>
  <c r="AX492" i="4"/>
  <c r="BB492" i="4" s="1"/>
  <c r="BB491" i="4"/>
  <c r="AY491" i="4"/>
  <c r="AX491" i="4"/>
  <c r="AY490" i="4"/>
  <c r="AX490" i="4"/>
  <c r="BB490" i="4" s="1"/>
  <c r="AY489" i="4"/>
  <c r="AX489" i="4"/>
  <c r="BB489" i="4" s="1"/>
  <c r="AY488" i="4"/>
  <c r="AX488" i="4"/>
  <c r="BB488" i="4" s="1"/>
  <c r="AY487" i="4"/>
  <c r="AX487" i="4"/>
  <c r="BB487" i="4" s="1"/>
  <c r="AY486" i="4"/>
  <c r="AX486" i="4"/>
  <c r="BB486" i="4" s="1"/>
  <c r="AY485" i="4"/>
  <c r="AX485" i="4"/>
  <c r="BB485" i="4" s="1"/>
  <c r="AY484" i="4"/>
  <c r="AX484" i="4"/>
  <c r="BB484" i="4" s="1"/>
  <c r="AY483" i="4"/>
  <c r="AX483" i="4"/>
  <c r="BB483" i="4" s="1"/>
  <c r="AY482" i="4"/>
  <c r="AX482" i="4"/>
  <c r="BB482" i="4" s="1"/>
  <c r="AY481" i="4"/>
  <c r="AX481" i="4"/>
  <c r="BB481" i="4" s="1"/>
  <c r="AY480" i="4"/>
  <c r="AX480" i="4"/>
  <c r="BB480" i="4" s="1"/>
  <c r="AY479" i="4"/>
  <c r="AX479" i="4"/>
  <c r="BB479" i="4" s="1"/>
  <c r="AY478" i="4"/>
  <c r="AX478" i="4"/>
  <c r="BB478" i="4" s="1"/>
  <c r="AY477" i="4"/>
  <c r="AX477" i="4"/>
  <c r="BB477" i="4" s="1"/>
  <c r="AY476" i="4"/>
  <c r="AX476" i="4"/>
  <c r="BB476" i="4" s="1"/>
  <c r="AY475" i="4"/>
  <c r="AX475" i="4"/>
  <c r="BB475" i="4" s="1"/>
  <c r="AY474" i="4"/>
  <c r="AX474" i="4"/>
  <c r="BB474" i="4" s="1"/>
  <c r="AY473" i="4"/>
  <c r="AX473" i="4"/>
  <c r="BB473" i="4" s="1"/>
  <c r="AY472" i="4"/>
  <c r="AX472" i="4"/>
  <c r="BB472" i="4" s="1"/>
  <c r="AY471" i="4"/>
  <c r="AX471" i="4"/>
  <c r="BB471" i="4" s="1"/>
  <c r="AY470" i="4"/>
  <c r="AX470" i="4"/>
  <c r="BB470" i="4" s="1"/>
  <c r="AY469" i="4"/>
  <c r="AX469" i="4"/>
  <c r="BB469" i="4" s="1"/>
  <c r="AY468" i="4"/>
  <c r="AX468" i="4"/>
  <c r="BB468" i="4" s="1"/>
  <c r="AY467" i="4"/>
  <c r="AX467" i="4"/>
  <c r="BB467" i="4" s="1"/>
  <c r="AY466" i="4"/>
  <c r="AX466" i="4"/>
  <c r="BB466" i="4" s="1"/>
  <c r="AY465" i="4"/>
  <c r="AX465" i="4"/>
  <c r="BB465" i="4" s="1"/>
  <c r="AY464" i="4"/>
  <c r="AX464" i="4"/>
  <c r="BB464" i="4" s="1"/>
  <c r="AY463" i="4"/>
  <c r="AX463" i="4"/>
  <c r="BB463" i="4" s="1"/>
  <c r="AY462" i="4"/>
  <c r="AX462" i="4"/>
  <c r="BB462" i="4" s="1"/>
  <c r="AY461" i="4"/>
  <c r="AX461" i="4"/>
  <c r="BB461" i="4" s="1"/>
  <c r="BB460" i="4"/>
  <c r="AY460" i="4"/>
  <c r="AX460" i="4"/>
  <c r="AY459" i="4"/>
  <c r="AX459" i="4"/>
  <c r="BB459" i="4" s="1"/>
  <c r="AY458" i="4"/>
  <c r="AX458" i="4"/>
  <c r="BB458" i="4" s="1"/>
  <c r="AY457" i="4"/>
  <c r="AX457" i="4"/>
  <c r="BB457" i="4" s="1"/>
  <c r="AY456" i="4"/>
  <c r="AX456" i="4"/>
  <c r="BB456" i="4" s="1"/>
  <c r="AY455" i="4"/>
  <c r="AX455" i="4"/>
  <c r="BB455" i="4" s="1"/>
  <c r="AY454" i="4"/>
  <c r="AX454" i="4"/>
  <c r="BB454" i="4" s="1"/>
  <c r="AY453" i="4"/>
  <c r="AX453" i="4"/>
  <c r="BB453" i="4" s="1"/>
  <c r="AY452" i="4"/>
  <c r="AX452" i="4"/>
  <c r="BB452" i="4" s="1"/>
  <c r="BB451" i="4"/>
  <c r="AY451" i="4"/>
  <c r="AX451" i="4"/>
  <c r="AY450" i="4"/>
  <c r="AX450" i="4"/>
  <c r="BB450" i="4" s="1"/>
  <c r="AY449" i="4"/>
  <c r="AX449" i="4"/>
  <c r="BB449" i="4" s="1"/>
  <c r="AY448" i="4"/>
  <c r="AX448" i="4"/>
  <c r="BB448" i="4" s="1"/>
  <c r="AY447" i="4"/>
  <c r="AX447" i="4"/>
  <c r="BB447" i="4" s="1"/>
  <c r="AY446" i="4"/>
  <c r="AX446" i="4"/>
  <c r="BB446" i="4" s="1"/>
  <c r="AY445" i="4"/>
  <c r="AX445" i="4"/>
  <c r="BB445" i="4" s="1"/>
  <c r="AY444" i="4"/>
  <c r="AX444" i="4"/>
  <c r="BB444" i="4" s="1"/>
  <c r="AY443" i="4"/>
  <c r="AX443" i="4"/>
  <c r="BB443" i="4" s="1"/>
  <c r="AY442" i="4"/>
  <c r="AX442" i="4"/>
  <c r="BB442" i="4" s="1"/>
  <c r="AY441" i="4"/>
  <c r="AX441" i="4"/>
  <c r="BB441" i="4" s="1"/>
  <c r="AY440" i="4"/>
  <c r="AX440" i="4"/>
  <c r="BB440" i="4" s="1"/>
  <c r="AY439" i="4"/>
  <c r="AX439" i="4"/>
  <c r="BB439" i="4" s="1"/>
  <c r="AY438" i="4"/>
  <c r="AX438" i="4"/>
  <c r="BB438" i="4" s="1"/>
  <c r="AY437" i="4"/>
  <c r="AX437" i="4"/>
  <c r="BB437" i="4" s="1"/>
  <c r="BB436" i="4"/>
  <c r="AY436" i="4"/>
  <c r="AX436" i="4"/>
  <c r="AY435" i="4"/>
  <c r="AX435" i="4"/>
  <c r="BB435" i="4" s="1"/>
  <c r="AY434" i="4"/>
  <c r="AX434" i="4"/>
  <c r="BB434" i="4" s="1"/>
  <c r="AY433" i="4"/>
  <c r="AX433" i="4"/>
  <c r="BB433" i="4" s="1"/>
  <c r="AY432" i="4"/>
  <c r="AX432" i="4"/>
  <c r="BB432" i="4" s="1"/>
  <c r="AY431" i="4"/>
  <c r="AX431" i="4"/>
  <c r="BB431" i="4" s="1"/>
  <c r="AY430" i="4"/>
  <c r="AX430" i="4"/>
  <c r="BB430" i="4" s="1"/>
  <c r="AY429" i="4"/>
  <c r="AX429" i="4"/>
  <c r="BB429" i="4" s="1"/>
  <c r="AY428" i="4"/>
  <c r="AX428" i="4"/>
  <c r="BB428" i="4" s="1"/>
  <c r="AY427" i="4"/>
  <c r="AX427" i="4"/>
  <c r="BB427" i="4" s="1"/>
  <c r="AY426" i="4"/>
  <c r="AX426" i="4"/>
  <c r="BB426" i="4" s="1"/>
  <c r="AY425" i="4"/>
  <c r="AX425" i="4"/>
  <c r="BB425" i="4" s="1"/>
  <c r="AY424" i="4"/>
  <c r="AX424" i="4"/>
  <c r="BB424" i="4" s="1"/>
  <c r="AY423" i="4"/>
  <c r="AX423" i="4"/>
  <c r="BB423" i="4" s="1"/>
  <c r="AY422" i="4"/>
  <c r="AX422" i="4"/>
  <c r="BB422" i="4" s="1"/>
  <c r="AY421" i="4"/>
  <c r="AX421" i="4"/>
  <c r="BB421" i="4" s="1"/>
  <c r="AY420" i="4"/>
  <c r="AX420" i="4"/>
  <c r="BB420" i="4" s="1"/>
  <c r="AY419" i="4"/>
  <c r="AX419" i="4"/>
  <c r="BB419" i="4" s="1"/>
  <c r="AY418" i="4"/>
  <c r="AX418" i="4"/>
  <c r="BB418" i="4" s="1"/>
  <c r="AY417" i="4"/>
  <c r="AX417" i="4"/>
  <c r="BB417" i="4" s="1"/>
  <c r="AY416" i="4"/>
  <c r="AX416" i="4"/>
  <c r="BB416" i="4" s="1"/>
  <c r="AY415" i="4"/>
  <c r="AX415" i="4"/>
  <c r="BB415" i="4" s="1"/>
  <c r="AY414" i="4"/>
  <c r="AX414" i="4"/>
  <c r="BB414" i="4" s="1"/>
  <c r="AY413" i="4"/>
  <c r="AX413" i="4"/>
  <c r="BB413" i="4" s="1"/>
  <c r="AY412" i="4"/>
  <c r="AX412" i="4"/>
  <c r="BB412" i="4" s="1"/>
  <c r="AY411" i="4"/>
  <c r="AX411" i="4"/>
  <c r="BB411" i="4" s="1"/>
  <c r="AY410" i="4"/>
  <c r="AX410" i="4"/>
  <c r="BB410" i="4" s="1"/>
  <c r="AY409" i="4"/>
  <c r="AX409" i="4"/>
  <c r="BB409" i="4" s="1"/>
  <c r="AY408" i="4"/>
  <c r="AX408" i="4"/>
  <c r="BB408" i="4" s="1"/>
  <c r="AY407" i="4"/>
  <c r="AX407" i="4"/>
  <c r="BB407" i="4" s="1"/>
  <c r="AY406" i="4"/>
  <c r="AX406" i="4"/>
  <c r="BB406" i="4" s="1"/>
  <c r="AY405" i="4"/>
  <c r="AX405" i="4"/>
  <c r="BB405" i="4" s="1"/>
  <c r="AY404" i="4"/>
  <c r="AX404" i="4"/>
  <c r="BB404" i="4" s="1"/>
  <c r="AY403" i="4"/>
  <c r="AX403" i="4"/>
  <c r="BB403" i="4" s="1"/>
  <c r="AY402" i="4"/>
  <c r="AX402" i="4"/>
  <c r="BB402" i="4" s="1"/>
  <c r="AY401" i="4"/>
  <c r="AX401" i="4"/>
  <c r="BB401" i="4" s="1"/>
  <c r="AY400" i="4"/>
  <c r="AX400" i="4"/>
  <c r="BB400" i="4" s="1"/>
  <c r="AY399" i="4"/>
  <c r="AX399" i="4"/>
  <c r="BB399" i="4" s="1"/>
  <c r="AY398" i="4"/>
  <c r="AX398" i="4"/>
  <c r="BB398" i="4" s="1"/>
  <c r="AY397" i="4"/>
  <c r="AX397" i="4"/>
  <c r="BB397" i="4" s="1"/>
  <c r="AY396" i="4"/>
  <c r="AX396" i="4"/>
  <c r="BB396" i="4" s="1"/>
  <c r="AY395" i="4"/>
  <c r="AX395" i="4"/>
  <c r="BB395" i="4" s="1"/>
  <c r="AY394" i="4"/>
  <c r="AX394" i="4"/>
  <c r="BB394" i="4" s="1"/>
  <c r="AY393" i="4"/>
  <c r="AX393" i="4"/>
  <c r="BB393" i="4" s="1"/>
  <c r="AY392" i="4"/>
  <c r="AX392" i="4"/>
  <c r="BB392" i="4" s="1"/>
  <c r="AY391" i="4"/>
  <c r="AX391" i="4"/>
  <c r="BB391" i="4" s="1"/>
  <c r="AY390" i="4"/>
  <c r="AX390" i="4"/>
  <c r="BB390" i="4" s="1"/>
  <c r="AY389" i="4"/>
  <c r="AX389" i="4"/>
  <c r="BB389" i="4" s="1"/>
  <c r="AY388" i="4"/>
  <c r="AX388" i="4"/>
  <c r="BB388" i="4" s="1"/>
  <c r="AY387" i="4"/>
  <c r="AX387" i="4"/>
  <c r="BB387" i="4" s="1"/>
  <c r="AY386" i="4"/>
  <c r="AX386" i="4"/>
  <c r="BB386" i="4" s="1"/>
  <c r="AY385" i="4"/>
  <c r="AX385" i="4"/>
  <c r="BB385" i="4" s="1"/>
  <c r="AY384" i="4"/>
  <c r="AX384" i="4"/>
  <c r="BB384" i="4" s="1"/>
  <c r="BB383" i="4"/>
  <c r="AY383" i="4"/>
  <c r="AX383" i="4"/>
  <c r="AY382" i="4"/>
  <c r="AX382" i="4"/>
  <c r="BB382" i="4" s="1"/>
  <c r="AY381" i="4"/>
  <c r="AX381" i="4"/>
  <c r="BB381" i="4" s="1"/>
  <c r="AY380" i="4"/>
  <c r="AX380" i="4"/>
  <c r="BB380" i="4" s="1"/>
  <c r="AY379" i="4"/>
  <c r="AX379" i="4"/>
  <c r="BB379" i="4" s="1"/>
  <c r="AY378" i="4"/>
  <c r="AX378" i="4"/>
  <c r="BB378" i="4" s="1"/>
  <c r="AY377" i="4"/>
  <c r="AX377" i="4"/>
  <c r="BB377" i="4" s="1"/>
  <c r="AY376" i="4"/>
  <c r="AX376" i="4"/>
  <c r="BB376" i="4" s="1"/>
  <c r="AY375" i="4"/>
  <c r="AX375" i="4"/>
  <c r="BB375" i="4" s="1"/>
  <c r="AY374" i="4"/>
  <c r="AX374" i="4"/>
  <c r="BB374" i="4" s="1"/>
  <c r="AY373" i="4"/>
  <c r="AX373" i="4"/>
  <c r="BB373" i="4" s="1"/>
  <c r="AY372" i="4"/>
  <c r="AX372" i="4"/>
  <c r="BB372" i="4" s="1"/>
  <c r="AY371" i="4"/>
  <c r="AX371" i="4"/>
  <c r="BB371" i="4" s="1"/>
  <c r="AY370" i="4"/>
  <c r="AX370" i="4"/>
  <c r="BB370" i="4" s="1"/>
  <c r="AY369" i="4"/>
  <c r="AX369" i="4"/>
  <c r="BB369" i="4" s="1"/>
  <c r="AY368" i="4"/>
  <c r="AX368" i="4"/>
  <c r="BB368" i="4" s="1"/>
  <c r="AY367" i="4"/>
  <c r="AX367" i="4"/>
  <c r="BB367" i="4" s="1"/>
  <c r="AY366" i="4"/>
  <c r="AX366" i="4"/>
  <c r="BB366" i="4" s="1"/>
  <c r="AY365" i="4"/>
  <c r="AX365" i="4"/>
  <c r="BB365" i="4" s="1"/>
  <c r="BB364" i="4"/>
  <c r="AY364" i="4"/>
  <c r="AX364" i="4"/>
  <c r="AY363" i="4"/>
  <c r="AX363" i="4"/>
  <c r="BB363" i="4" s="1"/>
  <c r="AY362" i="4"/>
  <c r="AX362" i="4"/>
  <c r="BB362" i="4" s="1"/>
  <c r="AY361" i="4"/>
  <c r="AX361" i="4"/>
  <c r="BB361" i="4" s="1"/>
  <c r="AY360" i="4"/>
  <c r="AX360" i="4"/>
  <c r="BB360" i="4" s="1"/>
  <c r="BB359" i="4"/>
  <c r="AY359" i="4"/>
  <c r="AX359" i="4"/>
  <c r="AY358" i="4"/>
  <c r="AX358" i="4"/>
  <c r="BB358" i="4" s="1"/>
  <c r="AY357" i="4"/>
  <c r="AX357" i="4"/>
  <c r="BB357" i="4" s="1"/>
  <c r="AY356" i="4"/>
  <c r="AX356" i="4"/>
  <c r="BB356" i="4" s="1"/>
  <c r="AY355" i="4"/>
  <c r="AX355" i="4"/>
  <c r="BB355" i="4" s="1"/>
  <c r="AY354" i="4"/>
  <c r="AX354" i="4"/>
  <c r="BB354" i="4" s="1"/>
  <c r="AY353" i="4"/>
  <c r="AX353" i="4"/>
  <c r="BB353" i="4" s="1"/>
  <c r="AY352" i="4"/>
  <c r="AX352" i="4"/>
  <c r="BB352" i="4" s="1"/>
  <c r="AY351" i="4"/>
  <c r="AX351" i="4"/>
  <c r="BB351" i="4" s="1"/>
  <c r="AY350" i="4"/>
  <c r="AX350" i="4"/>
  <c r="BB350" i="4" s="1"/>
  <c r="AY349" i="4"/>
  <c r="AX349" i="4"/>
  <c r="BB349" i="4" s="1"/>
  <c r="AY348" i="4"/>
  <c r="AX348" i="4"/>
  <c r="BB348" i="4" s="1"/>
  <c r="AY347" i="4"/>
  <c r="AX347" i="4"/>
  <c r="BB347" i="4" s="1"/>
  <c r="AY346" i="4"/>
  <c r="AX346" i="4"/>
  <c r="BB346" i="4" s="1"/>
  <c r="AY345" i="4"/>
  <c r="AX345" i="4"/>
  <c r="BB345" i="4" s="1"/>
  <c r="AY344" i="4"/>
  <c r="AX344" i="4"/>
  <c r="BB344" i="4" s="1"/>
  <c r="AY343" i="4"/>
  <c r="AX343" i="4"/>
  <c r="BB343" i="4" s="1"/>
  <c r="AY342" i="4"/>
  <c r="AX342" i="4"/>
  <c r="BB342" i="4" s="1"/>
  <c r="AY341" i="4"/>
  <c r="AX341" i="4"/>
  <c r="BB341" i="4" s="1"/>
  <c r="AY340" i="4"/>
  <c r="AX340" i="4"/>
  <c r="BB340" i="4" s="1"/>
  <c r="AY339" i="4"/>
  <c r="AX339" i="4"/>
  <c r="BB339" i="4" s="1"/>
  <c r="AY338" i="4"/>
  <c r="AX338" i="4"/>
  <c r="BB338" i="4" s="1"/>
  <c r="AY337" i="4"/>
  <c r="AX337" i="4"/>
  <c r="BB337" i="4" s="1"/>
  <c r="AY336" i="4"/>
  <c r="AX336" i="4"/>
  <c r="BB336" i="4" s="1"/>
  <c r="AY335" i="4"/>
  <c r="AX335" i="4"/>
  <c r="BB335" i="4" s="1"/>
  <c r="AY334" i="4"/>
  <c r="AX334" i="4"/>
  <c r="BB334" i="4" s="1"/>
  <c r="AY333" i="4"/>
  <c r="AX333" i="4"/>
  <c r="BB333" i="4" s="1"/>
  <c r="AY332" i="4"/>
  <c r="AX332" i="4"/>
  <c r="BB332" i="4" s="1"/>
  <c r="AY331" i="4"/>
  <c r="AX331" i="4"/>
  <c r="BB331" i="4" s="1"/>
  <c r="AY330" i="4"/>
  <c r="AX330" i="4"/>
  <c r="BB330" i="4" s="1"/>
  <c r="AY329" i="4"/>
  <c r="AX329" i="4"/>
  <c r="BB329" i="4" s="1"/>
  <c r="AY328" i="4"/>
  <c r="AX328" i="4"/>
  <c r="BB328" i="4" s="1"/>
  <c r="AY327" i="4"/>
  <c r="AX327" i="4"/>
  <c r="BB327" i="4" s="1"/>
  <c r="AY326" i="4"/>
  <c r="AX326" i="4"/>
  <c r="BB326" i="4" s="1"/>
  <c r="AY325" i="4"/>
  <c r="AX325" i="4"/>
  <c r="BB325" i="4" s="1"/>
  <c r="BB324" i="4"/>
  <c r="AY324" i="4"/>
  <c r="AX324" i="4"/>
  <c r="AY323" i="4"/>
  <c r="AX323" i="4"/>
  <c r="BB323" i="4" s="1"/>
  <c r="AY322" i="4"/>
  <c r="AX322" i="4"/>
  <c r="BB322" i="4" s="1"/>
  <c r="AY321" i="4"/>
  <c r="AX321" i="4"/>
  <c r="BB321" i="4" s="1"/>
  <c r="AY320" i="4"/>
  <c r="AX320" i="4"/>
  <c r="BB320" i="4" s="1"/>
  <c r="AY319" i="4"/>
  <c r="AX319" i="4"/>
  <c r="BB319" i="4" s="1"/>
  <c r="AY318" i="4"/>
  <c r="AX318" i="4"/>
  <c r="BB318" i="4" s="1"/>
  <c r="AY317" i="4"/>
  <c r="AX317" i="4"/>
  <c r="BB317" i="4" s="1"/>
  <c r="AY316" i="4"/>
  <c r="AX316" i="4"/>
  <c r="BB316" i="4" s="1"/>
  <c r="AY315" i="4"/>
  <c r="AX315" i="4"/>
  <c r="BB315" i="4" s="1"/>
  <c r="AY314" i="4"/>
  <c r="AX314" i="4"/>
  <c r="BB314" i="4" s="1"/>
  <c r="AY313" i="4"/>
  <c r="AX313" i="4"/>
  <c r="BB313" i="4" s="1"/>
  <c r="AY312" i="4"/>
  <c r="AX312" i="4"/>
  <c r="BB312" i="4" s="1"/>
  <c r="AY311" i="4"/>
  <c r="AX311" i="4"/>
  <c r="BB311" i="4" s="1"/>
  <c r="AY310" i="4"/>
  <c r="AX310" i="4"/>
  <c r="BB310" i="4" s="1"/>
  <c r="AY309" i="4"/>
  <c r="AX309" i="4"/>
  <c r="BB309" i="4" s="1"/>
  <c r="AY308" i="4"/>
  <c r="AX308" i="4"/>
  <c r="BB308" i="4" s="1"/>
  <c r="AY307" i="4"/>
  <c r="AX307" i="4"/>
  <c r="BB307" i="4" s="1"/>
  <c r="AY306" i="4"/>
  <c r="AX306" i="4"/>
  <c r="BB306" i="4" s="1"/>
  <c r="AY305" i="4"/>
  <c r="AX305" i="4"/>
  <c r="BB305" i="4" s="1"/>
  <c r="AY304" i="4"/>
  <c r="AX304" i="4"/>
  <c r="BB304" i="4" s="1"/>
  <c r="AY303" i="4"/>
  <c r="AX303" i="4"/>
  <c r="BB303" i="4" s="1"/>
  <c r="AY302" i="4"/>
  <c r="AX302" i="4"/>
  <c r="BB302" i="4" s="1"/>
  <c r="AY301" i="4"/>
  <c r="AX301" i="4"/>
  <c r="BB301" i="4" s="1"/>
  <c r="AY300" i="4"/>
  <c r="AX300" i="4"/>
  <c r="BB300" i="4" s="1"/>
  <c r="AY299" i="4"/>
  <c r="AX299" i="4"/>
  <c r="BB299" i="4" s="1"/>
  <c r="AY298" i="4"/>
  <c r="AX298" i="4"/>
  <c r="BB298" i="4" s="1"/>
  <c r="AY297" i="4"/>
  <c r="AX297" i="4"/>
  <c r="BB297" i="4" s="1"/>
  <c r="AY296" i="4"/>
  <c r="AX296" i="4"/>
  <c r="BB296" i="4" s="1"/>
  <c r="AY295" i="4"/>
  <c r="AX295" i="4"/>
  <c r="BB295" i="4" s="1"/>
  <c r="AY294" i="4"/>
  <c r="AX294" i="4"/>
  <c r="BB294" i="4" s="1"/>
  <c r="AY293" i="4"/>
  <c r="AX293" i="4"/>
  <c r="BB293" i="4" s="1"/>
  <c r="AY292" i="4"/>
  <c r="AX292" i="4"/>
  <c r="BB292" i="4" s="1"/>
  <c r="AY291" i="4"/>
  <c r="AX291" i="4"/>
  <c r="BB291" i="4" s="1"/>
  <c r="AY290" i="4"/>
  <c r="AX290" i="4"/>
  <c r="BB290" i="4" s="1"/>
  <c r="AY289" i="4"/>
  <c r="AX289" i="4"/>
  <c r="BB289" i="4" s="1"/>
  <c r="AY288" i="4"/>
  <c r="AX288" i="4"/>
  <c r="BB288" i="4" s="1"/>
  <c r="AY287" i="4"/>
  <c r="AX287" i="4"/>
  <c r="BB287" i="4" s="1"/>
  <c r="AY286" i="4"/>
  <c r="AX286" i="4"/>
  <c r="BB286" i="4" s="1"/>
  <c r="AY285" i="4"/>
  <c r="AX285" i="4"/>
  <c r="BB285" i="4" s="1"/>
  <c r="AY284" i="4"/>
  <c r="AX284" i="4"/>
  <c r="BB284" i="4" s="1"/>
  <c r="AY283" i="4"/>
  <c r="AX283" i="4"/>
  <c r="BB283" i="4" s="1"/>
  <c r="AY282" i="4"/>
  <c r="AX282" i="4"/>
  <c r="BB282" i="4" s="1"/>
  <c r="AY281" i="4"/>
  <c r="AX281" i="4"/>
  <c r="BB281" i="4" s="1"/>
  <c r="AY280" i="4"/>
  <c r="AX280" i="4"/>
  <c r="BB280" i="4" s="1"/>
  <c r="AY279" i="4"/>
  <c r="AX279" i="4"/>
  <c r="BB279" i="4" s="1"/>
  <c r="BB278" i="4"/>
  <c r="AY278" i="4"/>
  <c r="AX278" i="4"/>
  <c r="AY277" i="4"/>
  <c r="AX277" i="4"/>
  <c r="BB277" i="4" s="1"/>
  <c r="AY276" i="4"/>
  <c r="AX276" i="4"/>
  <c r="BB276" i="4" s="1"/>
  <c r="AY275" i="4"/>
  <c r="AX275" i="4"/>
  <c r="BB275" i="4" s="1"/>
  <c r="AY274" i="4"/>
  <c r="AX274" i="4"/>
  <c r="BB274" i="4" s="1"/>
  <c r="AY273" i="4"/>
  <c r="AX273" i="4"/>
  <c r="BB273" i="4" s="1"/>
  <c r="AY272" i="4"/>
  <c r="AX272" i="4"/>
  <c r="BB272" i="4" s="1"/>
  <c r="AY271" i="4"/>
  <c r="AX271" i="4"/>
  <c r="BB271" i="4" s="1"/>
  <c r="AY270" i="4"/>
  <c r="AX270" i="4"/>
  <c r="BB270" i="4" s="1"/>
  <c r="AY269" i="4"/>
  <c r="AX269" i="4"/>
  <c r="BB269" i="4" s="1"/>
  <c r="AY268" i="4"/>
  <c r="AX268" i="4"/>
  <c r="BB268" i="4" s="1"/>
  <c r="AY267" i="4"/>
  <c r="AX267" i="4"/>
  <c r="BB267" i="4" s="1"/>
  <c r="AY266" i="4"/>
  <c r="AX266" i="4"/>
  <c r="BB266" i="4" s="1"/>
  <c r="AY265" i="4"/>
  <c r="AX265" i="4"/>
  <c r="BB265" i="4" s="1"/>
  <c r="AY264" i="4"/>
  <c r="AX264" i="4"/>
  <c r="BB264" i="4" s="1"/>
  <c r="AY263" i="4"/>
  <c r="AX263" i="4"/>
  <c r="BB263" i="4" s="1"/>
  <c r="AY262" i="4"/>
  <c r="AX262" i="4"/>
  <c r="BB262" i="4" s="1"/>
  <c r="AY261" i="4"/>
  <c r="AX261" i="4"/>
  <c r="BB261" i="4" s="1"/>
  <c r="AY260" i="4"/>
  <c r="AX260" i="4"/>
  <c r="BB260" i="4" s="1"/>
  <c r="AY259" i="4"/>
  <c r="AX259" i="4"/>
  <c r="BB259" i="4" s="1"/>
  <c r="AY258" i="4"/>
  <c r="AX258" i="4"/>
  <c r="BB258" i="4" s="1"/>
  <c r="AY257" i="4"/>
  <c r="AX257" i="4"/>
  <c r="BB257" i="4" s="1"/>
  <c r="AY256" i="4"/>
  <c r="AX256" i="4"/>
  <c r="BB256" i="4" s="1"/>
  <c r="AY255" i="4"/>
  <c r="AX255" i="4"/>
  <c r="BB255" i="4" s="1"/>
  <c r="AY254" i="4"/>
  <c r="AX254" i="4"/>
  <c r="BB254" i="4" s="1"/>
  <c r="AY253" i="4"/>
  <c r="AX253" i="4"/>
  <c r="BB253" i="4" s="1"/>
  <c r="AY252" i="4"/>
  <c r="AX252" i="4"/>
  <c r="BB252" i="4" s="1"/>
  <c r="AY251" i="4"/>
  <c r="AX251" i="4"/>
  <c r="BB251" i="4" s="1"/>
  <c r="AY250" i="4"/>
  <c r="AX250" i="4"/>
  <c r="BB250" i="4" s="1"/>
  <c r="AY249" i="4"/>
  <c r="AX249" i="4"/>
  <c r="BB249" i="4" s="1"/>
  <c r="AY248" i="4"/>
  <c r="AX248" i="4"/>
  <c r="BB248" i="4" s="1"/>
  <c r="AY247" i="4"/>
  <c r="AX247" i="4"/>
  <c r="BB247" i="4" s="1"/>
  <c r="AY246" i="4"/>
  <c r="AX246" i="4"/>
  <c r="BB246" i="4" s="1"/>
  <c r="AY245" i="4"/>
  <c r="AX245" i="4"/>
  <c r="BB245" i="4" s="1"/>
  <c r="AY244" i="4"/>
  <c r="AX244" i="4"/>
  <c r="BB244" i="4" s="1"/>
  <c r="AY243" i="4"/>
  <c r="AX243" i="4"/>
  <c r="BB243" i="4" s="1"/>
  <c r="AY242" i="4"/>
  <c r="AX242" i="4"/>
  <c r="BB242" i="4" s="1"/>
  <c r="AY241" i="4"/>
  <c r="AX241" i="4"/>
  <c r="BB241" i="4" s="1"/>
  <c r="AY240" i="4"/>
  <c r="AX240" i="4"/>
  <c r="BB240" i="4" s="1"/>
  <c r="AY239" i="4"/>
  <c r="AX239" i="4"/>
  <c r="BB239" i="4" s="1"/>
  <c r="AY238" i="4"/>
  <c r="AX238" i="4"/>
  <c r="BB238" i="4" s="1"/>
  <c r="AY237" i="4"/>
  <c r="AX237" i="4"/>
  <c r="BB237" i="4" s="1"/>
  <c r="AY236" i="4"/>
  <c r="AX236" i="4"/>
  <c r="BB236" i="4" s="1"/>
  <c r="AY235" i="4"/>
  <c r="AX235" i="4"/>
  <c r="BB235" i="4" s="1"/>
  <c r="AY234" i="4"/>
  <c r="AX234" i="4"/>
  <c r="BB234" i="4" s="1"/>
  <c r="AY233" i="4"/>
  <c r="AX233" i="4"/>
  <c r="BB233" i="4" s="1"/>
  <c r="AY232" i="4"/>
  <c r="AX232" i="4"/>
  <c r="BB232" i="4" s="1"/>
  <c r="AY231" i="4"/>
  <c r="AX231" i="4"/>
  <c r="BB231" i="4" s="1"/>
  <c r="AY230" i="4"/>
  <c r="AX230" i="4"/>
  <c r="BB230" i="4" s="1"/>
  <c r="AY229" i="4"/>
  <c r="AX229" i="4"/>
  <c r="BB229" i="4" s="1"/>
  <c r="AY228" i="4"/>
  <c r="AX228" i="4"/>
  <c r="BB228" i="4" s="1"/>
  <c r="AY227" i="4"/>
  <c r="AX227" i="4"/>
  <c r="BB227" i="4" s="1"/>
  <c r="AY226" i="4"/>
  <c r="AX226" i="4"/>
  <c r="BB226" i="4" s="1"/>
  <c r="AY225" i="4"/>
  <c r="AX225" i="4"/>
  <c r="BB225" i="4" s="1"/>
  <c r="AY224" i="4"/>
  <c r="AX224" i="4"/>
  <c r="BB224" i="4" s="1"/>
  <c r="AY223" i="4"/>
  <c r="AX223" i="4"/>
  <c r="BB223" i="4" s="1"/>
  <c r="AY222" i="4"/>
  <c r="AX222" i="4"/>
  <c r="BB222" i="4" s="1"/>
  <c r="BB221" i="4"/>
  <c r="AY221" i="4"/>
  <c r="AX221" i="4"/>
  <c r="AY220" i="4"/>
  <c r="AX220" i="4"/>
  <c r="BB220" i="4" s="1"/>
  <c r="AY219" i="4"/>
  <c r="AX219" i="4"/>
  <c r="BB219" i="4" s="1"/>
  <c r="AY218" i="4"/>
  <c r="AX218" i="4"/>
  <c r="BB218" i="4" s="1"/>
  <c r="AY217" i="4"/>
  <c r="AX217" i="4"/>
  <c r="BB217" i="4" s="1"/>
  <c r="AY216" i="4"/>
  <c r="AX216" i="4"/>
  <c r="BB216" i="4" s="1"/>
  <c r="AY215" i="4"/>
  <c r="AX215" i="4"/>
  <c r="BB215" i="4" s="1"/>
  <c r="AY214" i="4"/>
  <c r="AX214" i="4"/>
  <c r="BB214" i="4" s="1"/>
  <c r="AY213" i="4"/>
  <c r="AX213" i="4"/>
  <c r="BB213" i="4" s="1"/>
  <c r="AY212" i="4"/>
  <c r="AX212" i="4"/>
  <c r="BB212" i="4" s="1"/>
  <c r="AY211" i="4"/>
  <c r="AX211" i="4"/>
  <c r="BB211" i="4" s="1"/>
  <c r="AY210" i="4"/>
  <c r="AX210" i="4"/>
  <c r="BB210" i="4" s="1"/>
  <c r="AY209" i="4"/>
  <c r="AX209" i="4"/>
  <c r="BB209" i="4" s="1"/>
  <c r="AY208" i="4"/>
  <c r="AX208" i="4"/>
  <c r="BB208" i="4" s="1"/>
  <c r="AY207" i="4"/>
  <c r="AX207" i="4"/>
  <c r="BB207" i="4" s="1"/>
  <c r="AY206" i="4"/>
  <c r="AX206" i="4"/>
  <c r="BB206" i="4" s="1"/>
  <c r="AY205" i="4"/>
  <c r="AX205" i="4"/>
  <c r="BB205" i="4" s="1"/>
  <c r="AY204" i="4"/>
  <c r="AX204" i="4"/>
  <c r="BB204" i="4" s="1"/>
  <c r="AY203" i="4"/>
  <c r="AX203" i="4"/>
  <c r="BB203" i="4" s="1"/>
  <c r="AY202" i="4"/>
  <c r="AX202" i="4"/>
  <c r="BB202" i="4" s="1"/>
  <c r="AY201" i="4"/>
  <c r="AX201" i="4"/>
  <c r="BB201" i="4" s="1"/>
  <c r="AY200" i="4"/>
  <c r="AX200" i="4"/>
  <c r="BB200" i="4" s="1"/>
  <c r="AY199" i="4"/>
  <c r="AX199" i="4"/>
  <c r="BB199" i="4" s="1"/>
  <c r="AY198" i="4"/>
  <c r="AX198" i="4"/>
  <c r="BB198" i="4" s="1"/>
  <c r="AY197" i="4"/>
  <c r="AX197" i="4"/>
  <c r="BB197" i="4" s="1"/>
  <c r="AY196" i="4"/>
  <c r="AX196" i="4"/>
  <c r="BB196" i="4" s="1"/>
  <c r="AY195" i="4"/>
  <c r="AX195" i="4"/>
  <c r="BB195" i="4" s="1"/>
  <c r="AY194" i="4"/>
  <c r="AX194" i="4"/>
  <c r="BB194" i="4" s="1"/>
  <c r="AY193" i="4"/>
  <c r="AX193" i="4"/>
  <c r="BB193" i="4" s="1"/>
  <c r="BB192" i="4"/>
  <c r="AY192" i="4"/>
  <c r="AX192" i="4"/>
  <c r="AY191" i="4"/>
  <c r="AX191" i="4"/>
  <c r="BB191" i="4" s="1"/>
  <c r="AY190" i="4"/>
  <c r="AX190" i="4"/>
  <c r="BB190" i="4" s="1"/>
  <c r="BB189" i="4"/>
  <c r="AY189" i="4"/>
  <c r="AX189" i="4"/>
  <c r="AY188" i="4"/>
  <c r="AX188" i="4"/>
  <c r="BB188" i="4" s="1"/>
  <c r="AY187" i="4"/>
  <c r="AX187" i="4"/>
  <c r="BB187" i="4" s="1"/>
  <c r="AY186" i="4"/>
  <c r="AX186" i="4"/>
  <c r="BB186" i="4" s="1"/>
  <c r="AY185" i="4"/>
  <c r="AX185" i="4"/>
  <c r="BB185" i="4" s="1"/>
  <c r="AY184" i="4"/>
  <c r="AX184" i="4"/>
  <c r="BB184" i="4" s="1"/>
  <c r="AY183" i="4"/>
  <c r="AX183" i="4"/>
  <c r="BB183" i="4" s="1"/>
  <c r="AY182" i="4"/>
  <c r="AX182" i="4"/>
  <c r="BB182" i="4" s="1"/>
  <c r="AY181" i="4"/>
  <c r="AX181" i="4"/>
  <c r="BB181" i="4" s="1"/>
  <c r="AY180" i="4"/>
  <c r="AX180" i="4"/>
  <c r="BB180" i="4" s="1"/>
  <c r="AY179" i="4"/>
  <c r="AX179" i="4"/>
  <c r="BB179" i="4" s="1"/>
  <c r="AY178" i="4"/>
  <c r="AX178" i="4"/>
  <c r="BB178" i="4" s="1"/>
  <c r="AY177" i="4"/>
  <c r="AX177" i="4"/>
  <c r="BB177" i="4" s="1"/>
  <c r="AY176" i="4"/>
  <c r="AX176" i="4"/>
  <c r="BB176" i="4" s="1"/>
  <c r="AY175" i="4"/>
  <c r="AX175" i="4"/>
  <c r="BB175" i="4" s="1"/>
  <c r="BB174" i="4"/>
  <c r="AY174" i="4"/>
  <c r="AX174" i="4"/>
  <c r="AY173" i="4"/>
  <c r="AX173" i="4"/>
  <c r="BB173" i="4" s="1"/>
  <c r="AY172" i="4"/>
  <c r="AX172" i="4"/>
  <c r="BB172" i="4" s="1"/>
  <c r="AY171" i="4"/>
  <c r="AX171" i="4"/>
  <c r="BB171" i="4" s="1"/>
  <c r="AY170" i="4"/>
  <c r="AX170" i="4"/>
  <c r="BB170" i="4" s="1"/>
  <c r="AY169" i="4"/>
  <c r="AX169" i="4"/>
  <c r="BB169" i="4" s="1"/>
  <c r="AY168" i="4"/>
  <c r="AX168" i="4"/>
  <c r="BB168" i="4" s="1"/>
  <c r="AY167" i="4"/>
  <c r="AX167" i="4"/>
  <c r="BB167" i="4" s="1"/>
  <c r="AY166" i="4"/>
  <c r="AX166" i="4"/>
  <c r="BB166" i="4" s="1"/>
  <c r="AY165" i="4"/>
  <c r="AX165" i="4"/>
  <c r="BB165" i="4" s="1"/>
  <c r="AY164" i="4"/>
  <c r="AX164" i="4"/>
  <c r="BB164" i="4" s="1"/>
  <c r="AY163" i="4"/>
  <c r="AX163" i="4"/>
  <c r="BB163" i="4" s="1"/>
  <c r="AY162" i="4"/>
  <c r="AX162" i="4"/>
  <c r="BB162" i="4" s="1"/>
  <c r="AY161" i="4"/>
  <c r="AX161" i="4"/>
  <c r="BB161" i="4" s="1"/>
  <c r="AY160" i="4"/>
  <c r="AX160" i="4"/>
  <c r="BB160" i="4" s="1"/>
  <c r="AY159" i="4"/>
  <c r="AX159" i="4"/>
  <c r="BB159" i="4" s="1"/>
  <c r="AY158" i="4"/>
  <c r="AX158" i="4"/>
  <c r="BB158" i="4" s="1"/>
  <c r="AY157" i="4"/>
  <c r="AX157" i="4"/>
  <c r="BB157" i="4" s="1"/>
  <c r="AY156" i="4"/>
  <c r="AX156" i="4"/>
  <c r="BB156" i="4" s="1"/>
  <c r="AY155" i="4"/>
  <c r="AX155" i="4"/>
  <c r="BB155" i="4" s="1"/>
  <c r="AY154" i="4"/>
  <c r="AX154" i="4"/>
  <c r="BB154" i="4" s="1"/>
  <c r="AY153" i="4"/>
  <c r="AX153" i="4"/>
  <c r="BB153" i="4" s="1"/>
  <c r="AY152" i="4"/>
  <c r="AX152" i="4"/>
  <c r="BB152" i="4" s="1"/>
  <c r="AY151" i="4"/>
  <c r="AX151" i="4"/>
  <c r="BB151" i="4" s="1"/>
  <c r="AY150" i="4"/>
  <c r="AX150" i="4"/>
  <c r="BB150" i="4" s="1"/>
  <c r="AY149" i="4"/>
  <c r="AX149" i="4"/>
  <c r="BB149" i="4" s="1"/>
  <c r="AY148" i="4"/>
  <c r="AX148" i="4"/>
  <c r="BB148" i="4" s="1"/>
  <c r="AY147" i="4"/>
  <c r="AX147" i="4"/>
  <c r="BB147" i="4" s="1"/>
  <c r="AY146" i="4"/>
  <c r="AX146" i="4"/>
  <c r="BB146" i="4" s="1"/>
  <c r="AY145" i="4"/>
  <c r="AX145" i="4"/>
  <c r="BB145" i="4" s="1"/>
  <c r="AY144" i="4"/>
  <c r="AX144" i="4"/>
  <c r="BB144" i="4" s="1"/>
  <c r="AY143" i="4"/>
  <c r="AX143" i="4"/>
  <c r="BB143" i="4" s="1"/>
  <c r="AY142" i="4"/>
  <c r="AX142" i="4"/>
  <c r="BB142" i="4" s="1"/>
  <c r="AY141" i="4"/>
  <c r="AX141" i="4"/>
  <c r="BB141" i="4" s="1"/>
  <c r="AY140" i="4"/>
  <c r="AX140" i="4"/>
  <c r="BB140" i="4" s="1"/>
  <c r="AY139" i="4"/>
  <c r="AX139" i="4"/>
  <c r="BB139" i="4" s="1"/>
  <c r="AY138" i="4"/>
  <c r="AX138" i="4"/>
  <c r="BB138" i="4" s="1"/>
  <c r="AY137" i="4"/>
  <c r="AX137" i="4"/>
  <c r="BB137" i="4" s="1"/>
  <c r="AY136" i="4"/>
  <c r="AX136" i="4"/>
  <c r="BB136" i="4" s="1"/>
  <c r="AY135" i="4"/>
  <c r="AX135" i="4"/>
  <c r="BB135" i="4" s="1"/>
  <c r="AY134" i="4"/>
  <c r="AX134" i="4"/>
  <c r="BB134" i="4" s="1"/>
  <c r="AY133" i="4"/>
  <c r="AX133" i="4"/>
  <c r="BB133" i="4" s="1"/>
  <c r="AY132" i="4"/>
  <c r="AX132" i="4"/>
  <c r="BB132" i="4" s="1"/>
  <c r="AY131" i="4"/>
  <c r="AX131" i="4"/>
  <c r="BB131" i="4" s="1"/>
  <c r="AY130" i="4"/>
  <c r="AX130" i="4"/>
  <c r="BB130" i="4" s="1"/>
  <c r="AY129" i="4"/>
  <c r="AX129" i="4"/>
  <c r="BB129" i="4" s="1"/>
  <c r="AY128" i="4"/>
  <c r="AX128" i="4"/>
  <c r="BB128" i="4" s="1"/>
  <c r="AY127" i="4"/>
  <c r="AX127" i="4"/>
  <c r="BB127" i="4" s="1"/>
  <c r="AY126" i="4"/>
  <c r="AX126" i="4"/>
  <c r="BB126" i="4" s="1"/>
  <c r="BB125" i="4"/>
  <c r="AY125" i="4"/>
  <c r="AX125" i="4"/>
  <c r="AY124" i="4"/>
  <c r="AX124" i="4"/>
  <c r="BB124" i="4" s="1"/>
  <c r="AY123" i="4"/>
  <c r="AX123" i="4"/>
  <c r="BB123" i="4" s="1"/>
  <c r="AY122" i="4"/>
  <c r="AX122" i="4"/>
  <c r="BB122" i="4" s="1"/>
  <c r="AY121" i="4"/>
  <c r="AX121" i="4"/>
  <c r="BB121" i="4" s="1"/>
  <c r="BB120" i="4"/>
  <c r="AY120" i="4"/>
  <c r="AX120" i="4"/>
  <c r="AY119" i="4"/>
  <c r="AX119" i="4"/>
  <c r="BB119" i="4" s="1"/>
  <c r="AY118" i="4"/>
  <c r="AX118" i="4"/>
  <c r="BB118" i="4" s="1"/>
  <c r="AY117" i="4"/>
  <c r="AX117" i="4"/>
  <c r="BB117" i="4" s="1"/>
  <c r="AY116" i="4"/>
  <c r="AX116" i="4"/>
  <c r="BB116" i="4" s="1"/>
  <c r="AY115" i="4"/>
  <c r="AX115" i="4"/>
  <c r="BB115" i="4" s="1"/>
  <c r="AY114" i="4"/>
  <c r="AX114" i="4"/>
  <c r="BB114" i="4" s="1"/>
  <c r="AY113" i="4"/>
  <c r="AX113" i="4"/>
  <c r="BB113" i="4" s="1"/>
  <c r="AY112" i="4"/>
  <c r="AX112" i="4"/>
  <c r="BB112" i="4" s="1"/>
  <c r="AY111" i="4"/>
  <c r="AX111" i="4"/>
  <c r="BB111" i="4" s="1"/>
  <c r="BB110" i="4"/>
  <c r="AY110" i="4"/>
  <c r="AX110" i="4"/>
  <c r="AY109" i="4"/>
  <c r="AX109" i="4"/>
  <c r="BB109" i="4" s="1"/>
  <c r="AY108" i="4"/>
  <c r="AX108" i="4"/>
  <c r="BB108" i="4" s="1"/>
  <c r="AY107" i="4"/>
  <c r="AX107" i="4"/>
  <c r="BB107" i="4" s="1"/>
  <c r="AY106" i="4"/>
  <c r="AX106" i="4"/>
  <c r="BB106" i="4" s="1"/>
  <c r="AY105" i="4"/>
  <c r="AX105" i="4"/>
  <c r="BB105" i="4" s="1"/>
  <c r="AY104" i="4"/>
  <c r="AX104" i="4"/>
  <c r="BB104" i="4" s="1"/>
  <c r="AY103" i="4"/>
  <c r="AX103" i="4"/>
  <c r="BB103" i="4" s="1"/>
  <c r="AY102" i="4"/>
  <c r="AX102" i="4"/>
  <c r="BB102" i="4" s="1"/>
  <c r="AY101" i="4"/>
  <c r="AX101" i="4"/>
  <c r="BB101" i="4" s="1"/>
  <c r="AY100" i="4"/>
  <c r="AX100" i="4"/>
  <c r="BB100" i="4" s="1"/>
  <c r="AY99" i="4"/>
  <c r="AX99" i="4"/>
  <c r="BB99" i="4" s="1"/>
  <c r="AY98" i="4"/>
  <c r="AX98" i="4"/>
  <c r="BB98" i="4" s="1"/>
  <c r="AY97" i="4"/>
  <c r="AX97" i="4"/>
  <c r="BB97" i="4" s="1"/>
  <c r="AY96" i="4"/>
  <c r="AX96" i="4"/>
  <c r="BB96" i="4" s="1"/>
  <c r="AY95" i="4"/>
  <c r="AX95" i="4"/>
  <c r="BB95" i="4" s="1"/>
  <c r="AY94" i="4"/>
  <c r="AX94" i="4"/>
  <c r="BB94" i="4" s="1"/>
  <c r="AY93" i="4"/>
  <c r="AX93" i="4"/>
  <c r="BB93" i="4" s="1"/>
  <c r="AY92" i="4"/>
  <c r="AX92" i="4"/>
  <c r="BB92" i="4" s="1"/>
  <c r="AY91" i="4"/>
  <c r="AX91" i="4"/>
  <c r="BB91" i="4" s="1"/>
  <c r="AY90" i="4"/>
  <c r="AX90" i="4"/>
  <c r="BB90" i="4" s="1"/>
  <c r="AY89" i="4"/>
  <c r="AX89" i="4"/>
  <c r="BB89" i="4" s="1"/>
  <c r="AY88" i="4"/>
  <c r="AX88" i="4"/>
  <c r="BB88" i="4" s="1"/>
  <c r="AY87" i="4"/>
  <c r="AX87" i="4"/>
  <c r="BB87" i="4" s="1"/>
  <c r="AY86" i="4"/>
  <c r="AX86" i="4"/>
  <c r="BB86" i="4" s="1"/>
  <c r="AY85" i="4"/>
  <c r="AX85" i="4"/>
  <c r="BB85" i="4" s="1"/>
  <c r="AY84" i="4"/>
  <c r="AX84" i="4"/>
  <c r="BB84" i="4" s="1"/>
  <c r="AY83" i="4"/>
  <c r="AX83" i="4"/>
  <c r="BB83" i="4" s="1"/>
  <c r="AY82" i="4"/>
  <c r="AX82" i="4"/>
  <c r="BB82" i="4" s="1"/>
  <c r="AY81" i="4"/>
  <c r="AX81" i="4"/>
  <c r="BB81" i="4" s="1"/>
  <c r="AY80" i="4"/>
  <c r="AX80" i="4"/>
  <c r="BB80" i="4" s="1"/>
  <c r="AY79" i="4"/>
  <c r="AX79" i="4"/>
  <c r="BB79" i="4" s="1"/>
  <c r="AY78" i="4"/>
  <c r="AX78" i="4"/>
  <c r="BB78" i="4" s="1"/>
  <c r="BB77" i="4"/>
  <c r="AY77" i="4"/>
  <c r="AX77" i="4"/>
  <c r="AY76" i="4"/>
  <c r="AX76" i="4"/>
  <c r="BB76" i="4" s="1"/>
  <c r="AY75" i="4"/>
  <c r="AX75" i="4"/>
  <c r="BB75" i="4" s="1"/>
  <c r="BB74" i="4"/>
  <c r="AY74" i="4"/>
  <c r="AX74" i="4"/>
  <c r="AY73" i="4"/>
  <c r="AX73" i="4"/>
  <c r="BB73" i="4" s="1"/>
  <c r="AY72" i="4"/>
  <c r="AX72" i="4"/>
  <c r="BB72" i="4" s="1"/>
  <c r="AY71" i="4"/>
  <c r="AX71" i="4"/>
  <c r="BB71" i="4" s="1"/>
  <c r="BB70" i="4"/>
  <c r="AY70" i="4"/>
  <c r="AX70" i="4"/>
  <c r="AY69" i="4"/>
  <c r="AX69" i="4"/>
  <c r="BB69" i="4" s="1"/>
  <c r="AY68" i="4"/>
  <c r="AX68" i="4"/>
  <c r="BB68" i="4" s="1"/>
  <c r="AY67" i="4"/>
  <c r="AX67" i="4"/>
  <c r="BB67" i="4" s="1"/>
  <c r="AY66" i="4"/>
  <c r="AX66" i="4"/>
  <c r="BB66" i="4" s="1"/>
  <c r="AY65" i="4"/>
  <c r="AX65" i="4"/>
  <c r="BB65" i="4" s="1"/>
  <c r="AY64" i="4"/>
  <c r="AX64" i="4"/>
  <c r="BB64" i="4" s="1"/>
  <c r="AY63" i="4"/>
  <c r="AX63" i="4"/>
  <c r="BB63" i="4" s="1"/>
  <c r="AY62" i="4"/>
  <c r="AX62" i="4"/>
  <c r="BB62" i="4" s="1"/>
  <c r="AY61" i="4"/>
  <c r="AX61" i="4"/>
  <c r="BB61" i="4" s="1"/>
  <c r="AY60" i="4"/>
  <c r="AX60" i="4"/>
  <c r="BB60" i="4" s="1"/>
  <c r="AY59" i="4"/>
  <c r="AX59" i="4"/>
  <c r="BB59" i="4" s="1"/>
  <c r="AY58" i="4"/>
  <c r="AX58" i="4"/>
  <c r="BB58" i="4" s="1"/>
  <c r="AY57" i="4"/>
  <c r="AX57" i="4"/>
  <c r="BB57" i="4" s="1"/>
  <c r="AY56" i="4"/>
  <c r="AX56" i="4"/>
  <c r="BB56" i="4" s="1"/>
  <c r="AY55" i="4"/>
  <c r="AX55" i="4"/>
  <c r="BB55" i="4" s="1"/>
  <c r="AY54" i="4"/>
  <c r="AX54" i="4"/>
  <c r="BB54" i="4" s="1"/>
  <c r="AY53" i="4"/>
  <c r="AX53" i="4"/>
  <c r="BB53" i="4" s="1"/>
  <c r="AY52" i="4"/>
  <c r="AX52" i="4"/>
  <c r="BB52" i="4" s="1"/>
  <c r="AY51" i="4"/>
  <c r="AX51" i="4"/>
  <c r="BB51" i="4" s="1"/>
  <c r="AY50" i="4"/>
  <c r="AX50" i="4"/>
  <c r="BB50" i="4" s="1"/>
  <c r="AY49" i="4"/>
  <c r="AX49" i="4"/>
  <c r="BB49" i="4" s="1"/>
  <c r="AY48" i="4"/>
  <c r="AX48" i="4"/>
  <c r="BB48" i="4" s="1"/>
  <c r="AY47" i="4"/>
  <c r="AX47" i="4"/>
  <c r="BB47" i="4" s="1"/>
  <c r="AY46" i="4"/>
  <c r="AX46" i="4"/>
  <c r="BB46" i="4" s="1"/>
  <c r="AY45" i="4"/>
  <c r="AX45" i="4"/>
  <c r="BB45" i="4" s="1"/>
  <c r="AY44" i="4"/>
  <c r="AX44" i="4"/>
  <c r="BB44" i="4" s="1"/>
  <c r="AY43" i="4"/>
  <c r="AX43" i="4"/>
  <c r="BB43" i="4" s="1"/>
  <c r="AY42" i="4"/>
  <c r="AX42" i="4"/>
  <c r="BB42" i="4" s="1"/>
  <c r="AY41" i="4"/>
  <c r="AX41" i="4"/>
  <c r="BB41" i="4" s="1"/>
  <c r="AY40" i="4"/>
  <c r="AX40" i="4"/>
  <c r="BB40" i="4" s="1"/>
  <c r="AY39" i="4"/>
  <c r="AX39" i="4"/>
  <c r="BB39" i="4" s="1"/>
  <c r="AY38" i="4"/>
  <c r="AX38" i="4"/>
  <c r="BB38" i="4" s="1"/>
  <c r="AY37" i="4"/>
  <c r="AX37" i="4"/>
  <c r="BB37" i="4" s="1"/>
  <c r="AY36" i="4"/>
  <c r="AX36" i="4"/>
  <c r="BB36" i="4" s="1"/>
  <c r="AY35" i="4"/>
  <c r="AX35" i="4"/>
  <c r="BB35" i="4" s="1"/>
  <c r="AY34" i="4"/>
  <c r="AX34" i="4"/>
  <c r="BB34" i="4" s="1"/>
  <c r="AY33" i="4"/>
  <c r="AX33" i="4"/>
  <c r="BB33" i="4" s="1"/>
  <c r="AY32" i="4"/>
  <c r="AX32" i="4"/>
  <c r="BB32" i="4" s="1"/>
  <c r="AY31" i="4"/>
  <c r="AX31" i="4"/>
  <c r="BB31" i="4" s="1"/>
  <c r="AY30" i="4"/>
  <c r="AX30" i="4"/>
  <c r="BB30" i="4" s="1"/>
  <c r="AY29" i="4"/>
  <c r="AX29" i="4"/>
  <c r="BB29" i="4" s="1"/>
  <c r="AY28" i="4"/>
  <c r="AX28" i="4"/>
  <c r="BB28" i="4" s="1"/>
  <c r="AY27" i="4"/>
  <c r="AX27" i="4"/>
  <c r="BB27" i="4" s="1"/>
  <c r="AY26" i="4"/>
  <c r="AX26" i="4"/>
  <c r="BB26" i="4" s="1"/>
  <c r="AY25" i="4"/>
  <c r="AX25" i="4"/>
  <c r="BB25" i="4" s="1"/>
  <c r="AY24" i="4"/>
  <c r="AX24" i="4"/>
  <c r="BB24" i="4" s="1"/>
  <c r="AY23" i="4"/>
  <c r="AX23" i="4"/>
  <c r="BB23" i="4" s="1"/>
  <c r="AY22" i="4"/>
  <c r="AX22" i="4"/>
  <c r="BB22" i="4" s="1"/>
  <c r="AY21" i="4"/>
  <c r="AX21" i="4"/>
  <c r="BB21" i="4" s="1"/>
  <c r="AY20" i="4"/>
  <c r="AX20" i="4"/>
  <c r="BB20" i="4" s="1"/>
  <c r="AY19" i="4"/>
  <c r="AX19" i="4"/>
  <c r="BB19" i="4" s="1"/>
  <c r="AY18" i="4"/>
  <c r="AX18" i="4"/>
  <c r="BB18" i="4" s="1"/>
  <c r="AY17" i="4"/>
  <c r="AX17" i="4"/>
  <c r="BB17" i="4" s="1"/>
  <c r="AY16" i="4"/>
  <c r="AX16" i="4"/>
  <c r="BB16" i="4" s="1"/>
  <c r="AY15" i="4"/>
  <c r="AX15" i="4"/>
  <c r="BB15" i="4" s="1"/>
  <c r="AY14" i="4"/>
  <c r="AX14" i="4"/>
  <c r="BB14" i="4" s="1"/>
  <c r="BB13" i="4"/>
  <c r="AY13" i="4"/>
  <c r="AX13" i="4"/>
  <c r="AY12" i="4"/>
  <c r="AX12" i="4"/>
  <c r="BB12" i="4" s="1"/>
  <c r="AY11" i="4"/>
  <c r="AX11" i="4"/>
  <c r="BB11" i="4" s="1"/>
  <c r="AY10" i="4"/>
  <c r="AX10" i="4"/>
  <c r="BB10" i="4" s="1"/>
  <c r="AY9" i="4"/>
  <c r="AX9" i="4"/>
  <c r="BB9" i="4" s="1"/>
  <c r="AY8" i="4"/>
  <c r="AX8" i="4"/>
  <c r="BB8" i="4" s="1"/>
  <c r="AY7" i="4"/>
  <c r="AX7" i="4"/>
  <c r="BB7" i="4" s="1"/>
  <c r="AY6" i="4"/>
  <c r="AX6" i="4"/>
  <c r="BB6" i="4" s="1"/>
  <c r="AY5" i="4"/>
  <c r="AX5" i="4"/>
  <c r="BB5" i="4" s="1"/>
  <c r="AY4" i="4"/>
  <c r="AX4" i="4"/>
  <c r="BB4" i="4" s="1"/>
  <c r="AY3" i="4"/>
  <c r="AX3" i="4"/>
  <c r="BB3" i="4" s="1"/>
  <c r="AT219" i="3"/>
  <c r="AS219" i="3"/>
  <c r="AW219" i="3" s="1"/>
  <c r="AT218" i="3"/>
  <c r="AS218" i="3"/>
  <c r="AW218" i="3" s="1"/>
  <c r="AW217" i="3"/>
  <c r="AT217" i="3"/>
  <c r="AS217" i="3"/>
  <c r="AT216" i="3"/>
  <c r="AS216" i="3"/>
  <c r="AW216" i="3" s="1"/>
  <c r="AW215" i="3"/>
  <c r="AT215" i="3"/>
  <c r="AS215" i="3"/>
  <c r="AW214" i="3"/>
  <c r="AT214" i="3"/>
  <c r="AS214" i="3"/>
  <c r="AT213" i="3"/>
  <c r="AS213" i="3"/>
  <c r="AW213" i="3" s="1"/>
  <c r="AT212" i="3"/>
  <c r="AS212" i="3"/>
  <c r="AW212" i="3" s="1"/>
  <c r="AW211" i="3"/>
  <c r="AT211" i="3"/>
  <c r="AS211" i="3"/>
  <c r="AT210" i="3"/>
  <c r="AS210" i="3"/>
  <c r="AW210" i="3" s="1"/>
  <c r="AW209" i="3"/>
  <c r="AT209" i="3"/>
  <c r="AS209" i="3"/>
  <c r="AT208" i="3"/>
  <c r="AS208" i="3"/>
  <c r="AW208" i="3" s="1"/>
  <c r="AT207" i="3"/>
  <c r="AS207" i="3"/>
  <c r="AW207" i="3" s="1"/>
  <c r="AW206" i="3"/>
  <c r="AT206" i="3"/>
  <c r="AS206" i="3"/>
  <c r="AW205" i="3"/>
  <c r="AT205" i="3"/>
  <c r="AS205" i="3"/>
  <c r="AT204" i="3"/>
  <c r="AS204" i="3"/>
  <c r="AW204" i="3" s="1"/>
  <c r="AW203" i="3"/>
  <c r="AT203" i="3"/>
  <c r="AS203" i="3"/>
  <c r="AT202" i="3"/>
  <c r="AS202" i="3"/>
  <c r="AW202" i="3" s="1"/>
  <c r="AT201" i="3"/>
  <c r="AS201" i="3"/>
  <c r="AW201" i="3" s="1"/>
  <c r="AT200" i="3"/>
  <c r="AS200" i="3"/>
  <c r="AW200" i="3" s="1"/>
  <c r="AW199" i="3"/>
  <c r="AT199" i="3"/>
  <c r="AS199" i="3"/>
  <c r="AW198" i="3"/>
  <c r="AT198" i="3"/>
  <c r="AS198" i="3"/>
  <c r="AW197" i="3"/>
  <c r="AT197" i="3"/>
  <c r="AS197" i="3"/>
  <c r="AT196" i="3"/>
  <c r="AS196" i="3"/>
  <c r="AW196" i="3" s="1"/>
  <c r="AT195" i="3"/>
  <c r="AS195" i="3"/>
  <c r="AW195" i="3" s="1"/>
  <c r="AT194" i="3"/>
  <c r="AS194" i="3"/>
  <c r="AW194" i="3" s="1"/>
  <c r="AW193" i="3"/>
  <c r="AT193" i="3"/>
  <c r="AS193" i="3"/>
  <c r="AT192" i="3"/>
  <c r="AS192" i="3"/>
  <c r="AW192" i="3" s="1"/>
  <c r="AT191" i="3"/>
  <c r="AS191" i="3"/>
  <c r="AW191" i="3" s="1"/>
  <c r="AW190" i="3"/>
  <c r="AT190" i="3"/>
  <c r="AS190" i="3"/>
  <c r="AT189" i="3"/>
  <c r="AS189" i="3"/>
  <c r="AW189" i="3" s="1"/>
  <c r="AT188" i="3"/>
  <c r="AS188" i="3"/>
  <c r="AW188" i="3" s="1"/>
  <c r="AW187" i="3"/>
  <c r="AT187" i="3"/>
  <c r="AS187" i="3"/>
  <c r="AT186" i="3"/>
  <c r="AS186" i="3"/>
  <c r="AW186" i="3" s="1"/>
  <c r="AT185" i="3"/>
  <c r="AS185" i="3"/>
  <c r="AW185" i="3" s="1"/>
  <c r="AT184" i="3"/>
  <c r="AS184" i="3"/>
  <c r="AW184" i="3" s="1"/>
  <c r="AT183" i="3"/>
  <c r="AS183" i="3"/>
  <c r="AW183" i="3" s="1"/>
  <c r="AW182" i="3"/>
  <c r="AT182" i="3"/>
  <c r="AS182" i="3"/>
  <c r="AW181" i="3"/>
  <c r="AT181" i="3"/>
  <c r="AS181" i="3"/>
  <c r="AT180" i="3"/>
  <c r="AS180" i="3"/>
  <c r="AW180" i="3" s="1"/>
  <c r="AT179" i="3"/>
  <c r="AS179" i="3"/>
  <c r="AW179" i="3" s="1"/>
  <c r="AT178" i="3"/>
  <c r="AS178" i="3"/>
  <c r="AW178" i="3" s="1"/>
  <c r="AT177" i="3"/>
  <c r="AS177" i="3"/>
  <c r="AW177" i="3" s="1"/>
  <c r="AT176" i="3"/>
  <c r="AS176" i="3"/>
  <c r="AW176" i="3" s="1"/>
  <c r="AW175" i="3"/>
  <c r="AT175" i="3"/>
  <c r="AS175" i="3"/>
  <c r="AW174" i="3"/>
  <c r="AT174" i="3"/>
  <c r="AS174" i="3"/>
  <c r="AT173" i="3"/>
  <c r="AS173" i="3"/>
  <c r="AW173" i="3" s="1"/>
  <c r="AT172" i="3"/>
  <c r="AS172" i="3"/>
  <c r="AW172" i="3" s="1"/>
  <c r="AT171" i="3"/>
  <c r="AS171" i="3"/>
  <c r="AW171" i="3" s="1"/>
  <c r="AT170" i="3"/>
  <c r="AS170" i="3"/>
  <c r="AW170" i="3" s="1"/>
  <c r="AW169" i="3"/>
  <c r="AT169" i="3"/>
  <c r="AS169" i="3"/>
  <c r="AT168" i="3"/>
  <c r="AS168" i="3"/>
  <c r="AW168" i="3" s="1"/>
  <c r="AT167" i="3"/>
  <c r="AS167" i="3"/>
  <c r="AW167" i="3" s="1"/>
  <c r="AW166" i="3"/>
  <c r="AT166" i="3"/>
  <c r="AS166" i="3"/>
  <c r="AT165" i="3"/>
  <c r="AS165" i="3"/>
  <c r="AW165" i="3" s="1"/>
  <c r="AT164" i="3"/>
  <c r="AS164" i="3"/>
  <c r="AW164" i="3" s="1"/>
  <c r="AW163" i="3"/>
  <c r="AT163" i="3"/>
  <c r="AS163" i="3"/>
  <c r="AT162" i="3"/>
  <c r="AS162" i="3"/>
  <c r="AW162" i="3" s="1"/>
  <c r="AT161" i="3"/>
  <c r="AS161" i="3"/>
  <c r="AW161" i="3" s="1"/>
  <c r="AT160" i="3"/>
  <c r="AS160" i="3"/>
  <c r="AW160" i="3" s="1"/>
  <c r="AW159" i="3"/>
  <c r="AT159" i="3"/>
  <c r="AS159" i="3"/>
  <c r="AW158" i="3"/>
  <c r="AT158" i="3"/>
  <c r="AS158" i="3"/>
  <c r="AW157" i="3"/>
  <c r="AT157" i="3"/>
  <c r="AS157" i="3"/>
  <c r="AT156" i="3"/>
  <c r="AS156" i="3"/>
  <c r="AW156" i="3" s="1"/>
  <c r="AT155" i="3"/>
  <c r="AS155" i="3"/>
  <c r="AW155" i="3" s="1"/>
  <c r="AT154" i="3"/>
  <c r="AS154" i="3"/>
  <c r="AW154" i="3" s="1"/>
  <c r="AT153" i="3"/>
  <c r="AS153" i="3"/>
  <c r="AW153" i="3" s="1"/>
  <c r="AT152" i="3"/>
  <c r="AS152" i="3"/>
  <c r="AW152" i="3" s="1"/>
  <c r="AW151" i="3"/>
  <c r="AT151" i="3"/>
  <c r="AS151" i="3"/>
  <c r="AW150" i="3"/>
  <c r="AT150" i="3"/>
  <c r="AS150" i="3"/>
  <c r="AT149" i="3"/>
  <c r="AS149" i="3"/>
  <c r="AW149" i="3" s="1"/>
  <c r="AW148" i="3"/>
  <c r="AT148" i="3"/>
  <c r="AS148" i="3"/>
  <c r="AT147" i="3"/>
  <c r="AS147" i="3"/>
  <c r="AW147" i="3" s="1"/>
  <c r="AT146" i="3"/>
  <c r="AS146" i="3"/>
  <c r="AW146" i="3" s="1"/>
  <c r="AW145" i="3"/>
  <c r="AT145" i="3"/>
  <c r="AS145" i="3"/>
  <c r="AT144" i="3"/>
  <c r="AS144" i="3"/>
  <c r="AW144" i="3" s="1"/>
  <c r="AT143" i="3"/>
  <c r="AS143" i="3"/>
  <c r="AW143" i="3" s="1"/>
  <c r="AW142" i="3"/>
  <c r="AT142" i="3"/>
  <c r="AS142" i="3"/>
  <c r="AT141" i="3"/>
  <c r="AS141" i="3"/>
  <c r="AW141" i="3" s="1"/>
  <c r="AT140" i="3"/>
  <c r="AS140" i="3"/>
  <c r="AW140" i="3" s="1"/>
  <c r="AW139" i="3"/>
  <c r="AT139" i="3"/>
  <c r="AS139" i="3"/>
  <c r="AT138" i="3"/>
  <c r="AS138" i="3"/>
  <c r="AW138" i="3" s="1"/>
  <c r="AT137" i="3"/>
  <c r="AS137" i="3"/>
  <c r="AW137" i="3" s="1"/>
  <c r="AW136" i="3"/>
  <c r="AT136" i="3"/>
  <c r="AS136" i="3"/>
  <c r="AT135" i="3"/>
  <c r="AS135" i="3"/>
  <c r="AW135" i="3" s="1"/>
  <c r="AW134" i="3"/>
  <c r="AT134" i="3"/>
  <c r="AS134" i="3"/>
  <c r="AT133" i="3"/>
  <c r="AS133" i="3"/>
  <c r="AW133" i="3" s="1"/>
  <c r="AT132" i="3"/>
  <c r="AS132" i="3"/>
  <c r="AW132" i="3" s="1"/>
  <c r="AW131" i="3"/>
  <c r="AT131" i="3"/>
  <c r="AS131" i="3"/>
  <c r="AT130" i="3"/>
  <c r="AS130" i="3"/>
  <c r="AW130" i="3" s="1"/>
  <c r="AT129" i="3"/>
  <c r="AS129" i="3"/>
  <c r="AW129" i="3" s="1"/>
  <c r="AW128" i="3"/>
  <c r="AT128" i="3"/>
  <c r="AS128" i="3"/>
  <c r="AT127" i="3"/>
  <c r="AS127" i="3"/>
  <c r="AW127" i="3" s="1"/>
  <c r="AW126" i="3"/>
  <c r="AT126" i="3"/>
  <c r="AS126" i="3"/>
  <c r="AW125" i="3"/>
  <c r="AT125" i="3"/>
  <c r="AS125" i="3"/>
  <c r="AT124" i="3"/>
  <c r="AS124" i="3"/>
  <c r="AW124" i="3" s="1"/>
  <c r="AW123" i="3"/>
  <c r="AT123" i="3"/>
  <c r="AS123" i="3"/>
  <c r="AT122" i="3"/>
  <c r="AS122" i="3"/>
  <c r="AW122" i="3" s="1"/>
  <c r="AT121" i="3"/>
  <c r="AS121" i="3"/>
  <c r="AW121" i="3" s="1"/>
  <c r="AW120" i="3"/>
  <c r="AT120" i="3"/>
  <c r="AS120" i="3"/>
  <c r="AT119" i="3"/>
  <c r="AS119" i="3"/>
  <c r="AW119" i="3" s="1"/>
  <c r="AW118" i="3"/>
  <c r="AT118" i="3"/>
  <c r="AS118" i="3"/>
  <c r="AW117" i="3"/>
  <c r="AT117" i="3"/>
  <c r="AS117" i="3"/>
  <c r="AT116" i="3"/>
  <c r="AS116" i="3"/>
  <c r="AW116" i="3" s="1"/>
  <c r="AT115" i="3"/>
  <c r="AS115" i="3"/>
  <c r="AW115" i="3" s="1"/>
  <c r="AT114" i="3"/>
  <c r="AS114" i="3"/>
  <c r="AW114" i="3" s="1"/>
  <c r="AT113" i="3"/>
  <c r="AS113" i="3"/>
  <c r="AW113" i="3" s="1"/>
  <c r="AW112" i="3"/>
  <c r="AT112" i="3"/>
  <c r="AS112" i="3"/>
  <c r="AW111" i="3"/>
  <c r="AT111" i="3"/>
  <c r="AS111" i="3"/>
  <c r="AW110" i="3"/>
  <c r="AT110" i="3"/>
  <c r="AS110" i="3"/>
  <c r="AW109" i="3"/>
  <c r="AT109" i="3"/>
  <c r="AS109" i="3"/>
  <c r="AT108" i="3"/>
  <c r="AS108" i="3"/>
  <c r="AW108" i="3" s="1"/>
  <c r="AT107" i="3"/>
  <c r="AS107" i="3"/>
  <c r="AW107" i="3" s="1"/>
  <c r="AT106" i="3"/>
  <c r="AS106" i="3"/>
  <c r="AW106" i="3" s="1"/>
  <c r="AT105" i="3"/>
  <c r="AS105" i="3"/>
  <c r="AW105" i="3" s="1"/>
  <c r="AW104" i="3"/>
  <c r="AT104" i="3"/>
  <c r="AS104" i="3"/>
  <c r="AW103" i="3"/>
  <c r="AT103" i="3"/>
  <c r="AS103" i="3"/>
  <c r="AT102" i="3"/>
  <c r="AS102" i="3"/>
  <c r="AW102" i="3" s="1"/>
  <c r="AT101" i="3"/>
  <c r="AS101" i="3"/>
  <c r="AW101" i="3" s="1"/>
  <c r="AW100" i="3"/>
  <c r="AT100" i="3"/>
  <c r="AS100" i="3"/>
  <c r="AT99" i="3"/>
  <c r="AS99" i="3"/>
  <c r="AW99" i="3" s="1"/>
  <c r="AT98" i="3"/>
  <c r="AS98" i="3"/>
  <c r="AW98" i="3" s="1"/>
  <c r="AW97" i="3"/>
  <c r="AT97" i="3"/>
  <c r="AS97" i="3"/>
  <c r="AW96" i="3"/>
  <c r="AT96" i="3"/>
  <c r="AS96" i="3"/>
  <c r="AW95" i="3"/>
  <c r="AT95" i="3"/>
  <c r="AS95" i="3"/>
  <c r="AT94" i="3"/>
  <c r="AS94" i="3"/>
  <c r="AW94" i="3" s="1"/>
  <c r="AT93" i="3"/>
  <c r="AS93" i="3"/>
  <c r="AW93" i="3" s="1"/>
  <c r="AW92" i="3"/>
  <c r="AT92" i="3"/>
  <c r="AS92" i="3"/>
  <c r="AT91" i="3"/>
  <c r="AS91" i="3"/>
  <c r="AW91" i="3" s="1"/>
  <c r="AT90" i="3"/>
  <c r="AS90" i="3"/>
  <c r="AW90" i="3" s="1"/>
  <c r="AW89" i="3"/>
  <c r="AT89" i="3"/>
  <c r="AS89" i="3"/>
  <c r="AW88" i="3"/>
  <c r="AT88" i="3"/>
  <c r="AS88" i="3"/>
  <c r="AT87" i="3"/>
  <c r="AS87" i="3"/>
  <c r="AW87" i="3" s="1"/>
  <c r="AW86" i="3"/>
  <c r="AT86" i="3"/>
  <c r="AS86" i="3"/>
  <c r="AT85" i="3"/>
  <c r="AS85" i="3"/>
  <c r="AW85" i="3" s="1"/>
  <c r="AW84" i="3"/>
  <c r="AT84" i="3"/>
  <c r="AS84" i="3"/>
  <c r="AT83" i="3"/>
  <c r="AS83" i="3"/>
  <c r="AW83" i="3" s="1"/>
  <c r="AT82" i="3"/>
  <c r="AS82" i="3"/>
  <c r="AW82" i="3" s="1"/>
  <c r="AW81" i="3"/>
  <c r="AT81" i="3"/>
  <c r="AS81" i="3"/>
  <c r="AW80" i="3"/>
  <c r="AT80" i="3"/>
  <c r="AS80" i="3"/>
  <c r="AT79" i="3"/>
  <c r="AS79" i="3"/>
  <c r="AW79" i="3" s="1"/>
  <c r="AW78" i="3"/>
  <c r="AT78" i="3"/>
  <c r="AS78" i="3"/>
  <c r="AT77" i="3"/>
  <c r="AS77" i="3"/>
  <c r="AW77" i="3" s="1"/>
  <c r="AT76" i="3"/>
  <c r="AS76" i="3"/>
  <c r="AW76" i="3" s="1"/>
  <c r="AW75" i="3"/>
  <c r="AT75" i="3"/>
  <c r="AS75" i="3"/>
  <c r="AT74" i="3"/>
  <c r="AS74" i="3"/>
  <c r="AW74" i="3" s="1"/>
  <c r="AT73" i="3"/>
  <c r="AS73" i="3"/>
  <c r="AW73" i="3" s="1"/>
  <c r="AW72" i="3"/>
  <c r="AT72" i="3"/>
  <c r="AS72" i="3"/>
  <c r="AT71" i="3"/>
  <c r="AS71" i="3"/>
  <c r="AW71" i="3" s="1"/>
  <c r="AW70" i="3"/>
  <c r="AT70" i="3"/>
  <c r="AS70" i="3"/>
  <c r="AT69" i="3"/>
  <c r="AS69" i="3"/>
  <c r="AW69" i="3" s="1"/>
  <c r="AT68" i="3"/>
  <c r="AS68" i="3"/>
  <c r="AW68" i="3" s="1"/>
  <c r="AW67" i="3"/>
  <c r="AT67" i="3"/>
  <c r="AS67" i="3"/>
  <c r="AT66" i="3"/>
  <c r="AS66" i="3"/>
  <c r="AW66" i="3" s="1"/>
  <c r="AT65" i="3"/>
  <c r="AS65" i="3"/>
  <c r="AW65" i="3" s="1"/>
  <c r="AW64" i="3"/>
  <c r="AT64" i="3"/>
  <c r="AS64" i="3"/>
  <c r="AT63" i="3"/>
  <c r="AS63" i="3"/>
  <c r="AW63" i="3" s="1"/>
  <c r="AT62" i="3"/>
  <c r="AS62" i="3"/>
  <c r="AW62" i="3" s="1"/>
  <c r="AW61" i="3"/>
  <c r="AT61" i="3"/>
  <c r="AS61" i="3"/>
  <c r="AT60" i="3"/>
  <c r="AS60" i="3"/>
  <c r="AW60" i="3" s="1"/>
  <c r="AW59" i="3"/>
  <c r="AT59" i="3"/>
  <c r="AS59" i="3"/>
  <c r="AT58" i="3"/>
  <c r="AS58" i="3"/>
  <c r="AW58" i="3" s="1"/>
  <c r="AT57" i="3"/>
  <c r="AS57" i="3"/>
  <c r="AW57" i="3" s="1"/>
  <c r="AW56" i="3"/>
  <c r="AT56" i="3"/>
  <c r="AS56" i="3"/>
  <c r="AT55" i="3"/>
  <c r="AS55" i="3"/>
  <c r="AW55" i="3" s="1"/>
  <c r="AT54" i="3"/>
  <c r="AS54" i="3"/>
  <c r="AW54" i="3" s="1"/>
  <c r="AW53" i="3"/>
  <c r="AT53" i="3"/>
  <c r="AS53" i="3"/>
  <c r="AT52" i="3"/>
  <c r="AS52" i="3"/>
  <c r="AW52" i="3" s="1"/>
  <c r="AT51" i="3"/>
  <c r="AS51" i="3"/>
  <c r="AW51" i="3" s="1"/>
  <c r="AT50" i="3"/>
  <c r="AS50" i="3"/>
  <c r="AW50" i="3" s="1"/>
  <c r="AT49" i="3"/>
  <c r="AS49" i="3"/>
  <c r="AW49" i="3" s="1"/>
  <c r="AW48" i="3"/>
  <c r="AT48" i="3"/>
  <c r="AS48" i="3"/>
  <c r="AW47" i="3"/>
  <c r="AT47" i="3"/>
  <c r="AS47" i="3"/>
  <c r="AT46" i="3"/>
  <c r="AS46" i="3"/>
  <c r="AW46" i="3" s="1"/>
  <c r="AW45" i="3"/>
  <c r="AT45" i="3"/>
  <c r="AS45" i="3"/>
  <c r="AT44" i="3"/>
  <c r="AS44" i="3"/>
  <c r="AW44" i="3" s="1"/>
  <c r="AT43" i="3"/>
  <c r="AS43" i="3"/>
  <c r="AW43" i="3" s="1"/>
  <c r="AT42" i="3"/>
  <c r="AS42" i="3"/>
  <c r="AW42" i="3" s="1"/>
  <c r="AT41" i="3"/>
  <c r="AS41" i="3"/>
  <c r="AW41" i="3" s="1"/>
  <c r="AW40" i="3"/>
  <c r="AT40" i="3"/>
  <c r="AS40" i="3"/>
  <c r="AW39" i="3"/>
  <c r="AT39" i="3"/>
  <c r="AS39" i="3"/>
  <c r="AT38" i="3"/>
  <c r="AS38" i="3"/>
  <c r="AW38" i="3" s="1"/>
  <c r="AT37" i="3"/>
  <c r="AS37" i="3"/>
  <c r="AW37" i="3" s="1"/>
  <c r="AW36" i="3"/>
  <c r="AT36" i="3"/>
  <c r="AS36" i="3"/>
  <c r="AT35" i="3"/>
  <c r="AS35" i="3"/>
  <c r="AW35" i="3" s="1"/>
  <c r="AT34" i="3"/>
  <c r="AS34" i="3"/>
  <c r="AW34" i="3" s="1"/>
  <c r="AW33" i="3"/>
  <c r="AT33" i="3"/>
  <c r="AS33" i="3"/>
  <c r="AT32" i="3"/>
  <c r="AS32" i="3"/>
  <c r="AW32" i="3" s="1"/>
  <c r="AW31" i="3"/>
  <c r="AT31" i="3"/>
  <c r="AS31" i="3"/>
  <c r="AT30" i="3"/>
  <c r="AS30" i="3"/>
  <c r="AW30" i="3" s="1"/>
  <c r="AT29" i="3"/>
  <c r="AS29" i="3"/>
  <c r="AW29" i="3" s="1"/>
  <c r="AW28" i="3"/>
  <c r="AT28" i="3"/>
  <c r="AS28" i="3"/>
  <c r="AT27" i="3"/>
  <c r="AS27" i="3"/>
  <c r="AW27" i="3" s="1"/>
  <c r="AT26" i="3"/>
  <c r="AS26" i="3"/>
  <c r="AW26" i="3" s="1"/>
  <c r="AW25" i="3"/>
  <c r="AT25" i="3"/>
  <c r="AS25" i="3"/>
  <c r="AT24" i="3"/>
  <c r="AS24" i="3"/>
  <c r="AW24" i="3" s="1"/>
  <c r="AW23" i="3"/>
  <c r="AT23" i="3"/>
  <c r="AS23" i="3"/>
  <c r="AT22" i="3"/>
  <c r="AS22" i="3"/>
  <c r="AW22" i="3" s="1"/>
  <c r="AT21" i="3"/>
  <c r="AS21" i="3"/>
  <c r="AW21" i="3" s="1"/>
  <c r="AW20" i="3"/>
  <c r="AT20" i="3"/>
  <c r="AS20" i="3"/>
  <c r="AT19" i="3"/>
  <c r="AS19" i="3"/>
  <c r="AW19" i="3" s="1"/>
  <c r="AT18" i="3"/>
  <c r="AS18" i="3"/>
  <c r="AW18" i="3" s="1"/>
  <c r="AW17" i="3"/>
  <c r="AT17" i="3"/>
  <c r="AS17" i="3"/>
  <c r="AT16" i="3"/>
  <c r="AS16" i="3"/>
  <c r="AW16" i="3" s="1"/>
  <c r="AW15" i="3"/>
  <c r="AT15" i="3"/>
  <c r="AS15" i="3"/>
  <c r="AT14" i="3"/>
  <c r="AS14" i="3"/>
  <c r="AW14" i="3" s="1"/>
  <c r="AT13" i="3"/>
  <c r="AS13" i="3"/>
  <c r="AW13" i="3" s="1"/>
  <c r="AW12" i="3"/>
  <c r="AT12" i="3"/>
  <c r="AS12" i="3"/>
  <c r="AT11" i="3"/>
  <c r="AS11" i="3"/>
  <c r="AW11" i="3" s="1"/>
  <c r="AT10" i="3"/>
  <c r="AS10" i="3"/>
  <c r="AW10" i="3" s="1"/>
  <c r="AW9" i="3"/>
  <c r="AT9" i="3"/>
  <c r="AS9" i="3"/>
  <c r="AT8" i="3"/>
  <c r="AS8" i="3"/>
  <c r="AW8" i="3" s="1"/>
  <c r="AW7" i="3"/>
  <c r="AT7" i="3"/>
  <c r="AS7" i="3"/>
  <c r="AT6" i="3"/>
  <c r="AS6" i="3"/>
  <c r="AW6" i="3" s="1"/>
  <c r="AT5" i="3"/>
  <c r="AS5" i="3"/>
  <c r="AW5" i="3" s="1"/>
  <c r="AW4" i="3"/>
  <c r="AT4" i="3"/>
  <c r="AS4" i="3"/>
  <c r="AT3" i="3"/>
  <c r="AS3" i="3"/>
  <c r="AW3" i="3" s="1"/>
</calcChain>
</file>

<file path=xl/sharedStrings.xml><?xml version="1.0" encoding="utf-8"?>
<sst xmlns="http://schemas.openxmlformats.org/spreadsheetml/2006/main" count="19883" uniqueCount="3062">
  <si>
    <t>SBM - PCF - LM references - Data collection</t>
  </si>
  <si>
    <t>Purpose of this workbook</t>
  </si>
  <si>
    <t>This workbook collects the data required to compute Product Carbon Footprints (PCF) for the SBM products referenced by Leroy Merlin (LM). It works at two levels:</t>
  </si>
  <si>
    <t>• Product tab — one row per finished product. To be filled in by SBM for its own production processes, or by a supplier of finished products (a toller producing and packing a finished good on behalf of SBM, or a supplier of a trade product).</t>
  </si>
  <si>
    <t>• Component tab — one row per component entering the composition of a finished product. To be filled in by SBM or by a supplier of components (raw material, packaging, semi-finished item, etc.).</t>
  </si>
  <si>
    <t>How to fill the tabs</t>
  </si>
  <si>
    <t>1. One row per product (Product tab) or per component (Component tab). Do not leave the SKU column empty: it is the key used to join the data.</t>
  </si>
  <si>
    <t>2. Grey columns with vertical titles (e.g. 'Product Details', 'Supplier PCF', 'Transformation Details') are grouping markers used by the Excel outline (View &gt; Plan). You never type anything in them.</t>
  </si>
  <si>
    <t>3. White columns are free inputs. Columns with a dropdown arrow accept only the listed values. Percentage columns expect a percentage (e.g. 3% — enter 0.03 or 3%).</t>
  </si>
  <si>
    <t>4. Default values are pre-filled (units in kg, 'Supplier' as PCF source, 'No' for external review, etc.). Overwrite them only if your data is different.</t>
  </si>
  <si>
    <t>5. Calculated columns are pre-filled with Excel formulas (Category description, Transformation DQR value, Transformation GHG). Do not overwrite them; they update automatically.</t>
  </si>
  <si>
    <t>6. The orange 'Data validation flag' column is automatic: it raises a message when a value looks incorrect (empty supplier code, PDS above 100%, DQR outside 1-5, incorrect scrap rate...). Fix the flagged data, not the flag.</t>
  </si>
  <si>
    <t>How to collect the data from suppliers</t>
  </si>
  <si>
    <t>To compute robust PCFs for the SBM range, energy data must be collected on the components purchased by SBM.</t>
  </si>
  <si>
    <t>Data collection is structured in 2 quality levels:</t>
  </si>
  <si>
    <t>Level 1: The supplier already holds the PCF of its component =&gt; Supplier PCF block (Product &amp; Component)</t>
  </si>
  <si>
    <t>If the supplier has already carried out PCFs or LCAs, it holds the precise figure for the component. The information to request is:</t>
  </si>
  <si>
    <t>Question to ask</t>
  </si>
  <si>
    <t>Field to fill</t>
  </si>
  <si>
    <t>Person in charge of the collection</t>
  </si>
  <si>
    <t>Do you hold the PCF of [SKU]?</t>
  </si>
  <si>
    <t>Component SKU</t>
  </si>
  <si>
    <t>SBM</t>
  </si>
  <si>
    <t>What is the calculation methodology?</t>
  </si>
  <si>
    <t>Supplier PCF framework</t>
  </si>
  <si>
    <t>Supplier</t>
  </si>
  <si>
    <t>What is the scope of the PCF?</t>
  </si>
  <si>
    <t>Supplier PCF scope</t>
  </si>
  <si>
    <t>What is the declared (functional) unit of the calculation?</t>
  </si>
  <si>
    <t>Supplier PCF declared unit</t>
  </si>
  <si>
    <t>What is the PCF value?</t>
  </si>
  <si>
    <t>Supplier PCF value</t>
  </si>
  <si>
    <t>Do you have the PDS calculation of the PCF? If yes, provide it. (Mandatory data)</t>
  </si>
  <si>
    <t>Supplier PDS</t>
  </si>
  <si>
    <t>Do you have the DQR calculation of the PCF? If yes, provide it.</t>
  </si>
  <si>
    <t>Supplier DQR</t>
  </si>
  <si>
    <t>In which year was the PCF calculated?</t>
  </si>
  <si>
    <t>Supplier PCF date</t>
  </si>
  <si>
    <t>Has this PCF been certified?</t>
  </si>
  <si>
    <t>Supplier PCF external review</t>
  </si>
  <si>
    <t>Where does the collected data come from?</t>
  </si>
  <si>
    <t>Supplier PCF source</t>
  </si>
  <si>
    <t>Level 2: The supplier has access to data related to the manufacturing process =&gt; Transformation block (Product &amp; Component)</t>
  </si>
  <si>
    <t>A. (preferred) The supplier holds the specific energy figure for the component.</t>
  </si>
  <si>
    <t>B. The supplier knows the production process of the component very well.</t>
  </si>
  <si>
    <t>C. The supplier knows its emissions per production line or per site.</t>
  </si>
  <si>
    <t>Which component are we referring to?</t>
  </si>
  <si>
    <t>What is the unit of the monitored or computed transformation?</t>
  </si>
  <si>
    <t>Transformation Process declared unit</t>
  </si>
  <si>
    <t>Supplier or SBM</t>
  </si>
  <si>
    <t>In which country does the transformation take place?</t>
  </si>
  <si>
    <t>Transformation Process location</t>
  </si>
  <si>
    <t>What type of energy is used to manufacture the component?</t>
  </si>
  <si>
    <t>Transformation Energy Type</t>
  </si>
  <si>
    <t>How much energy is used?</t>
  </si>
  <si>
    <t>Transformation Energy Consumption</t>
  </si>
  <si>
    <t>What is the name of the transformation process used?</t>
  </si>
  <si>
    <t>Transformation Process Name</t>
  </si>
  <si>
    <t>Is there a scrap rate associated with the process?</t>
  </si>
  <si>
    <t>Transformation Process Scrap Rate</t>
  </si>
  <si>
    <t>Does the supplier have a comment on the robustness of the information?</t>
  </si>
  <si>
    <t>Transformation Process Comment</t>
  </si>
  <si>
    <t>Source of the data (monitored, computed or estimated)</t>
  </si>
  <si>
    <t>Transformation Energy EF Source</t>
  </si>
  <si>
    <t>Risks associated with data estimation</t>
  </si>
  <si>
    <t>1. Using a proxy far from reality, therefore over- or under-estimating the value.</t>
  </si>
  <si>
    <t>2. Not finding a proxy for the requested process.</t>
  </si>
  <si>
    <t>3. Making a site-level consumption approximation, which under-estimates high-consuming products and over-estimates low-consuming ones.</t>
  </si>
  <si>
    <t>The main risk for SBM is to over/under-evaluate products. PCF quality is lost and there is a risk of missing the right orders of magnitude for some product typologies.</t>
  </si>
  <si>
    <t>Data Quality Rating (DQR) — PACT methodology</t>
  </si>
  <si>
    <t>The DQR rates each emission factor on three dimensions (Geography, technology, temporality) , each scored 1 (best) to 5 (worst). The overall DQR of a data set is the average of the three scores: below 1.5 = excellent, 1.5-2.0 = very good, 2.0-3.0 = good, 3.0-4.0 = fair, above 4.0 = poor quality.</t>
  </si>
  <si>
    <t>Please refer to the tab DQR_Guide for detailed information on the values to select.</t>
  </si>
  <si>
    <t>Column reference — Product tab</t>
  </si>
  <si>
    <t>• Product SKU — Unique reference of the product (Leroy Merlin supplier reference, e.g. SORHOY15). Mandatory key.</t>
  </si>
  <si>
    <t>• Product Designation — Name of the product, giving additional detail.</t>
  </si>
  <si>
    <t>• Category Code — SAGE category assigned to the product (e.g. PDTMP).</t>
  </si>
  <si>
    <t>• Category description — Description of the category. Filled automatically by the calculator from the Category Code.</t>
  </si>
  <si>
    <t>• Supplier Code — Unique reference identifying the supplier of the finished product. If empty, a flag is raised (High impact).</t>
  </si>
  <si>
    <t>• Supplier Name — Name of the supplier.</t>
  </si>
  <si>
    <t>• Pack Unit Box — Number of units received from the supplier per product pack.</t>
  </si>
  <si>
    <t>• Net Weight — Mass of the product itself, excluding primary packaging, in kg.</t>
  </si>
  <si>
    <t>• Gross Weight — Mass of the product including its primary packaging, in kg. If 0, the calculator defaults to the Net Weight.</t>
  </si>
  <si>
    <t>• Stock unit — Purchase form of the product (UNIT, CARTON, etc.).</t>
  </si>
  <si>
    <t>• Supplier PCF value — Total PCF of the product, provided by the supplier (kgCO2e/product). If filled, the raw-material emission-factor section is bypassed.</t>
  </si>
  <si>
    <t>• Supplier PDS — Share of primary data in the supplier PCF, as a percentage. If above 100% or negative, a flag is raised; above 50%, a medium-impact flag is raised.</t>
  </si>
  <si>
    <t>• Supplier DQR — Data quality rating of the supplier PCF (1 to 5). Must be between 1 and 5; outside this range a flag is raised.</t>
  </si>
  <si>
    <t>• Supplier PCF date — Date of validation of the PCF (DD/MM/YYYY).</t>
  </si>
  <si>
    <t>• Supplier PCF source — Reference of the data source (supplier, database, study). Defaults to 'Supplier'.</t>
  </si>
  <si>
    <t>• Supplier PCF external review — Yes/No — has the PCF been validated by a third party? Defaults to No.</t>
  </si>
  <si>
    <t>• Transformation Process Name — Name of the transformation process applied to the product.</t>
  </si>
  <si>
    <t>• Transformation Process EF Value — Emission factor of the transformation process (indicator Climate Change GWP100), sourced from EcoInvent.</t>
  </si>
  <si>
    <t>• Transformation Process Scrap Rate — Loss/scrap rate of the product during the transformation process, as a percentage (e.g. 3%). It accounts for the extra material consumed to compensate for production waste: Transformation GHG = Process EF x Quantity x Net Weight x (1 + Scrap Rate). Leave empty if unknown.</t>
  </si>
  <si>
    <t>• Transformation Energy Name / EF Value — Energy source used for the transformation process and its emission factor (production &amp; use), sourced from EcoInvent.</t>
  </si>
  <si>
    <t>• Transformation PDS value — Share of primary data for the transformation emission factors, as a percentage. Defaults to 0 (secondary data).</t>
  </si>
  <si>
    <t>• Transformation GEO/TECH/TEMP DQR — DQR scores of the transformation emission factor per the PACT grid (see DQR section above).</t>
  </si>
  <si>
    <t>• Transformation DQR value — Average of the GEO, TECH and TEMP DQR scores. Calculated automatically — do not overwrite.</t>
  </si>
  <si>
    <t>• Transformation GHG — GHG emissions of the transformation process. Calculated automatically: Process EF x Quantity x Net Weight x (1 + Scrap Rate).</t>
  </si>
  <si>
    <t>• Data validation flag — Automatic warnings raised during the calculation. Orange column.</t>
  </si>
  <si>
    <t>• Data validation flag impact — Impact level of each flag (High / Medium / Low / No impact), set by the calculator.</t>
  </si>
  <si>
    <t>Column reference — Component tab</t>
  </si>
  <si>
    <t>• Component SKU — Unique reference of the component associated with the finished product. Mandatory key.</t>
  </si>
  <si>
    <t>• Component Designation — Name of the component, giving additional detail.</t>
  </si>
  <si>
    <t>• Category Code / Category description — SAGE category of the component and its description (description is filled automatically from the code).</t>
  </si>
  <si>
    <t>• Carbon category / Carbon sub category — SBM carbon classification of the component (Raw Material / Packaging / ...), derived from the Category Code.</t>
  </si>
  <si>
    <t>• UVP description — Description of the UVP (unité de vente produit) from SBM. If UVP description, Raw Material (MB Product) and Raw Material - Carbon Footprint are all empty, a 'No raw material available' flag (High impact) is raised.</t>
  </si>
  <si>
    <t>• Raw Material (MB Product) — Description of the raw material stored in the Masterbase product file.</t>
  </si>
  <si>
    <t>• Raw Material - Carbon Footprint — Description of the raw material identified in the carbon footprint.</t>
  </si>
  <si>
    <t>• Pack unit box / Net Weight / Gross Weight / Stock unit — Same definitions as the Product tab, at component level.</t>
  </si>
  <si>
    <t>• Supplier PCF block — Same definitions as the Product tab. The unit defaults to kgCO2e/component.</t>
  </si>
  <si>
    <t>• Transformation block — Same definitions as the Product tab.</t>
  </si>
  <si>
    <t>Source</t>
  </si>
  <si>
    <t>PACT Methodology 3.0 - Page 66</t>
  </si>
  <si>
    <t>Link</t>
  </si>
  <si>
    <t>https://docs.carbon-transparency.org/</t>
  </si>
  <si>
    <t>Technological representativeness (TECH DQR)</t>
  </si>
  <si>
    <t>Geographical representativeness (GEO DQR)</t>
  </si>
  <si>
    <t>Score</t>
  </si>
  <si>
    <t>Description</t>
  </si>
  <si>
    <t>1</t>
  </si>
  <si>
    <t>Dataset reflects the exact technology employed (plant-specific process).</t>
  </si>
  <si>
    <t>Country subdivision where the product is manufactured (e.g., US state, region).</t>
  </si>
  <si>
    <t>2</t>
  </si>
  <si>
    <t>Same technology, company/site-specific but not necessarily plant-specific.</t>
  </si>
  <si>
    <t>Country average for the manufacturing country.</t>
  </si>
  <si>
    <t>3</t>
  </si>
  <si>
    <t>Average for an equivalent technology to the one employed (same technology group).</t>
  </si>
  <si>
    <t>Regional average including the site (e.g., Europe, Asia, North America).</t>
  </si>
  <si>
    <t>4</t>
  </si>
  <si>
    <t>Technological proxy (similar but not the same technology, regardless of the supplier).</t>
  </si>
  <si>
    <t>Global average.</t>
  </si>
  <si>
    <t>5</t>
  </si>
  <si>
    <t>Different or unknown technology versus the technology actually employed.</t>
  </si>
  <si>
    <t>Unknown geographical scope, or a country/region not including the manufacturing site.</t>
  </si>
  <si>
    <t>Temporal / Time representativeness (TEMP DQR)</t>
  </si>
  <si>
    <t>Overall DQR evaluation</t>
  </si>
  <si>
    <t>Overall DQR</t>
  </si>
  <si>
    <t>Quality level</t>
  </si>
  <si>
    <t>Difference of 1 year or less (366 days) between the dataset's reference year and the PCF reference year.</t>
  </si>
  <si>
    <t>DQR &lt; 1.5</t>
  </si>
  <si>
    <t>Excellent quality</t>
  </si>
  <si>
    <t>Difference of more than 1 year and up to 2 years (731 days).</t>
  </si>
  <si>
    <t>1.5 &lt; DQR &lt; 2.0</t>
  </si>
  <si>
    <t>Very good quality</t>
  </si>
  <si>
    <t>Difference of more than 2 years and up to 3 years (1,096 days).</t>
  </si>
  <si>
    <t>2.0 &lt; DQR &lt; 3.0</t>
  </si>
  <si>
    <t>Good quality</t>
  </si>
  <si>
    <t>Difference of more than 3 years and up to 4 years (1,461 days).</t>
  </si>
  <si>
    <t>3.0 &lt; DQR &lt; 4.0</t>
  </si>
  <si>
    <t>Fair quality</t>
  </si>
  <si>
    <t>Difference of more than 4 years, or unknown.</t>
  </si>
  <si>
    <t>DQR &gt; 4.0</t>
  </si>
  <si>
    <t>Poor quality</t>
  </si>
  <si>
    <t>Mandatory -&gt;</t>
  </si>
  <si>
    <t>Yes</t>
  </si>
  <si>
    <t>Yes, if PCF section filled</t>
  </si>
  <si>
    <t>Yes, if transformation section filled</t>
  </si>
  <si>
    <t>Yes, if energy section filled</t>
  </si>
  <si>
    <t>Yes, if process section filled</t>
  </si>
  <si>
    <t>Automatic</t>
  </si>
  <si>
    <t>Product SKU</t>
  </si>
  <si>
    <t>Product Designation</t>
  </si>
  <si>
    <t>Category Code</t>
  </si>
  <si>
    <t>Category description</t>
  </si>
  <si>
    <t>Supplier Code</t>
  </si>
  <si>
    <t>Supplier Name</t>
  </si>
  <si>
    <t>Pack Unit Box</t>
  </si>
  <si>
    <t>Net Weight</t>
  </si>
  <si>
    <t>Net Weight Unit</t>
  </si>
  <si>
    <t>Gross Weight</t>
  </si>
  <si>
    <t>Gross Weight Unit</t>
  </si>
  <si>
    <t>Stock unit</t>
  </si>
  <si>
    <t>Product Details</t>
  </si>
  <si>
    <t>Supplier PCF Unit</t>
  </si>
  <si>
    <t>Supplier PCF</t>
  </si>
  <si>
    <t>Transformation Energy Unit</t>
  </si>
  <si>
    <t>Transformation Energy EF Name</t>
  </si>
  <si>
    <t>Transformation Energy EF Value</t>
  </si>
  <si>
    <t>Transformation Energy EF Unit</t>
  </si>
  <si>
    <t>Transformation Process EF Name</t>
  </si>
  <si>
    <t>Transformation Process EF Value</t>
  </si>
  <si>
    <t>Transformation Process EF Unit</t>
  </si>
  <si>
    <t>Transformation Process EF Source</t>
  </si>
  <si>
    <t>Transformation PDS value</t>
  </si>
  <si>
    <t>Transformation GEO DQR</t>
  </si>
  <si>
    <t>Transformation TECH DQR</t>
  </si>
  <si>
    <t>Transformation TEMP DQR</t>
  </si>
  <si>
    <t>Transformation DQR value</t>
  </si>
  <si>
    <t>Transformation GHG</t>
  </si>
  <si>
    <t>Transformation GHG Unit</t>
  </si>
  <si>
    <t>Transformation Details</t>
  </si>
  <si>
    <t>Data validation flag</t>
  </si>
  <si>
    <t>Data validation flag impact</t>
  </si>
  <si>
    <t>SOMOUCH01N</t>
  </si>
  <si>
    <t>MOUCHE DE L'OLIVE SOLABIOL 1KG</t>
  </si>
  <si>
    <t>PDTPF</t>
  </si>
  <si>
    <t>Finish Goods batch number</t>
  </si>
  <si>
    <t>XFR00004</t>
  </si>
  <si>
    <t>IRIS</t>
  </si>
  <si>
    <t>KG</t>
  </si>
  <si>
    <t>UNI</t>
  </si>
  <si>
    <t>kgCO2e</t>
  </si>
  <si>
    <t>No</t>
  </si>
  <si>
    <t>kW</t>
  </si>
  <si>
    <t>kgCO2e/kW</t>
  </si>
  <si>
    <t>FOURPOUD1000N</t>
  </si>
  <si>
    <t>ANTI-FOURMI POUDRE PROTECT EXPERT 1KG</t>
  </si>
  <si>
    <t>PUPAL1</t>
  </si>
  <si>
    <t>FOUDROYANT PUNAISES DE LIT</t>
  </si>
  <si>
    <t>PROHERBIOPAV5</t>
  </si>
  <si>
    <t>DESHERBANT POLYVALENT PAE PROTECT 5L</t>
  </si>
  <si>
    <t>VINPAV5</t>
  </si>
  <si>
    <t>(L) VINAIGRE DE DESHERBAGE 6% 5L</t>
  </si>
  <si>
    <t>PDTAR</t>
  </si>
  <si>
    <t>Trading goods</t>
  </si>
  <si>
    <t>EFR25018</t>
  </si>
  <si>
    <t>CAROFF FRERES</t>
  </si>
  <si>
    <t>SOPHO15G10N</t>
  </si>
  <si>
    <t>PHOSPHATE NATUREL SOLABIOL 1.5KG</t>
  </si>
  <si>
    <t>SOBARPOT15</t>
  </si>
  <si>
    <t>BARRIERE ANTI-LIMACES SOLABIOL 1.5KG</t>
  </si>
  <si>
    <t>EIT00175</t>
  </si>
  <si>
    <t>SINAPAK SRL</t>
  </si>
  <si>
    <t>SOPYRAL15</t>
  </si>
  <si>
    <t>PYRALE DU BUIS CONCENTRE SOLABIOL 15G</t>
  </si>
  <si>
    <t>SOBACI15</t>
  </si>
  <si>
    <t>INSECTES POTAGER ET FRUIT 15 G SOLABIOL</t>
  </si>
  <si>
    <t>SOBIOJ25</t>
  </si>
  <si>
    <t>INSECTICIDE BIOLOGIQUE 25 G SOLABIOL</t>
  </si>
  <si>
    <t>SOPIN12</t>
  </si>
  <si>
    <t>PROCESSIONNAIRE DU PIN 12,5 G HYDRO</t>
  </si>
  <si>
    <t>SOPOIR15</t>
  </si>
  <si>
    <t>VER DU POIREAU 15 G HYDRO SOLABIOL</t>
  </si>
  <si>
    <t>SOSAVPAL1N</t>
  </si>
  <si>
    <t>SAVON NOIR PAE SOLABIOL 1L</t>
  </si>
  <si>
    <t>SOBOU200S</t>
  </si>
  <si>
    <t>BOUILLIE NON COLOREE 200G</t>
  </si>
  <si>
    <t>EES06752</t>
  </si>
  <si>
    <t>IQV</t>
  </si>
  <si>
    <t>SOBOU11N</t>
  </si>
  <si>
    <t>W-BOUILLIE BORDELAISE SOLABIOL 1.1KG</t>
  </si>
  <si>
    <t>CARBL300N</t>
  </si>
  <si>
    <t>BLOCS RATS-SOURIS RESIST CAUSSADE 300 G</t>
  </si>
  <si>
    <t>EAD05475</t>
  </si>
  <si>
    <t>ACT TRIPLAN SA</t>
  </si>
  <si>
    <t>CARBLBF300</t>
  </si>
  <si>
    <t>RATS - BLOCS FLUORESCENTS 300 G</t>
  </si>
  <si>
    <t>EIT12878</t>
  </si>
  <si>
    <t>ZAPI SPA</t>
  </si>
  <si>
    <t>CARSBL200</t>
  </si>
  <si>
    <t>RATS SOURIS BLOC FLUO FORTE INFESTATION</t>
  </si>
  <si>
    <t>CARSPT150N</t>
  </si>
  <si>
    <t>RATS &amp; SOURIS - PATE 150G BRODI</t>
  </si>
  <si>
    <t>CARSPTBF150</t>
  </si>
  <si>
    <t>PAT'APPÂT RATSOURIS RESI CAUSSADE 150 G</t>
  </si>
  <si>
    <t>CASAPT10N</t>
  </si>
  <si>
    <t>PAT'APPÂT SOURIS FOUDROY CAUSSADE 100 G</t>
  </si>
  <si>
    <t>SOURIPAT120</t>
  </si>
  <si>
    <t>PAT'APPAT SOURIS PROTECT 12X10G</t>
  </si>
  <si>
    <t>RASOU150N</t>
  </si>
  <si>
    <t>RATS &amp; SOURIS - PÂTE 150 G BRODI PEX</t>
  </si>
  <si>
    <t>CARBF150</t>
  </si>
  <si>
    <t>CEREALES RATS CANADIENS CAUSSADE 150 G</t>
  </si>
  <si>
    <t>CASAE4N</t>
  </si>
  <si>
    <t>CÉRÉALES SOURIS FOUDROY. CAUSSADE 100 G</t>
  </si>
  <si>
    <t>RAMUCAM150</t>
  </si>
  <si>
    <t>CEREALES RAT-SOURIS-MULOTS PROTECT 6X25G</t>
  </si>
  <si>
    <t>CARSC150N</t>
  </si>
  <si>
    <t>CEREALES RATS SOURIS 150G CAN</t>
  </si>
  <si>
    <t>DIF140</t>
  </si>
  <si>
    <t>RATS &amp; SOURIS - CEREALES 140 G</t>
  </si>
  <si>
    <t>RADIF150N</t>
  </si>
  <si>
    <t>RATS - CEREALES 150 G</t>
  </si>
  <si>
    <t>LVGRA100N</t>
  </si>
  <si>
    <t>LARVICIDE BIOLIGIQUE PROTECT EXPERT 100G</t>
  </si>
  <si>
    <t>EFR06686</t>
  </si>
  <si>
    <t>NOXIMA</t>
  </si>
  <si>
    <t>SOCHAUX10</t>
  </si>
  <si>
    <t>CARBONATE DE CHAUX ET MAGNESIUM 10KG SOL</t>
  </si>
  <si>
    <t>XBE06741</t>
  </si>
  <si>
    <t>FERTIRA BVBA</t>
  </si>
  <si>
    <t>SOCAT750N</t>
  </si>
  <si>
    <t>ANTI-CHLOROSE CATALFER® SOLABIOL 750ML</t>
  </si>
  <si>
    <t>FPOUDSI200</t>
  </si>
  <si>
    <t>POUDRE FOURMIS SANS INSECTICIDE 200G</t>
  </si>
  <si>
    <t>SOCHA400</t>
  </si>
  <si>
    <t>BARRIERE PHYSIQUE CHABAZITE</t>
  </si>
  <si>
    <t>THNATRECHARGE12</t>
  </si>
  <si>
    <t>RECHARGES REPUL 12H THERMACELL</t>
  </si>
  <si>
    <t>EUS12663</t>
  </si>
  <si>
    <t>THERMACELL REPELLENTS INC</t>
  </si>
  <si>
    <t>THNATHALOBLANC</t>
  </si>
  <si>
    <t>DIFFUSEUR REPULSIF BLANC TMC</t>
  </si>
  <si>
    <t>THNATRECHARGE48</t>
  </si>
  <si>
    <t>RECHARGES REPUL 48H THERMACELL</t>
  </si>
  <si>
    <t>SOBB800</t>
  </si>
  <si>
    <t>BOUILLIE BORDELAISE SOLABIOL 800G</t>
  </si>
  <si>
    <t>SOMAP100</t>
  </si>
  <si>
    <t>MALADIES DU POTAGER SOLABIOL 100G</t>
  </si>
  <si>
    <t>SONORD125</t>
  </si>
  <si>
    <t>MALADIE DES ARBRES FRUITIERS 125 G SOLAB</t>
  </si>
  <si>
    <t>CARMUPT600</t>
  </si>
  <si>
    <t>PAT'APPAT RATS MULOTS CAUSSADE 600 G</t>
  </si>
  <si>
    <t>CARPT400</t>
  </si>
  <si>
    <t>RATICIDE CANADIEN INFEST CAUSSADE 400 G</t>
  </si>
  <si>
    <t>CARPT720</t>
  </si>
  <si>
    <t>PAT'APPÂT RATS CANADIEN CAUSSADE 720 G</t>
  </si>
  <si>
    <t>RACPAT240</t>
  </si>
  <si>
    <t>RATS CAMPAGNOLS PATES PROTECT 240 G</t>
  </si>
  <si>
    <t>RACPAT520</t>
  </si>
  <si>
    <t>PAT'APPAT RATS PROTECT 52X10G</t>
  </si>
  <si>
    <t>SOLIG15G10N</t>
  </si>
  <si>
    <t>OLIGO-ELEMENTS SOLABIOL 1.5KG</t>
  </si>
  <si>
    <t>XFR04595</t>
  </si>
  <si>
    <t>AGRONUTRITION SAS</t>
  </si>
  <si>
    <t>GUEPMOUS600N</t>
  </si>
  <si>
    <t>AEROSOL MOUSSE GUEPE 600ML PEX</t>
  </si>
  <si>
    <t>EIT28332</t>
  </si>
  <si>
    <t>Abiotech Institute Srl</t>
  </si>
  <si>
    <t>DTMAL1</t>
  </si>
  <si>
    <t>ANTI FOURMI PAE PROTECT 1L</t>
  </si>
  <si>
    <t>AMTPB5N</t>
  </si>
  <si>
    <t>ANTI-ALGUES LICHENS A-VERSER 5L</t>
  </si>
  <si>
    <t>DIMAXPAL1</t>
  </si>
  <si>
    <t>SPRAY ANTI-ALGUES LICHENS 750ML PROTECT</t>
  </si>
  <si>
    <t>AMTPL20N</t>
  </si>
  <si>
    <t>ANTI-ALGUES LICHENS 20L PROTECT EXPERT</t>
  </si>
  <si>
    <t>DIMAX1</t>
  </si>
  <si>
    <t>ANTI-ALGUES LICHENS CONCENTRE1L PROTECT</t>
  </si>
  <si>
    <t>DIMAX25</t>
  </si>
  <si>
    <t>ANTI-ALGUES LICHENS CONCENTRE 2,5L</t>
  </si>
  <si>
    <t>OBIECLUNI300</t>
  </si>
  <si>
    <t>ENGRAIS LIQU UNIVERSEL NE TÂCHE PAS300ML</t>
  </si>
  <si>
    <t>GFR00637</t>
  </si>
  <si>
    <t>FERT - INTERCO Saint-Jean-de-Monts</t>
  </si>
  <si>
    <t>PROCOURPAL25N</t>
  </si>
  <si>
    <t>DESHERBANT CAT PROTECT PAE 2,5L</t>
  </si>
  <si>
    <t>PROHERBIOPAL25N</t>
  </si>
  <si>
    <t>DESHERBANT POLYVALENT PAE PROTECT 2,5L</t>
  </si>
  <si>
    <t>SOMOUSPAL1N</t>
  </si>
  <si>
    <t>LICHENS MOUSSES SUR TRONCS SOLABIOL 1L</t>
  </si>
  <si>
    <t>PROCOURPAL750N</t>
  </si>
  <si>
    <t>DESHERBANT CAT PAE PROTECT 750ML</t>
  </si>
  <si>
    <t>PROHERBIOPAL750N</t>
  </si>
  <si>
    <t>DESHERBANT POLYVALENT PAE PROTECT 750ML</t>
  </si>
  <si>
    <t>PROCOUR25N</t>
  </si>
  <si>
    <t>DESHERBANT CAT CONCENTRE PROTECT 2,5 L</t>
  </si>
  <si>
    <t>XDE00017</t>
  </si>
  <si>
    <t>W. NEUDORFF GMBH KG</t>
  </si>
  <si>
    <t>PROHERBIO25N</t>
  </si>
  <si>
    <t>DESHERBANT POLY CONCENTRE PROTECT 2,5L</t>
  </si>
  <si>
    <t>PROCOUR700</t>
  </si>
  <si>
    <t>DESHERBANT CAT CONCENTRE PROTECT 750ML</t>
  </si>
  <si>
    <t>PROHERBIO700</t>
  </si>
  <si>
    <t>DESHERBANT POLY. CONC.PROTECT 700ML</t>
  </si>
  <si>
    <t>PROHERBIO700P</t>
  </si>
  <si>
    <t>DESHERBANT POLY. CONC. PROTECT 700+70ML</t>
  </si>
  <si>
    <t>PROCOURU800</t>
  </si>
  <si>
    <t>DESHERBANT CAT ULTRA CONCENTRE 800 ML</t>
  </si>
  <si>
    <t>DG200N</t>
  </si>
  <si>
    <t>DESHERBANT GAZON 200ML PEX</t>
  </si>
  <si>
    <t>XPL04763</t>
  </si>
  <si>
    <t>SUMIN D.CZABANSKA W.CZABANSKI</t>
  </si>
  <si>
    <t>PROHERBIOU800</t>
  </si>
  <si>
    <t>DESHERBANT POLYVALENT CONCENTRE 800ML</t>
  </si>
  <si>
    <t>DG200</t>
  </si>
  <si>
    <t>W-DESHERBANT GAZON PROTECT EXPERT 225ML</t>
  </si>
  <si>
    <t>SOLIMA1000</t>
  </si>
  <si>
    <t>ANTI-LIMACES ET ESCARGOTS SOLABIOL 1 KG</t>
  </si>
  <si>
    <t>EGB00138</t>
  </si>
  <si>
    <t>DOFF PORTLAND LIMITED</t>
  </si>
  <si>
    <t>SOLIMA400</t>
  </si>
  <si>
    <t>ANTI-LIMACES ET ESCARGOTS SOLABIOL 400 G</t>
  </si>
  <si>
    <t>SOLIMA750N</t>
  </si>
  <si>
    <t>ANTI-LIMACES ET ESCARGOTS SOLABIOL 750 G</t>
  </si>
  <si>
    <t>SOLIMA1000P</t>
  </si>
  <si>
    <t>ANTI-LIMACES ET ESCARGOTS 1 KG + 20% GT</t>
  </si>
  <si>
    <t>SOLIMAPLUS400</t>
  </si>
  <si>
    <t>ANTI-LIMACES ULTRA CONCENTRE 400G</t>
  </si>
  <si>
    <t>OBRAVEG8</t>
  </si>
  <si>
    <t>FERTILISANT 100% VEGETAL 8 KG POIGNEE</t>
  </si>
  <si>
    <t>GFR00037</t>
  </si>
  <si>
    <t>SBM FERTILISATION</t>
  </si>
  <si>
    <t>CARPT300</t>
  </si>
  <si>
    <t>PAT' BLOC RAT RADICAL CAUSSADE 300G</t>
  </si>
  <si>
    <t>CARSPT300</t>
  </si>
  <si>
    <t>PAT'BLOC RAT-SOURIS RADICAL CAUSSADE300G</t>
  </si>
  <si>
    <t>SOPREL1</t>
  </si>
  <si>
    <t>DECOCTION DE PRÊLES</t>
  </si>
  <si>
    <t>XFR06865</t>
  </si>
  <si>
    <t>STE J3C AGRI</t>
  </si>
  <si>
    <t>SOGLU200</t>
  </si>
  <si>
    <t>GLU ARBORICOLE AEROSOL SOLABIOL 200 ML</t>
  </si>
  <si>
    <t>EFR06525</t>
  </si>
  <si>
    <t>AEROCHEM</t>
  </si>
  <si>
    <t>FBOIT10</t>
  </si>
  <si>
    <t>BOITES ANTI FOURMI GEL PROTECT EXPX10</t>
  </si>
  <si>
    <t>FBOIT2N</t>
  </si>
  <si>
    <t>BOITES ANTI FOURMI GEL PROTECTX2</t>
  </si>
  <si>
    <t>FBOIT4N</t>
  </si>
  <si>
    <t>BOITES ANTI FOURMI GEL PROTECT EXPERT</t>
  </si>
  <si>
    <t>FTUB1N</t>
  </si>
  <si>
    <t>TUBE FOURMI GEL PROTECTX1</t>
  </si>
  <si>
    <t>XFR00245</t>
  </si>
  <si>
    <t>Etraves   SARL</t>
  </si>
  <si>
    <t>SOARMIPAL750</t>
  </si>
  <si>
    <t>MALADIE POLYVALENT PAE SOLABIOL 750ML</t>
  </si>
  <si>
    <t>SOLECIPAL1</t>
  </si>
  <si>
    <t>LECITHINE PAE 1L</t>
  </si>
  <si>
    <t>SOLECI800</t>
  </si>
  <si>
    <t>LECITHINE CONCENTRE 800ML</t>
  </si>
  <si>
    <t>RASOUREP100</t>
  </si>
  <si>
    <t>POUDRE REPULSIVE RATS SOURIS ET MULOTS</t>
  </si>
  <si>
    <t>EFR12985</t>
  </si>
  <si>
    <t>CGB COMPAGNIE GENERALE DES BIOCIDES</t>
  </si>
  <si>
    <t>THE55RECHARG40</t>
  </si>
  <si>
    <t>RECHARGE ANTI MOUSTIQ THERMACEL</t>
  </si>
  <si>
    <t>THE55RECHARG80</t>
  </si>
  <si>
    <t>RECHARGE LIQUIDE E55 80H TMC</t>
  </si>
  <si>
    <t>SOCOR15G10N</t>
  </si>
  <si>
    <t>CORNE BROYEE SOLABIOL 1,5KG</t>
  </si>
  <si>
    <t>XFR27434</t>
  </si>
  <si>
    <t>R'PACK</t>
  </si>
  <si>
    <t>SOPOR1</t>
  </si>
  <si>
    <t>PURIN D'ORTIES CONCENTRE</t>
  </si>
  <si>
    <t>SOPOR25</t>
  </si>
  <si>
    <t>SOPORPAL1</t>
  </si>
  <si>
    <t>PURIN D'ORTIES PRÊT-A-L'EMPLOI</t>
  </si>
  <si>
    <t>PRODSO400</t>
  </si>
  <si>
    <t>DESTRUCTEUR DE SOUCHES 400G PROTECT</t>
  </si>
  <si>
    <t>THHALOBLANC</t>
  </si>
  <si>
    <t>DIFFUSEUR BLNC SANS RECH TMC</t>
  </si>
  <si>
    <t>CARNASSBN</t>
  </si>
  <si>
    <t>NASSE A RATS SOCLE BOIS CAUSSADE</t>
  </si>
  <si>
    <t>EFR06524</t>
  </si>
  <si>
    <t>ADYS</t>
  </si>
  <si>
    <t>CARTAPVR</t>
  </si>
  <si>
    <t>1 TAPETTE A RATS CAUSSADE</t>
  </si>
  <si>
    <t>ECZ06758</t>
  </si>
  <si>
    <t>PAPIRNA MOUDRY S.r.o.</t>
  </si>
  <si>
    <t>CASNASSBN</t>
  </si>
  <si>
    <t>NASSE A SOURIS SOCLE BOIS CAUSSADE</t>
  </si>
  <si>
    <t>SOUTRAP</t>
  </si>
  <si>
    <t>PIEGE ELECTRONIQUE SOURIS PROTECT</t>
  </si>
  <si>
    <t>EUS13879</t>
  </si>
  <si>
    <t>WOODSTREAM CORPORATION US</t>
  </si>
  <si>
    <t>IREPOIPIC</t>
  </si>
  <si>
    <t>PIC PIGEONS CAUSSADE</t>
  </si>
  <si>
    <t>GUEPIEG</t>
  </si>
  <si>
    <t>PIEGE GUEPES FRELONS PROTECT EXPERT</t>
  </si>
  <si>
    <t>ESE09357</t>
  </si>
  <si>
    <t>SILVANDERSSON SWEDEN AB</t>
  </si>
  <si>
    <t>THE55NOIR</t>
  </si>
  <si>
    <t>BOUCLIER ANTI MOUSTIQUES THERMACELL 40H</t>
  </si>
  <si>
    <t>CASTAPVR</t>
  </si>
  <si>
    <t>TAPETTE A SOURIS CAUSSADE</t>
  </si>
  <si>
    <t>OBRPARG6U</t>
  </si>
  <si>
    <t>BILLES D'ARGILE 6L</t>
  </si>
  <si>
    <t>OBRPPOU6U</t>
  </si>
  <si>
    <t>POUZZOLANE 6L</t>
  </si>
  <si>
    <t>OBRPCLA6U</t>
  </si>
  <si>
    <t>COPEAUX DE BOIS NATUREL 6L</t>
  </si>
  <si>
    <t>RASOUBOIT</t>
  </si>
  <si>
    <t>BOITE APPÂT RATS ET SOURIS PROTECT</t>
  </si>
  <si>
    <t>EIT00271</t>
  </si>
  <si>
    <t>COPYR SPA</t>
  </si>
  <si>
    <t>RASOUTRAPN</t>
  </si>
  <si>
    <t>PIEGE ELECTR RAT SOURIS X1 PEX</t>
  </si>
  <si>
    <t>RATAP1N</t>
  </si>
  <si>
    <t>TAPETTE RAT BOIS PRE APPÂTEE X1 PROTECT</t>
  </si>
  <si>
    <t>RATRAP2</t>
  </si>
  <si>
    <t>TAPETTE RAT PLAST.PRE APPÂTEE X2 PROTECT</t>
  </si>
  <si>
    <t>SOUTAP2N</t>
  </si>
  <si>
    <t>TAPETTE SOURIS BOIS PRE APPÂTX2 PROTECT</t>
  </si>
  <si>
    <t>SOUTRAP2</t>
  </si>
  <si>
    <t>PIEGE SOURIS PLASTIQUE X2 PROTECT EXPERT</t>
  </si>
  <si>
    <t>SOUTRAP3</t>
  </si>
  <si>
    <t>PIEGES SOURIS PLASTIQUE X3 PROTECT</t>
  </si>
  <si>
    <t>CATPIEGE</t>
  </si>
  <si>
    <t>2 PIEGES PUTANGE + CLE CAUSSADE</t>
  </si>
  <si>
    <t>SOPIFLORN</t>
  </si>
  <si>
    <t>MINI PIEGES JAUNES - MOUCHERONS</t>
  </si>
  <si>
    <t>EDE00127</t>
  </si>
  <si>
    <t>Annowatec GmbH</t>
  </si>
  <si>
    <t>SOPIJAUNE</t>
  </si>
  <si>
    <t>PIEGES JAUNES - MOUCHERONS</t>
  </si>
  <si>
    <t>OBRAGRA8</t>
  </si>
  <si>
    <t>AUTHENTIQUE FERTILISANT GRANULES 8KG</t>
  </si>
  <si>
    <t>OBRPARG20</t>
  </si>
  <si>
    <t>BILLES ARGILE OR BRUN 20L</t>
  </si>
  <si>
    <t>SOUNASS</t>
  </si>
  <si>
    <t>PIEGE NASSE SOURIS PROTECT EXPERT</t>
  </si>
  <si>
    <t>KITSAV</t>
  </si>
  <si>
    <t>DETAUPEUR KIT SAV 2 TIGES + 1 PALPEUR</t>
  </si>
  <si>
    <t>EFR15738</t>
  </si>
  <si>
    <t>FAR OUEST</t>
  </si>
  <si>
    <t>OBRPPOU20</t>
  </si>
  <si>
    <t>OR BRUN POUZZOLANE 20L</t>
  </si>
  <si>
    <t>OBRPCHAN100N</t>
  </si>
  <si>
    <t>OR BRUN - PAILLE DE CHANVRE 100 L</t>
  </si>
  <si>
    <t>OBRPECO50</t>
  </si>
  <si>
    <t>OR BRUN ECORCES DE PIN MARITIM</t>
  </si>
  <si>
    <t>ULTRARASOU</t>
  </si>
  <si>
    <t>ULTRASON RATS SOURIS PROTECT EXPERT</t>
  </si>
  <si>
    <t>OBRTVDB35N</t>
  </si>
  <si>
    <t>VERITABLE TERRE DE BRUYERE OR BRUN 35L</t>
  </si>
  <si>
    <t>MOUCHNAT</t>
  </si>
  <si>
    <t>STICKERS MOUCHES FENETRE FR</t>
  </si>
  <si>
    <t>EFR16423</t>
  </si>
  <si>
    <t>DOZLIGN</t>
  </si>
  <si>
    <t>PYRNAT</t>
  </si>
  <si>
    <t>PYRAMIDE MOUSTIQUES MOUCHES FR</t>
  </si>
  <si>
    <t>CARBAVCLEN</t>
  </si>
  <si>
    <t>W-BOITE APPÂT CLE RATS-SOURIS CAUSSADE</t>
  </si>
  <si>
    <t>EIT06720</t>
  </si>
  <si>
    <t>ORMA Srl</t>
  </si>
  <si>
    <t>SOGAZY10BP</t>
  </si>
  <si>
    <t>ENGRAIS GAZON AVEC OSIRYL SOLABIOL 10KG</t>
  </si>
  <si>
    <t>XFR06744</t>
  </si>
  <si>
    <t>ORGANIC PRODUCTION</t>
  </si>
  <si>
    <t>SOACTI900</t>
  </si>
  <si>
    <t>ACTIVATEUR DE COMPOST UAB SOLABIOL 900G</t>
  </si>
  <si>
    <t>SOLICOMP1</t>
  </si>
  <si>
    <t>ENGRAIS LIQUIDE COMPLET PRIX CHOC 1 L</t>
  </si>
  <si>
    <t>SOCOMP5</t>
  </si>
  <si>
    <t>ENGRAIS COMPLET UAB SOLABIOL 5KG</t>
  </si>
  <si>
    <t>XNL06738</t>
  </si>
  <si>
    <t>FERM-O-FEED B.V.</t>
  </si>
  <si>
    <t>SOCONAT1</t>
  </si>
  <si>
    <t>ENGRAIS COMPLET 1 KG SOLABIOL</t>
  </si>
  <si>
    <t>ENL00277</t>
  </si>
  <si>
    <t>CULTERRA HOLLAND B.V</t>
  </si>
  <si>
    <t>SOCONAT9P</t>
  </si>
  <si>
    <t>ENGRAIS COMPLET SAC 12KG</t>
  </si>
  <si>
    <t>SOCOMP5P</t>
  </si>
  <si>
    <t>ENGRAIS COMPLET SOLABIOL 5KG+2 GT</t>
  </si>
  <si>
    <t>SOCONAT1P</t>
  </si>
  <si>
    <t>ENGRAIS COMPLET 1 KG + 500 G OFFERTS</t>
  </si>
  <si>
    <t>SOFRUY15</t>
  </si>
  <si>
    <t>ENGRAIS FRUIT+STIMULATEUR SOLABIO 1.5 KG</t>
  </si>
  <si>
    <t>SOLIVY750</t>
  </si>
  <si>
    <t>ENGRAIS OLIVIERS ET FIGUIERS 750 G SOL</t>
  </si>
  <si>
    <t>SOROSY750</t>
  </si>
  <si>
    <t>ENGRAIS ROSIER ARBUSTE A FLEUR 750G SOL</t>
  </si>
  <si>
    <t>SOAGY750</t>
  </si>
  <si>
    <t>ENGRAIS AGRUMES 750 G SOL</t>
  </si>
  <si>
    <t>SOGAZYPRO10</t>
  </si>
  <si>
    <t>ENGRAIS GAZON 4 ACT ROBOT SOLABIOL 10KG</t>
  </si>
  <si>
    <t>SORHOY15</t>
  </si>
  <si>
    <t>ENGRAIS HORTENSIAS SOLABIOL 1,5KG</t>
  </si>
  <si>
    <t>SOPOTY15</t>
  </si>
  <si>
    <t>ENGRAIS POTAGER +STIMULATEUR SOLAB1,5 KG</t>
  </si>
  <si>
    <t>SOTOMY15</t>
  </si>
  <si>
    <t>ENGRAIS TOMATE UAB OSIRYL SOLABIOL 1,5KG</t>
  </si>
  <si>
    <t>SOLIFRUIT100</t>
  </si>
  <si>
    <t>INSECTICIDE FRUITIER CTRE SOLABIOL 100ML</t>
  </si>
  <si>
    <t>SOLIPOLY100</t>
  </si>
  <si>
    <t>INSECTICIDE POLYVALENT SOLABIOL 100ML</t>
  </si>
  <si>
    <t>SOTOTPOT100</t>
  </si>
  <si>
    <t>TRAITEMENT TOTAL POTAGER SOLABIOL 100ML</t>
  </si>
  <si>
    <t>SOLIPOLY100N</t>
  </si>
  <si>
    <t>INSECTES POLYVALENTS 100ML</t>
  </si>
  <si>
    <t>SOLIPUC100N</t>
  </si>
  <si>
    <t>PUCERONS CONCENTRE 100ML</t>
  </si>
  <si>
    <t>SOBOUTU40</t>
  </si>
  <si>
    <t>BOUTURAGE OSIRYL SOLABIOL 40ML</t>
  </si>
  <si>
    <t>SOSIRYL100N</t>
  </si>
  <si>
    <t>CROSS STIMULATEUR RACINE SOLBIOL 10X10ML</t>
  </si>
  <si>
    <t>SOPAS15G10N</t>
  </si>
  <si>
    <t>POTASSE NATURELLE SOLABIOL 1.5KG</t>
  </si>
  <si>
    <t>GUEP600N</t>
  </si>
  <si>
    <t>AEROSOL GUEPES 600ML PEX</t>
  </si>
  <si>
    <t>FREEZ300</t>
  </si>
  <si>
    <t>VOLANTS/RAMPANTS SPRAY GIVRANT PROTECT</t>
  </si>
  <si>
    <t>SORECPRO</t>
  </si>
  <si>
    <t>RECHARGE PIEGE PROCESS. DU PIN SOLABIOL</t>
  </si>
  <si>
    <t>EFR16959</t>
  </si>
  <si>
    <t>M2I BIOCONTROL SAS</t>
  </si>
  <si>
    <t>SOPIPRO</t>
  </si>
  <si>
    <t>PROCESS. DU PIN PIEGE PHEROMONE SOLABIOL</t>
  </si>
  <si>
    <t>SOPIBUISN</t>
  </si>
  <si>
    <t>PIEGE PHEROMONE PYRALE DU BUIS SOLABIOL</t>
  </si>
  <si>
    <t>SORECBUISN</t>
  </si>
  <si>
    <t>RECHARGE PIEGE PYRALE DU BUIS SOLABIOL</t>
  </si>
  <si>
    <t>DETAUPEUR</t>
  </si>
  <si>
    <t>DETAUPEUR VALISETTE + 4 RECHARGES</t>
  </si>
  <si>
    <t>RECHARG5</t>
  </si>
  <si>
    <t>DETAUPEUR RECHARGES X5</t>
  </si>
  <si>
    <t>RECHARG20</t>
  </si>
  <si>
    <t>DETAUPEUR RECHARGES X20</t>
  </si>
  <si>
    <t>KITCAMPN</t>
  </si>
  <si>
    <t>KIT CAMPAGNOL TERRESTRE</t>
  </si>
  <si>
    <t>SOMALPAL750</t>
  </si>
  <si>
    <t>SOLABIOL MALADIES ROSIERS 750 ML</t>
  </si>
  <si>
    <t>SOARMI100</t>
  </si>
  <si>
    <t>ANTI-OIDIUM ETUI SOLABIOL 100 G</t>
  </si>
  <si>
    <t>XES06539</t>
  </si>
  <si>
    <t>MOLIENDA Y DERIVADOS S.A.</t>
  </si>
  <si>
    <t>THRECHARG48N</t>
  </si>
  <si>
    <t>RECHARGES 48H THERMACELL</t>
  </si>
  <si>
    <t>THRECHARG120</t>
  </si>
  <si>
    <t>RECHARGES 120H THERMACELL</t>
  </si>
  <si>
    <t>OBRAAUT20</t>
  </si>
  <si>
    <t>AUTHENTIQUE FERTILISANT OR BRUN 20 KG</t>
  </si>
  <si>
    <t>OBRAAUT10</t>
  </si>
  <si>
    <t>L'AUTHENTIQUE D'OR BRUN 10KG</t>
  </si>
  <si>
    <t>OBRACHE15</t>
  </si>
  <si>
    <t>FUMIER DE CHEVAL 15KG</t>
  </si>
  <si>
    <t>NNTCOMPLET40</t>
  </si>
  <si>
    <t>TERREAU COMPLET 40L - NO NAME</t>
  </si>
  <si>
    <t>OBRTBON6U</t>
  </si>
  <si>
    <t>TERREAU BONSAIS 6L</t>
  </si>
  <si>
    <t>OBRTORC6U</t>
  </si>
  <si>
    <t>TERREAU ORCHIDEES 6L</t>
  </si>
  <si>
    <t>OBRTPFO40</t>
  </si>
  <si>
    <t>TERREAU ORNEM.PERE FRANCOIS OR ACTIV 40L</t>
  </si>
  <si>
    <t>OBRTPFP40</t>
  </si>
  <si>
    <t>TERREAU POTAGER PERE FRANCOIS ORACTIV40L</t>
  </si>
  <si>
    <t>OBRTPFU40</t>
  </si>
  <si>
    <t>TERREAU UNIV. PERE FRANCOIS ORACTIV 40L</t>
  </si>
  <si>
    <t>OBRPFPF50N</t>
  </si>
  <si>
    <t>PAILLAGE FLEUR MASSIF ARBRES OR BRUN 50L</t>
  </si>
  <si>
    <t>OBRPFPO50N</t>
  </si>
  <si>
    <t>PAILLAGE POTAGER OR BRUN 50 L</t>
  </si>
  <si>
    <t>OBRPFUNI50N</t>
  </si>
  <si>
    <t>PAILLAGE UNIVERSEL OR BRUN 50L</t>
  </si>
  <si>
    <t>OBRTCAC6U</t>
  </si>
  <si>
    <t>SUBSTRAT CACTUS ET PLANTES GRASSES 6L</t>
  </si>
  <si>
    <t>OBRTAG20N</t>
  </si>
  <si>
    <t>TERREAU AGRUMES ET PLANTES MED 20L</t>
  </si>
  <si>
    <t>OBRTAGR6U</t>
  </si>
  <si>
    <t>TERREAU AGRUMES 6L</t>
  </si>
  <si>
    <t>OBRTREM6U</t>
  </si>
  <si>
    <t>TERREAU REMPOTAGE UNIVERSEL 6L</t>
  </si>
  <si>
    <t>OBRTAP35N</t>
  </si>
  <si>
    <t>TERRE A PLANTER ORBRUN 35 L</t>
  </si>
  <si>
    <t>OBRTGAZ35N</t>
  </si>
  <si>
    <t>TERRE A GAZON OR BRUN 35 L</t>
  </si>
  <si>
    <t>OBRTPM35N</t>
  </si>
  <si>
    <t>TERRE PLANTES MEDITERR OR BRUN 35L</t>
  </si>
  <si>
    <t>OBRTVEG30N</t>
  </si>
  <si>
    <t>TERRE VEGETALE OR BRUN 30L</t>
  </si>
  <si>
    <t>OBRTBRU6U</t>
  </si>
  <si>
    <t>TERREAU SPECIAL PLANTES DE BRUYERE 6L</t>
  </si>
  <si>
    <t>OBRTGER35N</t>
  </si>
  <si>
    <t>TERREAU PLANTE FLEURIE ET GERANIUMS 35L</t>
  </si>
  <si>
    <t>OBITCARO3</t>
  </si>
  <si>
    <t>TERREAU PLANTES AROMATIQUES 3L DOY PACK</t>
  </si>
  <si>
    <t>OBRTROS35N</t>
  </si>
  <si>
    <t>TERREAU ROSIERS OR BRUN 35L</t>
  </si>
  <si>
    <t>OBRTARO6U</t>
  </si>
  <si>
    <t>TERREAU PLANTES AROMATIQUE ET POTAGER 6L</t>
  </si>
  <si>
    <t>OBRTCAPOT35N</t>
  </si>
  <si>
    <t>TERREAU POTAGER + PLANTATION OR BRUN 35L</t>
  </si>
  <si>
    <t>OBRTSEM6U</t>
  </si>
  <si>
    <t>TERREAU SEMIS 6L</t>
  </si>
  <si>
    <t>OBRTUNI35N</t>
  </si>
  <si>
    <t>TERREAU UNIVERSEL OR BRUN 35L</t>
  </si>
  <si>
    <t>OBRTUNI70N</t>
  </si>
  <si>
    <t>TERREAU UNIVERSEL70L</t>
  </si>
  <si>
    <t>SOCOCHPAL750N</t>
  </si>
  <si>
    <t>INSECT. COCHENILLES PAE SOLABIOL 750 ML</t>
  </si>
  <si>
    <t>SOFAZPAL750N</t>
  </si>
  <si>
    <t>INSECTES ET ACARIENS PAE SOLABIOL 750 ML</t>
  </si>
  <si>
    <t>SOPOLYPAL750N</t>
  </si>
  <si>
    <t>INSECTES POLYVALENTS PAE SOLABIOL 750 ML</t>
  </si>
  <si>
    <t>SOPUCPAL750N</t>
  </si>
  <si>
    <t>INSECTICIDE PUCERONS PAE SOLABIOL 750 ML</t>
  </si>
  <si>
    <t>SOPYRPAL750N</t>
  </si>
  <si>
    <t>PYRALE DU BUIS PAE SOLABIOL 750 ML</t>
  </si>
  <si>
    <t>SOPVPAL500</t>
  </si>
  <si>
    <t>INSECTES PLANTES D'INTERIEUR 500ML</t>
  </si>
  <si>
    <t>FTUBNAT2N</t>
  </si>
  <si>
    <t>TUBE FOURMIS PYR X2 PEX</t>
  </si>
  <si>
    <t>SOAXIO250</t>
  </si>
  <si>
    <t>BIOSTIMULANT POTAGER</t>
  </si>
  <si>
    <t>XPL00283</t>
  </si>
  <si>
    <t>TARGET S.A.</t>
  </si>
  <si>
    <t>SOSEQ01</t>
  </si>
  <si>
    <t>ANTI-CHLOROSE SEQUESTRENE SOLABIOL 100G</t>
  </si>
  <si>
    <t>SOCYP750S</t>
  </si>
  <si>
    <t>ENGRAIS CYPRES CONIFERES SOLABIOL 750ML</t>
  </si>
  <si>
    <t>SOGERM90</t>
  </si>
  <si>
    <t>ANTIGERME SOLABIOL CONCENTRE 84G</t>
  </si>
  <si>
    <t>EFR13630</t>
  </si>
  <si>
    <t>XEDA INTERNATIONAL S.A.</t>
  </si>
  <si>
    <t>BOITNAT2</t>
  </si>
  <si>
    <t>BOITES FOURMIS SPINOSAD X2 PEX</t>
  </si>
  <si>
    <t>XFR06686</t>
  </si>
  <si>
    <t>SODORY125N</t>
  </si>
  <si>
    <t>ANTI DORYPHORE SOLABIOL CONCENTRE 125 ML</t>
  </si>
  <si>
    <t>SOCHE125</t>
  </si>
  <si>
    <t>CHENILLES CHOC 125ML</t>
  </si>
  <si>
    <t>SOGAZMOU200</t>
  </si>
  <si>
    <t>ENGRAIS GAZON ANTI MOUSSE SOLABIOL 8KG</t>
  </si>
  <si>
    <t>SOGAZMOU350P</t>
  </si>
  <si>
    <t>ENGRAIS GAZON ANTI MOUSSE SOLABIOL 14KG</t>
  </si>
  <si>
    <t>SOTHIO400</t>
  </si>
  <si>
    <t>MALADIE DES ROSIERS SOLABIOL 400G</t>
  </si>
  <si>
    <t>SOPUL750</t>
  </si>
  <si>
    <t>SOUFRE PULVERISATION SOLABIOL 750G</t>
  </si>
  <si>
    <t>OBIFCGRA2</t>
  </si>
  <si>
    <t>FUMIER GRANULE 2KG DP</t>
  </si>
  <si>
    <t>OBRFCBIOTONIC15</t>
  </si>
  <si>
    <t>ACTIVATEUR DE SOL EXPERT OR BRUN 1,5KG</t>
  </si>
  <si>
    <t>OBRFSOBGRAN4</t>
  </si>
  <si>
    <t>AUTHENTIQUE FERTILISANT GRANULE OB 4KG</t>
  </si>
  <si>
    <t>KITPROTECT</t>
  </si>
  <si>
    <t>PLV KIT PROTECT</t>
  </si>
  <si>
    <t>PDTNV</t>
  </si>
  <si>
    <t>EFR17935</t>
  </si>
  <si>
    <t>PLV PLUS</t>
  </si>
  <si>
    <t>KITSOLABIOL</t>
  </si>
  <si>
    <t>PLV KIT SOLABIOL</t>
  </si>
  <si>
    <t>Component Designation</t>
  </si>
  <si>
    <t>Carbon category</t>
  </si>
  <si>
    <t>Carbon sub category</t>
  </si>
  <si>
    <t>UVP description</t>
  </si>
  <si>
    <t>Raw Material (MB Product)</t>
  </si>
  <si>
    <t>Raw Material - Carbon Footprint</t>
  </si>
  <si>
    <t>Pack unit box</t>
  </si>
  <si>
    <t>Component Details</t>
  </si>
  <si>
    <t>000001</t>
  </si>
  <si>
    <t>EAU DEMINERALISEE IRIS</t>
  </si>
  <si>
    <t>PDTMP</t>
  </si>
  <si>
    <t>Matières Premières</t>
  </si>
  <si>
    <t>GFR00004</t>
  </si>
  <si>
    <t>IBC</t>
  </si>
  <si>
    <t>000009</t>
  </si>
  <si>
    <t>EAU DE VILLE IRIS</t>
  </si>
  <si>
    <t>103505</t>
  </si>
  <si>
    <t>ACTICIDE L</t>
  </si>
  <si>
    <t>103516</t>
  </si>
  <si>
    <t>BRODIFACOUM INCOLORE 0.5%</t>
  </si>
  <si>
    <t>103539</t>
  </si>
  <si>
    <t>DENATONIUM  BENZOATE 98%</t>
  </si>
  <si>
    <t>103664</t>
  </si>
  <si>
    <t>BITREX- DENATONIUMBENZOATE</t>
  </si>
  <si>
    <t>EGB11256</t>
  </si>
  <si>
    <t>IMCD UK LTD</t>
  </si>
  <si>
    <t>103665</t>
  </si>
  <si>
    <t>COUMATETRALYL AC SBM TC1X25KG</t>
  </si>
  <si>
    <t>PDTMA</t>
  </si>
  <si>
    <t>Raw Material - Active Ingredient</t>
  </si>
  <si>
    <t>EFR26623</t>
  </si>
  <si>
    <t>2022 ENVIRONMENTAL SCIENCE FR S.A.S</t>
  </si>
  <si>
    <t>1470936</t>
  </si>
  <si>
    <t>PALET N HOLZ-PALETTE CP2</t>
  </si>
  <si>
    <t>PDTEL</t>
  </si>
  <si>
    <t>LOGISTICS components</t>
  </si>
  <si>
    <t>150015</t>
  </si>
  <si>
    <t>MP ACIDE ACETIQUE 48% FUT1000L</t>
  </si>
  <si>
    <t>EFR16472</t>
  </si>
  <si>
    <t>SELVERT</t>
  </si>
  <si>
    <t>150028</t>
  </si>
  <si>
    <t>EMERION™W 90 PA TG 1X1000L IBC</t>
  </si>
  <si>
    <t>EUS19262</t>
  </si>
  <si>
    <t>EMERY OLEOCHEMICALS LLC</t>
  </si>
  <si>
    <t>UN</t>
  </si>
  <si>
    <t>200004</t>
  </si>
  <si>
    <t>ARGIREC B 22</t>
  </si>
  <si>
    <t>CYFLUTHRIN WP 10 W</t>
  </si>
  <si>
    <t>200058</t>
  </si>
  <si>
    <t>PROXEL GXL/B I T 20</t>
  </si>
  <si>
    <t>200059</t>
  </si>
  <si>
    <t>ACTICIDE SPX 1X200KG DRM</t>
  </si>
  <si>
    <t>EFR08540</t>
  </si>
  <si>
    <t>THOR SARL</t>
  </si>
  <si>
    <t>203136</t>
  </si>
  <si>
    <t>CARBONATE DE MAGNESIE</t>
  </si>
  <si>
    <t>EFR06717</t>
  </si>
  <si>
    <t>OPEN SOURCING</t>
  </si>
  <si>
    <t>203145</t>
  </si>
  <si>
    <t>SULFATE DE FER NEIGE</t>
  </si>
  <si>
    <t>EFR06715</t>
  </si>
  <si>
    <t>OLMIX</t>
  </si>
  <si>
    <t>203152</t>
  </si>
  <si>
    <t>SULFATE DE MANGANESE 1H2O</t>
  </si>
  <si>
    <t>EFR04595</t>
  </si>
  <si>
    <t>203157</t>
  </si>
  <si>
    <t>EPSOMITE (SULFATE DE MAGNESIUM</t>
  </si>
  <si>
    <t>203164</t>
  </si>
  <si>
    <t>SULFATE DE ZINC MONOHYDRATE</t>
  </si>
  <si>
    <t>203276</t>
  </si>
  <si>
    <t>PREVENTOL D7</t>
  </si>
  <si>
    <t>EFR15052</t>
  </si>
  <si>
    <t>SAFIC ALCAN</t>
  </si>
  <si>
    <t>203341</t>
  </si>
  <si>
    <t>CITRATE FERRIQUE 22 %</t>
  </si>
  <si>
    <t>EFR06724</t>
  </si>
  <si>
    <t>DR PAUL LOHMANN</t>
  </si>
  <si>
    <t>205041</t>
  </si>
  <si>
    <t>FARINE DE BASE LIVRAISON SILO</t>
  </si>
  <si>
    <t>PDTSO</t>
  </si>
  <si>
    <t>SOLVENTS</t>
  </si>
  <si>
    <t>205042</t>
  </si>
  <si>
    <t>FARINE DE BLE BASE SAC 25KG</t>
  </si>
  <si>
    <t>EFR06538</t>
  </si>
  <si>
    <t>AXIANE MEUNERIES</t>
  </si>
  <si>
    <t>205045</t>
  </si>
  <si>
    <t>FARINE D'AVOINE BIG BAG</t>
  </si>
  <si>
    <t>EES15254</t>
  </si>
  <si>
    <t>HARIVENASA 2000 SA</t>
  </si>
  <si>
    <t>205046</t>
  </si>
  <si>
    <t>FARINE  AVOINE SAC 25KG</t>
  </si>
  <si>
    <t>205053</t>
  </si>
  <si>
    <t>HUILE DE COLZA</t>
  </si>
  <si>
    <t>EFR06748</t>
  </si>
  <si>
    <t>HBS</t>
  </si>
  <si>
    <t>205054</t>
  </si>
  <si>
    <t>HUILE PALME BOXED PALM</t>
  </si>
  <si>
    <t>EGB06518</t>
  </si>
  <si>
    <t>AAK</t>
  </si>
  <si>
    <t>Similar to 205054</t>
  </si>
  <si>
    <t>205056</t>
  </si>
  <si>
    <t>HUILE VASELINE CODEX FLUIDE</t>
  </si>
  <si>
    <t>EFR12922</t>
  </si>
  <si>
    <t>DIRECT CHIMIE</t>
  </si>
  <si>
    <t>205057</t>
  </si>
  <si>
    <t>IONOL CP - BHT</t>
  </si>
  <si>
    <t>205091</t>
  </si>
  <si>
    <t>MONO PROPYLENE GLYCOL</t>
  </si>
  <si>
    <t>205103</t>
  </si>
  <si>
    <t>SUCRE SEMOULE SURFINE 250</t>
  </si>
  <si>
    <t>EFR06873</t>
  </si>
  <si>
    <t>UNIVAR</t>
  </si>
  <si>
    <t>Hypo CK 23/24</t>
  </si>
  <si>
    <t>205143</t>
  </si>
  <si>
    <t>//SILCOLAPSE 416</t>
  </si>
  <si>
    <t>205144</t>
  </si>
  <si>
    <t>//SILCOLAPSE 426/R</t>
  </si>
  <si>
    <t>205147</t>
  </si>
  <si>
    <t>SUCRE GLACE 250</t>
  </si>
  <si>
    <t>EFR06849</t>
  </si>
  <si>
    <t>STOCKMEIER FRANCE SAS</t>
  </si>
  <si>
    <t>205148</t>
  </si>
  <si>
    <t>POLYGLYCOL 300</t>
  </si>
  <si>
    <t>EFR08541</t>
  </si>
  <si>
    <t>HEUBACH</t>
  </si>
  <si>
    <t>205150</t>
  </si>
  <si>
    <t>HUILE PALME RAFFINE IBC 1000L.</t>
  </si>
  <si>
    <t>EIT13240</t>
  </si>
  <si>
    <t>UNIGRA SRL</t>
  </si>
  <si>
    <t>250001</t>
  </si>
  <si>
    <t>COLORANT BLEU POUDRE B2G-EDS</t>
  </si>
  <si>
    <t>NO UVP MUST BE ASSIGNED</t>
  </si>
  <si>
    <t>250018</t>
  </si>
  <si>
    <t>SOPROPHOR 796/P 1X200L DRUM</t>
  </si>
  <si>
    <t>EFR06596</t>
  </si>
  <si>
    <t>AZELIS</t>
  </si>
  <si>
    <t>250019</t>
  </si>
  <si>
    <t>GENAGEN 4296 1X1000L IBC</t>
  </si>
  <si>
    <t>EFR17260</t>
  </si>
  <si>
    <t>CLARIANT SE FRANCE</t>
  </si>
  <si>
    <t>250020</t>
  </si>
  <si>
    <t>LUCRAMUL®HOT 5902 1X1000KG IBC</t>
  </si>
  <si>
    <t>EDE12407</t>
  </si>
  <si>
    <t>LEVACO CHEMICALS GMBH</t>
  </si>
  <si>
    <t>250021</t>
  </si>
  <si>
    <t>LUCRAMUL® CO 30 1X1000L IBC</t>
  </si>
  <si>
    <t>250022</t>
  </si>
  <si>
    <t>RAPESEED OIL METHYL1X850KG IBC</t>
  </si>
  <si>
    <t>EDE18538</t>
  </si>
  <si>
    <t>SysKem Chemie GmbH</t>
  </si>
  <si>
    <t>250023</t>
  </si>
  <si>
    <t>GRANULES 4-3-3</t>
  </si>
  <si>
    <t>ENL19499</t>
  </si>
  <si>
    <t>MEMON</t>
  </si>
  <si>
    <t>250029</t>
  </si>
  <si>
    <t>BILLE ARGILE 8/16</t>
  </si>
  <si>
    <t>EDE19606</t>
  </si>
  <si>
    <t>LIAPOR GMBH &amp; CO</t>
  </si>
  <si>
    <t>250039</t>
  </si>
  <si>
    <t>EMIETTE 5/3/8 (bigbag) Or Brun</t>
  </si>
  <si>
    <t>EFR19654</t>
  </si>
  <si>
    <t>TERRIAL SAS</t>
  </si>
  <si>
    <t>250061</t>
  </si>
  <si>
    <t>PLAQUETTES CLAIRES PEUPLIER 10</t>
  </si>
  <si>
    <t>EFR19576</t>
  </si>
  <si>
    <t>FIBRE VERTE</t>
  </si>
  <si>
    <t>250063</t>
  </si>
  <si>
    <t>POUZZOLANE 3/6</t>
  </si>
  <si>
    <t>EFR19495</t>
  </si>
  <si>
    <t>POUZZOLANES DES DOMES</t>
  </si>
  <si>
    <t>250068</t>
  </si>
  <si>
    <t>TERRE DE BRUYERE</t>
  </si>
  <si>
    <t>EFR19534</t>
  </si>
  <si>
    <t>TRANS-NEGOCE SARL</t>
  </si>
  <si>
    <t>250091</t>
  </si>
  <si>
    <t>ZOLITHE   BACTOMYCOR</t>
  </si>
  <si>
    <t>EFR15293</t>
  </si>
  <si>
    <t>IF TECH SAS</t>
  </si>
  <si>
    <t>250101</t>
  </si>
  <si>
    <t>GRANULÉS FERTILISANT OR BRUN</t>
  </si>
  <si>
    <t>250104</t>
  </si>
  <si>
    <t>RHIZEOTONIC - ACTIVATEUR DE SO</t>
  </si>
  <si>
    <t>EFR19707</t>
  </si>
  <si>
    <t>BIO 3G</t>
  </si>
  <si>
    <t>25143</t>
  </si>
  <si>
    <t>COSSE DE SARRAZIN</t>
  </si>
  <si>
    <t>EFR24519</t>
  </si>
  <si>
    <t>PAULIC MEUNERIE</t>
  </si>
  <si>
    <t>374429</t>
  </si>
  <si>
    <t>ACC LAYER PAD 1100x700mm</t>
  </si>
  <si>
    <t>EPL04763</t>
  </si>
  <si>
    <t>400034</t>
  </si>
  <si>
    <t>BIDON PEHD BL DIN50 1L 83G</t>
  </si>
  <si>
    <t>PDTBO</t>
  </si>
  <si>
    <t>Bottles</t>
  </si>
  <si>
    <t>EFR06853</t>
  </si>
  <si>
    <t>RPC Emballages Montpont SA</t>
  </si>
  <si>
    <t>HDPE</t>
  </si>
  <si>
    <t>400056</t>
  </si>
  <si>
    <t>KIT SACHE+DOSEUR QL+STICKERS</t>
  </si>
  <si>
    <t>PDTAC</t>
  </si>
  <si>
    <t>Accessories</t>
  </si>
  <si>
    <t>GFR00104</t>
  </si>
  <si>
    <t>400302</t>
  </si>
  <si>
    <t>SERINGUE DOSEUSE 6ML</t>
  </si>
  <si>
    <t>PDTCO</t>
  </si>
  <si>
    <t>Containers</t>
  </si>
  <si>
    <t>EFR06852</t>
  </si>
  <si>
    <t>ROVIPHARM</t>
  </si>
  <si>
    <t>400545</t>
  </si>
  <si>
    <t>CORNIERE VERTICALE</t>
  </si>
  <si>
    <t>EFR15019</t>
  </si>
  <si>
    <t>BBA EMBALLAGES</t>
  </si>
  <si>
    <t>COR</t>
  </si>
  <si>
    <t>Raw Material Family = COR</t>
  </si>
  <si>
    <t>400547</t>
  </si>
  <si>
    <t>FEUILLARD A CERCLER BLANC</t>
  </si>
  <si>
    <t>STE</t>
  </si>
  <si>
    <t>400721</t>
  </si>
  <si>
    <t>PLAQUE INTERCALAIRE B06</t>
  </si>
  <si>
    <t>EFR06871</t>
  </si>
  <si>
    <t>DS SMITH TOUT'EMBAL</t>
  </si>
  <si>
    <t>Similar to 412267</t>
  </si>
  <si>
    <t>400848</t>
  </si>
  <si>
    <t>//BID.PEPA/BL INV 0,5L</t>
  </si>
  <si>
    <t>PDTEP</t>
  </si>
  <si>
    <t>Packaging Components PLASTIC</t>
  </si>
  <si>
    <t>400939</t>
  </si>
  <si>
    <t>//DOSEUR QL 25 ML</t>
  </si>
  <si>
    <t>EFR06726</t>
  </si>
  <si>
    <t>E.P.C. Injection Plastique</t>
  </si>
  <si>
    <t>400943</t>
  </si>
  <si>
    <t>CASSH_286x223x176mm</t>
  </si>
  <si>
    <t>PDTOU</t>
  </si>
  <si>
    <t>Outercase</t>
  </si>
  <si>
    <t>402074</t>
  </si>
  <si>
    <t>COIFFE PALETTE 15µ</t>
  </si>
  <si>
    <t>EFR06495</t>
  </si>
  <si>
    <t>MAILLAJ</t>
  </si>
  <si>
    <t>402075</t>
  </si>
  <si>
    <t>FILM ETIRABLE MACHINE PE</t>
  </si>
  <si>
    <t>EFR15002</t>
  </si>
  <si>
    <t>ABC PLASTIK</t>
  </si>
  <si>
    <t>402076</t>
  </si>
  <si>
    <t>PAL BOIS 1200X800MM</t>
  </si>
  <si>
    <t>EFR26512</t>
  </si>
  <si>
    <t>PGS SMC</t>
  </si>
  <si>
    <t>WOO</t>
  </si>
  <si>
    <t>Raw Material = Wood</t>
  </si>
  <si>
    <t>402117</t>
  </si>
  <si>
    <t>PALETTE CP1 1000X1200 (TT)</t>
  </si>
  <si>
    <t>402137</t>
  </si>
  <si>
    <t>FILM PEBD L175MM 70 µ</t>
  </si>
  <si>
    <t>PDTFL</t>
  </si>
  <si>
    <t>Flexibles</t>
  </si>
  <si>
    <t>402374</t>
  </si>
  <si>
    <t>FILM M8534 L140mm</t>
  </si>
  <si>
    <t>EUS06597</t>
  </si>
  <si>
    <t>MONOSOL</t>
  </si>
  <si>
    <t>402417</t>
  </si>
  <si>
    <t>CASSH_376x285x264mm</t>
  </si>
  <si>
    <t>402970</t>
  </si>
  <si>
    <t>PAL 1/2 800X600MM</t>
  </si>
  <si>
    <t>ENL26388</t>
  </si>
  <si>
    <t>Schmits Nederland B.V.</t>
  </si>
  <si>
    <t>403074</t>
  </si>
  <si>
    <t>//DOSEUR TASSE 190 ML</t>
  </si>
  <si>
    <t>EFR09666</t>
  </si>
  <si>
    <t>NUTRIPACK RG</t>
  </si>
  <si>
    <t>403113</t>
  </si>
  <si>
    <t>RUBAN ADHESIF 3M</t>
  </si>
  <si>
    <t>EFR00146</t>
  </si>
  <si>
    <t>SAS ALIZON INDUSTRIE</t>
  </si>
  <si>
    <t>Identical to LY</t>
  </si>
  <si>
    <t>403153</t>
  </si>
  <si>
    <t>BOUCHON BLANC BIDON 130 ML</t>
  </si>
  <si>
    <t>403410</t>
  </si>
  <si>
    <t>CASSH_588x183x216mm</t>
  </si>
  <si>
    <t>404049</t>
  </si>
  <si>
    <t>BIDON 60ML BL COEX/EV</t>
  </si>
  <si>
    <t>404802</t>
  </si>
  <si>
    <t>LID N  JET86 ET JET 107</t>
  </si>
  <si>
    <t>PDTCL</t>
  </si>
  <si>
    <t>Closures</t>
  </si>
  <si>
    <t>EFR06754</t>
  </si>
  <si>
    <t>JOKEY FRANCE</t>
  </si>
  <si>
    <t>405039</t>
  </si>
  <si>
    <t>CASSH_473x402x294mm</t>
  </si>
  <si>
    <t>405040</t>
  </si>
  <si>
    <t>CASSH_506x232x250mm</t>
  </si>
  <si>
    <t>405188</t>
  </si>
  <si>
    <t>BOUCHON THERM. POUDREUR</t>
  </si>
  <si>
    <t>EFR06536</t>
  </si>
  <si>
    <t>ASTRA PLASTIQUE</t>
  </si>
  <si>
    <t>PETXALUXLDPE</t>
  </si>
  <si>
    <t>405199</t>
  </si>
  <si>
    <t>CASSH_595x266x242mm</t>
  </si>
  <si>
    <t>405265</t>
  </si>
  <si>
    <t>CASSH_395x306x273mm</t>
  </si>
  <si>
    <t>405271</t>
  </si>
  <si>
    <t>BIDON WELSH PEHD MARRON 1 L</t>
  </si>
  <si>
    <t>EFR06757</t>
  </si>
  <si>
    <t>OZEMBAL</t>
  </si>
  <si>
    <t>405312</t>
  </si>
  <si>
    <t>DPL BOX GENERIQUE ECRU 1/2 PAL</t>
  </si>
  <si>
    <t>PDTDI</t>
  </si>
  <si>
    <t>Composants displays</t>
  </si>
  <si>
    <t>EFR06716</t>
  </si>
  <si>
    <t>ONDUL PACK - (OP Emballages)</t>
  </si>
  <si>
    <t>405359</t>
  </si>
  <si>
    <t>//GACHETTE YELLOW/GREEN 1L</t>
  </si>
  <si>
    <t>EGB00108</t>
  </si>
  <si>
    <t>CANYON EUROPE Ltd.</t>
  </si>
  <si>
    <t>LDPEXPP</t>
  </si>
  <si>
    <t>405363</t>
  </si>
  <si>
    <t>FLACON SPRAY VERT HDPE 1 L</t>
  </si>
  <si>
    <t>EGB23812</t>
  </si>
  <si>
    <t>BERRY UK CONTAINER LTD</t>
  </si>
  <si>
    <t>405364</t>
  </si>
  <si>
    <t>//GACHETTE TRIGGER GREEN/WHITE</t>
  </si>
  <si>
    <t>KGM</t>
  </si>
  <si>
    <t>406946</t>
  </si>
  <si>
    <t>ATTACHE DE SERRAGE/DESSERRAGE</t>
  </si>
  <si>
    <t>EFR06730</t>
  </si>
  <si>
    <t>ETIGO</t>
  </si>
  <si>
    <t>406970</t>
  </si>
  <si>
    <t>ATTACHE CLIP BAND 100MM BLANC</t>
  </si>
  <si>
    <t>407326</t>
  </si>
  <si>
    <t>CASSH_403x376x297mm</t>
  </si>
  <si>
    <t>407350</t>
  </si>
  <si>
    <t>BCHON DOSEUR/VERSEUR/DEGAZEUR</t>
  </si>
  <si>
    <t>EDE06535</t>
  </si>
  <si>
    <t>MENSHEN</t>
  </si>
  <si>
    <t>PP</t>
  </si>
  <si>
    <t>407360</t>
  </si>
  <si>
    <t>//BOUCHON DOSEUR/VERSEUR CRC</t>
  </si>
  <si>
    <t>407688</t>
  </si>
  <si>
    <t>BOUCLE SERRAG/FEUILLARD PLAST.</t>
  </si>
  <si>
    <t>407929</t>
  </si>
  <si>
    <t>FILM PEBD 80µ L480 MM</t>
  </si>
  <si>
    <t>408728</t>
  </si>
  <si>
    <t>FILM PEBD 80µ L400MM</t>
  </si>
  <si>
    <t>EFR15252</t>
  </si>
  <si>
    <t>INDUSTRIAL PACKAGING SOLUTIONS</t>
  </si>
  <si>
    <t>In the designation</t>
  </si>
  <si>
    <t>409070</t>
  </si>
  <si>
    <t>SACHE PE 260x450 80µ</t>
  </si>
  <si>
    <t>LDPE</t>
  </si>
  <si>
    <t>409822</t>
  </si>
  <si>
    <t>BOTPE N BL DIN 50 500MLAGRO</t>
  </si>
  <si>
    <t>410149</t>
  </si>
  <si>
    <t>CANBO N  EASYOPEN D99XH119</t>
  </si>
  <si>
    <t>EIT06874</t>
  </si>
  <si>
    <t>VENEGONI S.r.l</t>
  </si>
  <si>
    <t>TIN</t>
  </si>
  <si>
    <t>410266</t>
  </si>
  <si>
    <t>CASSH_423x318x220mm</t>
  </si>
  <si>
    <t>EES06714</t>
  </si>
  <si>
    <t>CARTONAJES M.PETIT,SA</t>
  </si>
  <si>
    <t>410377</t>
  </si>
  <si>
    <t>CASSH_300x295x190mm</t>
  </si>
  <si>
    <t>410388</t>
  </si>
  <si>
    <t>CASSH_423x318x130mm</t>
  </si>
  <si>
    <t>410414</t>
  </si>
  <si>
    <t>FLXRS N  TRANS PET/PE EVOH 60µ</t>
  </si>
  <si>
    <t>EFR06761</t>
  </si>
  <si>
    <t>PLACEL CHUPIN</t>
  </si>
  <si>
    <t>PETXEVOHXLDPE</t>
  </si>
  <si>
    <t>411208</t>
  </si>
  <si>
    <t>SAC POUBELLE 110L NOIR</t>
  </si>
  <si>
    <t>EFR14995</t>
  </si>
  <si>
    <t>MANUTAN</t>
  </si>
  <si>
    <t>412002</t>
  </si>
  <si>
    <t>CASSH_211x191x168mm</t>
  </si>
  <si>
    <t>412049</t>
  </si>
  <si>
    <t>CASSH_390x263x290mm</t>
  </si>
  <si>
    <t>BOA</t>
  </si>
  <si>
    <t>412123</t>
  </si>
  <si>
    <t>CAP N  PLASTIQUE NOIR D99</t>
  </si>
  <si>
    <t>EFR06872</t>
  </si>
  <si>
    <t>UNITED CAPS MESSIA</t>
  </si>
  <si>
    <t>412157</t>
  </si>
  <si>
    <t>CANBO N  EASYOPEN D99 XH210</t>
  </si>
  <si>
    <t>412158</t>
  </si>
  <si>
    <t>OPERCULE EASY OPEN</t>
  </si>
  <si>
    <t>ALU</t>
  </si>
  <si>
    <t>412294</t>
  </si>
  <si>
    <t>COIFFE  1/2 PAL NOUV FORMAT</t>
  </si>
  <si>
    <t>412610</t>
  </si>
  <si>
    <t>CORNIERE 50x50x3x1.05M</t>
  </si>
  <si>
    <t>412627</t>
  </si>
  <si>
    <t>INTERCALAIRE ANTI-GLISS 115*75</t>
  </si>
  <si>
    <t>EFR11125</t>
  </si>
  <si>
    <t>BULTEAU SYSTEMS</t>
  </si>
  <si>
    <t>Idem 412267</t>
  </si>
  <si>
    <t>430204</t>
  </si>
  <si>
    <t>//BOXGF N  SOBOUTU40</t>
  </si>
  <si>
    <t>PDTEC</t>
  </si>
  <si>
    <t>Packaging Components CARTON</t>
  </si>
  <si>
    <t>EDE06759</t>
  </si>
  <si>
    <t>PAUL KLAES SARL</t>
  </si>
  <si>
    <t>430298</t>
  </si>
  <si>
    <t>//LAIZE IMP SOCONAT9P</t>
  </si>
  <si>
    <t>ENL14136</t>
  </si>
  <si>
    <t>COMBIPAC B.V. h/o BPI.INDUPAC (COMM</t>
  </si>
  <si>
    <t>430310</t>
  </si>
  <si>
    <t>LAIZE IMP SOCHAUX10</t>
  </si>
  <si>
    <t>EES05724</t>
  </si>
  <si>
    <t>ASPLA Plasticos Españoles S.A</t>
  </si>
  <si>
    <t>433002</t>
  </si>
  <si>
    <t>//BOTPT N 1L WHITE S TRIGGER</t>
  </si>
  <si>
    <t>EGB00135</t>
  </si>
  <si>
    <t>PLASTIPAK UK Ltd</t>
  </si>
  <si>
    <t>PET</t>
  </si>
  <si>
    <t>433003</t>
  </si>
  <si>
    <t>//GACHETTE TRIGGER RED/WHITE</t>
  </si>
  <si>
    <t>433008</t>
  </si>
  <si>
    <t>//BOTPO-1000ML BLUE S TRIGGER</t>
  </si>
  <si>
    <t>433011</t>
  </si>
  <si>
    <t>CAPCR-N KS36 RED FOAM DISK TS</t>
  </si>
  <si>
    <t>EDE00252</t>
  </si>
  <si>
    <t>Hartmut Mühlhoff GmbH and Co. KG</t>
  </si>
  <si>
    <t>433016</t>
  </si>
  <si>
    <t>//BOTEV_N_50ml_KS36_nature</t>
  </si>
  <si>
    <t>EDE00061</t>
  </si>
  <si>
    <t>KKT KALLER KUNSTSTOFF TECHN.GMBH</t>
  </si>
  <si>
    <t>PEXEVOH</t>
  </si>
  <si>
    <t>433021</t>
  </si>
  <si>
    <t>SPRTR_125X100x40mm_flex_whired</t>
  </si>
  <si>
    <t>EDE00004</t>
  </si>
  <si>
    <t>SILGAN DISPENSING SYSTEMS</t>
  </si>
  <si>
    <t>PPXHDPEXSTEXPVC</t>
  </si>
  <si>
    <t>433022</t>
  </si>
  <si>
    <t>ACCSP REMOTE TRIGGER MWV White</t>
  </si>
  <si>
    <t>450018</t>
  </si>
  <si>
    <t>PALST N STRETCH HOODFRAYSSINET</t>
  </si>
  <si>
    <t>450026</t>
  </si>
  <si>
    <t>DIS 75ML DIN50 TR TECNOPLAST</t>
  </si>
  <si>
    <t>EIT09952</t>
  </si>
  <si>
    <t>TECNOPLAST DI BATTELLI ALVARO SRL</t>
  </si>
  <si>
    <t>450033</t>
  </si>
  <si>
    <t>BOTPE N D67MM SMALL ROUND BLUE</t>
  </si>
  <si>
    <t>EFR24807</t>
  </si>
  <si>
    <t>MILLET MARIUS</t>
  </si>
  <si>
    <t>450119</t>
  </si>
  <si>
    <t>BOTPT 1.8L EURO SPICE RPC red</t>
  </si>
  <si>
    <t>ENL13239</t>
  </si>
  <si>
    <t>PETPOWER BV - RPC</t>
  </si>
  <si>
    <t>450120</t>
  </si>
  <si>
    <t>BOTPT 800ml EURO SPICE RPC red</t>
  </si>
  <si>
    <t>450121</t>
  </si>
  <si>
    <t>CAPCR 63mm TECHNOPLAST red</t>
  </si>
  <si>
    <t>450128</t>
  </si>
  <si>
    <t>CASSH_371x235x188mm</t>
  </si>
  <si>
    <t>450129</t>
  </si>
  <si>
    <t>CASSH_397x357x266mm</t>
  </si>
  <si>
    <t>450152</t>
  </si>
  <si>
    <t>ACC ANT BAIT STATION BASE</t>
  </si>
  <si>
    <t>PDTDE</t>
  </si>
  <si>
    <t>Composants Devices</t>
  </si>
  <si>
    <t>PS</t>
  </si>
  <si>
    <t>450153</t>
  </si>
  <si>
    <t>ACC ANT BAIT STATION TOP</t>
  </si>
  <si>
    <t>450154</t>
  </si>
  <si>
    <t>SHELF READY CASE NEUTRAL</t>
  </si>
  <si>
    <t>450155</t>
  </si>
  <si>
    <t>//PLASTIC BLISTER NEUTRAL</t>
  </si>
  <si>
    <t>450172</t>
  </si>
  <si>
    <t>BOTPE WELSH 1L WHITE</t>
  </si>
  <si>
    <t>450173</t>
  </si>
  <si>
    <t>//CAP42MMWHITE/TR VENTED MENSH</t>
  </si>
  <si>
    <t>450174</t>
  </si>
  <si>
    <t>PALST N 1/2 PAL STRETCH</t>
  </si>
  <si>
    <t>450204</t>
  </si>
  <si>
    <t>PALLP N LAYER PAD 785x1185mm</t>
  </si>
  <si>
    <t>EGR07591</t>
  </si>
  <si>
    <t>ARCOMANIS CHEMICAL ENTREPRISES</t>
  </si>
  <si>
    <t>450218</t>
  </si>
  <si>
    <t>DIS N 25ML NEW GRADUATIONS EPC</t>
  </si>
  <si>
    <t>450396</t>
  </si>
  <si>
    <t>CASSH_395x156x262mm</t>
  </si>
  <si>
    <t>450415</t>
  </si>
  <si>
    <t>CASSH_368x259x227mm</t>
  </si>
  <si>
    <t>450434</t>
  </si>
  <si>
    <t>LID N DETR30P JOKEY BLK</t>
  </si>
  <si>
    <t>EDE15340</t>
  </si>
  <si>
    <t>JOKEY GUMMERSBACH SE</t>
  </si>
  <si>
    <t>450447</t>
  </si>
  <si>
    <t>CASSH N 205x160x230mm</t>
  </si>
  <si>
    <t>450458</t>
  </si>
  <si>
    <t>ACC RAT BAIT STATION BOITE CLE</t>
  </si>
  <si>
    <t>450459</t>
  </si>
  <si>
    <t>CASH N 360x230x270mm 4x1</t>
  </si>
  <si>
    <t>450460</t>
  </si>
  <si>
    <t>//CASSH N CATPIEGE  1x12</t>
  </si>
  <si>
    <t>450463</t>
  </si>
  <si>
    <t>//ACC N CASNASSB NASSE SOURIS</t>
  </si>
  <si>
    <t>450464</t>
  </si>
  <si>
    <t>//CASSH_339x145x132mm</t>
  </si>
  <si>
    <t>450465</t>
  </si>
  <si>
    <t>//ACC N CARNASSB NASSE RAT</t>
  </si>
  <si>
    <t>450466</t>
  </si>
  <si>
    <t>//CASH N CARNASSB 1X12</t>
  </si>
  <si>
    <t>450495</t>
  </si>
  <si>
    <t>PALLP N STOPGLISS 2 PE 220GSM</t>
  </si>
  <si>
    <t>EFR15263</t>
  </si>
  <si>
    <t>ENDUPACK</t>
  </si>
  <si>
    <t>450502</t>
  </si>
  <si>
    <t>ACTUA N wasp red PP PRECISION</t>
  </si>
  <si>
    <t>PDTAE</t>
  </si>
  <si>
    <t>450509</t>
  </si>
  <si>
    <t>ACC N rat Wooden trap 1 PCE</t>
  </si>
  <si>
    <t>PDTEM</t>
  </si>
  <si>
    <t>Packaging others materials</t>
  </si>
  <si>
    <t>450510</t>
  </si>
  <si>
    <t>ACC N mice Wooden trap  1 PCE</t>
  </si>
  <si>
    <t>450512</t>
  </si>
  <si>
    <t>ACC N RAT PLASTIC TRAP 1 PCE</t>
  </si>
  <si>
    <t>450513</t>
  </si>
  <si>
    <t>ACC N MICE PLASTIC TRAP 1 PCE</t>
  </si>
  <si>
    <t>450516</t>
  </si>
  <si>
    <t>AEVAL N 32,5x32,5x246 PRECISIO</t>
  </si>
  <si>
    <t>BUNAXPAXHDPEXPET</t>
  </si>
  <si>
    <t>450521FR</t>
  </si>
  <si>
    <t>CASRP N SOGERM90 12x(6x15G)</t>
  </si>
  <si>
    <t>450522</t>
  </si>
  <si>
    <t>PAL N 1200x800mm WOOD and LOST</t>
  </si>
  <si>
    <t>450523</t>
  </si>
  <si>
    <t>PAL N 1200x1000mm WOOD LOST</t>
  </si>
  <si>
    <t>450524</t>
  </si>
  <si>
    <t>PALST N PALLET PROTECTION FILM</t>
  </si>
  <si>
    <t>450529</t>
  </si>
  <si>
    <t>ACTUA N spout red PP PRECISION</t>
  </si>
  <si>
    <t>450530</t>
  </si>
  <si>
    <t>CAPAE N 65mm PP AB PLAST</t>
  </si>
  <si>
    <t>450546</t>
  </si>
  <si>
    <t>//ACC N MOUSE TRAP ELECTR 1PCE</t>
  </si>
  <si>
    <t>450553</t>
  </si>
  <si>
    <t>CASSH_397x229x245mm</t>
  </si>
  <si>
    <t>450554</t>
  </si>
  <si>
    <t>CASSH_396x215x293mm</t>
  </si>
  <si>
    <t>450555</t>
  </si>
  <si>
    <t>ACC N BLK BOX RAT COPYR</t>
  </si>
  <si>
    <t>PDTET</t>
  </si>
  <si>
    <t>Etiquettes</t>
  </si>
  <si>
    <t>450556</t>
  </si>
  <si>
    <t>CASSH N 233x217x293mm</t>
  </si>
  <si>
    <t>450560</t>
  </si>
  <si>
    <t>DISPE 50ML BAXTER</t>
  </si>
  <si>
    <t>EFR14109</t>
  </si>
  <si>
    <t>BAXTER INJECTION</t>
  </si>
  <si>
    <t>450561</t>
  </si>
  <si>
    <t>CAPCR 42mm BAXTER RED</t>
  </si>
  <si>
    <t>450568</t>
  </si>
  <si>
    <t>CAPCR 29mm SUPERSAFETOP RED</t>
  </si>
  <si>
    <t>450569</t>
  </si>
  <si>
    <t>DISPE 25ml for CRC CAP 450568</t>
  </si>
  <si>
    <t>450570</t>
  </si>
  <si>
    <t>BOTPE  LEAF 1L WHITE</t>
  </si>
  <si>
    <t>450571</t>
  </si>
  <si>
    <t>BOTPE LEAF 1L GREEN</t>
  </si>
  <si>
    <t>450572</t>
  </si>
  <si>
    <t>BOTPE SEQUOIA 3L WHITE</t>
  </si>
  <si>
    <t>450578</t>
  </si>
  <si>
    <t>BOTPE N 3L FLEXISPRAY WHITE</t>
  </si>
  <si>
    <t>EFR13006</t>
  </si>
  <si>
    <t>Greif Plastics St-Etienne SAS</t>
  </si>
  <si>
    <t>450638</t>
  </si>
  <si>
    <t>CAPCR 42 DOSEUR 50 ML PP</t>
  </si>
  <si>
    <t>450642</t>
  </si>
  <si>
    <t>CAS PALLET SKIRT 1185x785x1500</t>
  </si>
  <si>
    <t>450643</t>
  </si>
  <si>
    <t>//BOTPE 1L C40 WHITE TMM ROUND</t>
  </si>
  <si>
    <t>EFR24808</t>
  </si>
  <si>
    <t>GREIF PLASTICS CHALON SAS</t>
  </si>
  <si>
    <t>450665</t>
  </si>
  <si>
    <t>//SPRTR T95 CRC GREEN WHIT 1L</t>
  </si>
  <si>
    <t>HDPEXPP</t>
  </si>
  <si>
    <t>450704</t>
  </si>
  <si>
    <t>CASSH_274x207x166mm</t>
  </si>
  <si>
    <t>450712</t>
  </si>
  <si>
    <t>//BOTEV WHITE UN 500mL</t>
  </si>
  <si>
    <t>EIT00095</t>
  </si>
  <si>
    <t>METALCHIMICA SRL</t>
  </si>
  <si>
    <t>450724</t>
  </si>
  <si>
    <t>LID N WHIT 160x140x8,7mm</t>
  </si>
  <si>
    <t>EFR06522</t>
  </si>
  <si>
    <t>ACT Sa</t>
  </si>
  <si>
    <t>450725</t>
  </si>
  <si>
    <t>CASSH N 500x300x210mm</t>
  </si>
  <si>
    <t>450726</t>
  </si>
  <si>
    <t>CASSH N 299x280x180mm ACT</t>
  </si>
  <si>
    <t>450739</t>
  </si>
  <si>
    <t>//BOTFL EYD 125ml GREEN</t>
  </si>
  <si>
    <t>HDPEXF</t>
  </si>
  <si>
    <t>450761</t>
  </si>
  <si>
    <t>ACC N PP BLACK TRAP</t>
  </si>
  <si>
    <t>EBE00009</t>
  </si>
  <si>
    <t>PELSIS BELGIUM NV/SA</t>
  </si>
  <si>
    <t>450762</t>
  </si>
  <si>
    <t>CASSH N 300x240x330mm</t>
  </si>
  <si>
    <t>450764</t>
  </si>
  <si>
    <t>ACC N CORNIERES VERTICALES</t>
  </si>
  <si>
    <t>450768</t>
  </si>
  <si>
    <t>//BOTPE NAT 250ML 38G DOS 10mL</t>
  </si>
  <si>
    <t>EFR00183</t>
  </si>
  <si>
    <t>PONT EMBALLAGES  SAS</t>
  </si>
  <si>
    <t>450775</t>
  </si>
  <si>
    <t>//CAPCR 24mm WHITE PP IHS 5G</t>
  </si>
  <si>
    <t>450784</t>
  </si>
  <si>
    <t>//CASSH EB 20 TT 365x245x183mm</t>
  </si>
  <si>
    <t>EFR16456</t>
  </si>
  <si>
    <t>GOURIO CARTONNAGES</t>
  </si>
  <si>
    <t>450823</t>
  </si>
  <si>
    <t>//BOTPE BHS VERT HDPE 1L 42mm</t>
  </si>
  <si>
    <t>EFR16676</t>
  </si>
  <si>
    <t>TOLTEX</t>
  </si>
  <si>
    <t>450827</t>
  </si>
  <si>
    <t>CAPCR AP D61 JERRICAN 20 L</t>
  </si>
  <si>
    <t>EFR17103</t>
  </si>
  <si>
    <t>AGRIPLAS SAS</t>
  </si>
  <si>
    <t>Raw Material Family = HDPE</t>
  </si>
  <si>
    <t>450828</t>
  </si>
  <si>
    <t>//CAPCR B40 INVIOL JERRIC 5L</t>
  </si>
  <si>
    <t>450829</t>
  </si>
  <si>
    <t>CAPCR42 DOSEUR 30 ML PP</t>
  </si>
  <si>
    <t>450846</t>
  </si>
  <si>
    <t>JERRICAN 20LITRES EURO20L</t>
  </si>
  <si>
    <t>450847</t>
  </si>
  <si>
    <t>BOT JERRICAN 5L JERRY 160G B40</t>
  </si>
  <si>
    <t>450848</t>
  </si>
  <si>
    <t>//BOTPE VERT CLAIR 3.25L BHS</t>
  </si>
  <si>
    <t>EFR16578</t>
  </si>
  <si>
    <t>PLASTIQUE MANCHE SUD</t>
  </si>
  <si>
    <t>450886</t>
  </si>
  <si>
    <t>//CASSH N 340x226x130mm</t>
  </si>
  <si>
    <t>450903</t>
  </si>
  <si>
    <t>CAPCR 42mm DEGAZ GREEN 2.5-5L</t>
  </si>
  <si>
    <t>450910</t>
  </si>
  <si>
    <t>//CASSH 365x215x267mm</t>
  </si>
  <si>
    <t>450917</t>
  </si>
  <si>
    <t>CASSH 285x190x155mm</t>
  </si>
  <si>
    <t>450918</t>
  </si>
  <si>
    <t>CASSH 357x196x188mm</t>
  </si>
  <si>
    <t>450920</t>
  </si>
  <si>
    <t>CASSH_392x135x290mm</t>
  </si>
  <si>
    <t>450921</t>
  </si>
  <si>
    <t>CASSH 340x225x235mm</t>
  </si>
  <si>
    <t>450922</t>
  </si>
  <si>
    <t>//CASSH 500x370x100mm</t>
  </si>
  <si>
    <t>450923</t>
  </si>
  <si>
    <t>CASH  435x241x196 mm</t>
  </si>
  <si>
    <t>450937</t>
  </si>
  <si>
    <t>CAPCR 29 SUPERSAFETOP VENT WHI</t>
  </si>
  <si>
    <t>450947</t>
  </si>
  <si>
    <t>ACC LIFETRAPMULTI Woodstream</t>
  </si>
  <si>
    <t>450948</t>
  </si>
  <si>
    <t>ACC MICETRPCLK Woodstream</t>
  </si>
  <si>
    <t>450959</t>
  </si>
  <si>
    <t>BOTPT RTU 1L GREEN S SHAPE PDG</t>
  </si>
  <si>
    <t>EFR17570</t>
  </si>
  <si>
    <t>PDG PLASTIQUES S.A.S.</t>
  </si>
  <si>
    <t>450960</t>
  </si>
  <si>
    <t>BOTPT RTU 1L BLUE S SHAPE PDG</t>
  </si>
  <si>
    <t>450961</t>
  </si>
  <si>
    <t>BOTPT RTU 0.5L GREEN S SHA PDG</t>
  </si>
  <si>
    <t>450963</t>
  </si>
  <si>
    <t>//CASSH_387x228x327mm</t>
  </si>
  <si>
    <t>450976</t>
  </si>
  <si>
    <t>CASRP 230x83x165mm</t>
  </si>
  <si>
    <t>450977</t>
  </si>
  <si>
    <t>ACC 3ml M2I seringe</t>
  </si>
  <si>
    <t>450978</t>
  </si>
  <si>
    <t>ACC SMART TRAP M2I PP</t>
  </si>
  <si>
    <t>450979</t>
  </si>
  <si>
    <t>CASSH 370X286 X140mm</t>
  </si>
  <si>
    <t>450980</t>
  </si>
  <si>
    <t>ACC Temper  86601073 SOPIBUISN</t>
  </si>
  <si>
    <t>450983</t>
  </si>
  <si>
    <t>BOTPT RTU 1L WHITE S SHAP PDG</t>
  </si>
  <si>
    <t>451037</t>
  </si>
  <si>
    <t>CLIP WELOC PP 60mm BLANC</t>
  </si>
  <si>
    <t>EFR17937</t>
  </si>
  <si>
    <t>CONSERVA PLUS</t>
  </si>
  <si>
    <t>451049</t>
  </si>
  <si>
    <t>//CASSH 378x254x225 mm</t>
  </si>
  <si>
    <t>451051</t>
  </si>
  <si>
    <t>JTD AUTODOSING CAP GREEN 13ML</t>
  </si>
  <si>
    <t>PPXPEXLSR</t>
  </si>
  <si>
    <t>451052</t>
  </si>
  <si>
    <t>BOTPE 125ML SEQ HDPE D29</t>
  </si>
  <si>
    <t>451054</t>
  </si>
  <si>
    <t>BOTPE  250 ML SEQ HDPE D29</t>
  </si>
  <si>
    <t>451055</t>
  </si>
  <si>
    <t>BOTFL 250ML SEQ HDPE FLUO D29</t>
  </si>
  <si>
    <t>451056</t>
  </si>
  <si>
    <t>BOTCX 250ML SEQ HDPE/EVOH D29</t>
  </si>
  <si>
    <t>451060</t>
  </si>
  <si>
    <t>BOTPE 1L SEQUOIA HDPE D42</t>
  </si>
  <si>
    <t>451061</t>
  </si>
  <si>
    <t>BOTPE 1L SEQUOIA HDPE FLUO D42</t>
  </si>
  <si>
    <t>451064</t>
  </si>
  <si>
    <t>CASSH_240x177x185mm</t>
  </si>
  <si>
    <t>451068</t>
  </si>
  <si>
    <t>CASSH_270x165x150mm</t>
  </si>
  <si>
    <t>451070</t>
  </si>
  <si>
    <t>SPRTR TS5 GRE&amp;WHI CRC 1L AMZ</t>
  </si>
  <si>
    <t>EIT16573</t>
  </si>
  <si>
    <t>GUALA DISPENSING SPA</t>
  </si>
  <si>
    <t>451072</t>
  </si>
  <si>
    <t>SPRTR TS5 RED&amp;WHI CRC 1L AMZ</t>
  </si>
  <si>
    <t>451075</t>
  </si>
  <si>
    <t>CASSH 295x195x165mm</t>
  </si>
  <si>
    <t>451077</t>
  </si>
  <si>
    <t>CASSH_286x193x198mm</t>
  </si>
  <si>
    <t>EPL00283</t>
  </si>
  <si>
    <t>Target S.A.</t>
  </si>
  <si>
    <t>451078</t>
  </si>
  <si>
    <t>CASSH 270x165x180mm</t>
  </si>
  <si>
    <t>451084</t>
  </si>
  <si>
    <t>//CASSH 374x287x211mm</t>
  </si>
  <si>
    <t>451085</t>
  </si>
  <si>
    <t>CASSH_379x292x270mm</t>
  </si>
  <si>
    <t>451088</t>
  </si>
  <si>
    <t>CAPAE 52mm TRA ZELNOVA</t>
  </si>
  <si>
    <t>451089</t>
  </si>
  <si>
    <t>JTD AUTODOSING CAP RED 45ML</t>
  </si>
  <si>
    <t>451090</t>
  </si>
  <si>
    <t>JTD AUTODOSING CAP RED 13ML</t>
  </si>
  <si>
    <t>451091</t>
  </si>
  <si>
    <t>BOTCX 1L C42 WHITE ROUND PE</t>
  </si>
  <si>
    <t>451092</t>
  </si>
  <si>
    <t>//BOTCX 1L SEQUO HDPE EVOH D42</t>
  </si>
  <si>
    <t>451093</t>
  </si>
  <si>
    <t>AEVAL 0,6mm PA ZELNOVA</t>
  </si>
  <si>
    <t>451094</t>
  </si>
  <si>
    <t>CASSH 212 x 160 x 234 mm</t>
  </si>
  <si>
    <t>451095</t>
  </si>
  <si>
    <t>ACTUA WHITE 400mL ZELNOVA</t>
  </si>
  <si>
    <t>451099</t>
  </si>
  <si>
    <t>LAB ULTRASOU ET ULTRARASOU</t>
  </si>
  <si>
    <t>451101</t>
  </si>
  <si>
    <t>CASSH 275x250x110</t>
  </si>
  <si>
    <t>451110</t>
  </si>
  <si>
    <t>BOTPE 125ML SEQ HDPE FLUO D29</t>
  </si>
  <si>
    <t>451111</t>
  </si>
  <si>
    <t>CAPCR29 GR/YEL SUPERSAFETOP</t>
  </si>
  <si>
    <t>451126</t>
  </si>
  <si>
    <t>CASSH 265x200x351 12x750ML</t>
  </si>
  <si>
    <t>451134</t>
  </si>
  <si>
    <t>ACC-30mm PP string M2I</t>
  </si>
  <si>
    <t>451148</t>
  </si>
  <si>
    <t>ORBIO BOUCHON NOIR Sécu enfant</t>
  </si>
  <si>
    <t>G</t>
  </si>
  <si>
    <t>451152</t>
  </si>
  <si>
    <t>Plaque fond de palette 1176*79</t>
  </si>
  <si>
    <t>EFR06325</t>
  </si>
  <si>
    <t>SAICAPACK VENIZEL CASE</t>
  </si>
  <si>
    <t>451154</t>
  </si>
  <si>
    <t>KS FLACON 300ML</t>
  </si>
  <si>
    <t>451166</t>
  </si>
  <si>
    <t>KS 1.5KG DOYPACK</t>
  </si>
  <si>
    <t>LDPEXPET</t>
  </si>
  <si>
    <t>451174</t>
  </si>
  <si>
    <t>EMB.COUVERCLE BEIGE JET 70 PM</t>
  </si>
  <si>
    <t>451179</t>
  </si>
  <si>
    <t>FLACONS PLASTIQUE 300ml orbio</t>
  </si>
  <si>
    <t>EFR19555</t>
  </si>
  <si>
    <t>PLASTIQUES ANDRE VERCHERE</t>
  </si>
  <si>
    <t>451183</t>
  </si>
  <si>
    <t>HOUSSE PLASTIQUE</t>
  </si>
  <si>
    <t>451186</t>
  </si>
  <si>
    <t>PALETTE PERDUE LOURDE 80X120</t>
  </si>
  <si>
    <t>EFR17295</t>
  </si>
  <si>
    <t>BRENNTAG VAL DE LOIRE</t>
  </si>
  <si>
    <t>451187</t>
  </si>
  <si>
    <t>PALETTE CHEP 80X120</t>
  </si>
  <si>
    <t>EFR19460</t>
  </si>
  <si>
    <t>CHEP FRANCE PALETTE</t>
  </si>
  <si>
    <t>451211</t>
  </si>
  <si>
    <t>//CASSH 386x297x255mm</t>
  </si>
  <si>
    <t>451214</t>
  </si>
  <si>
    <t>//CASSH 386x210x281mm</t>
  </si>
  <si>
    <t>451233</t>
  </si>
  <si>
    <t>CASSH_477x294x220mm</t>
  </si>
  <si>
    <t>451238</t>
  </si>
  <si>
    <t>//CAPCR 42 DOS 50 ML SOFTHDPE</t>
  </si>
  <si>
    <t>451246</t>
  </si>
  <si>
    <t>SPRTR TS5 GRE&amp;WHI CRC 0,5L AMZ</t>
  </si>
  <si>
    <t>451248</t>
  </si>
  <si>
    <t>CARD 266X96X28mm NAT ADYS</t>
  </si>
  <si>
    <t>451249</t>
  </si>
  <si>
    <t>BOT50 HDPE ROUND WHITE NOXIMA</t>
  </si>
  <si>
    <t>451250</t>
  </si>
  <si>
    <t>CAP50 LDPE WHITE NOXIMA</t>
  </si>
  <si>
    <t>451251</t>
  </si>
  <si>
    <t>CASSH 268x203x100 NOXIMA</t>
  </si>
  <si>
    <t>451296</t>
  </si>
  <si>
    <t>FLXRS AGRONUTRITION POTASSE</t>
  </si>
  <si>
    <t>451328</t>
  </si>
  <si>
    <t>CAP N DIN50 RED TECNOPLAST</t>
  </si>
  <si>
    <t>451330</t>
  </si>
  <si>
    <t>CAP N DIN50 GREEN TECNOPLAST</t>
  </si>
  <si>
    <t>451331</t>
  </si>
  <si>
    <t>DCAPCR42 GREEN VENTED MENSH</t>
  </si>
  <si>
    <t>451332</t>
  </si>
  <si>
    <t>CASSH_377x290x219mm</t>
  </si>
  <si>
    <t>451334</t>
  </si>
  <si>
    <t>CASSH_399x218x307mm</t>
  </si>
  <si>
    <t>EDE00017</t>
  </si>
  <si>
    <t>451378</t>
  </si>
  <si>
    <t>CASSH_380x272x307mm</t>
  </si>
  <si>
    <t>451395</t>
  </si>
  <si>
    <t>BOT23 THERMACELL BLA</t>
  </si>
  <si>
    <t>PETXPE</t>
  </si>
  <si>
    <t>451396</t>
  </si>
  <si>
    <t>CAP23 THERMACELL BLU</t>
  </si>
  <si>
    <t>451397</t>
  </si>
  <si>
    <t>BLIST THERMACELL TRA</t>
  </si>
  <si>
    <t>451398</t>
  </si>
  <si>
    <t>TRAY_2PART_E55REFILL80_12SLOT</t>
  </si>
  <si>
    <t>451405</t>
  </si>
  <si>
    <t>CASSH_283x214x210mm</t>
  </si>
  <si>
    <t>451416</t>
  </si>
  <si>
    <t>FLXRL 80x20x155 100G lodi</t>
  </si>
  <si>
    <t>451417</t>
  </si>
  <si>
    <t>CASSH 305x205x160mm case lodi</t>
  </si>
  <si>
    <t>451429</t>
  </si>
  <si>
    <t>BOT60 20l white agriplas shark</t>
  </si>
  <si>
    <t>451441</t>
  </si>
  <si>
    <t>CAS 465x394x278mm CULTERRA</t>
  </si>
  <si>
    <t>451458</t>
  </si>
  <si>
    <t>AEVAL 32,5x32,5x308,4mm</t>
  </si>
  <si>
    <t>PAXPEXBUNA</t>
  </si>
  <si>
    <t>451459</t>
  </si>
  <si>
    <t>CAPAE PP 65x65x50mm TRA</t>
  </si>
  <si>
    <t>451476</t>
  </si>
  <si>
    <t>LAB N ETQ TRIANGLE TACTIL 9mm</t>
  </si>
  <si>
    <t>451511</t>
  </si>
  <si>
    <t>BOT42_5L_TRA</t>
  </si>
  <si>
    <t>451512</t>
  </si>
  <si>
    <t>CAP42_WHI</t>
  </si>
  <si>
    <t>451513</t>
  </si>
  <si>
    <t>CASSH_278x198x309mm</t>
  </si>
  <si>
    <t>451514</t>
  </si>
  <si>
    <t>TRAY_2PART_E55REFILL40_6PCE</t>
  </si>
  <si>
    <t>451523</t>
  </si>
  <si>
    <t>LABEX_40x12mm</t>
  </si>
  <si>
    <t>451535</t>
  </si>
  <si>
    <t>CASSH_292x197x294mm_LQ printed</t>
  </si>
  <si>
    <t>451543</t>
  </si>
  <si>
    <t>FLXRL_480mm_TRA</t>
  </si>
  <si>
    <t>EFR27434</t>
  </si>
  <si>
    <t>451544</t>
  </si>
  <si>
    <t>COV_1400x1405</t>
  </si>
  <si>
    <t>451565</t>
  </si>
  <si>
    <t>BOT63_800L_RED_PCR</t>
  </si>
  <si>
    <t>451571</t>
  </si>
  <si>
    <t>BOT63_1.8L_RED_PCR</t>
  </si>
  <si>
    <t>451593</t>
  </si>
  <si>
    <t>BOT36_50mL_nature_KS36</t>
  </si>
  <si>
    <t>513898</t>
  </si>
  <si>
    <t>ETIQUETTE NEUTRE ZEBRA 150X300</t>
  </si>
  <si>
    <t>EFR15020</t>
  </si>
  <si>
    <t>AMETIS GROUPE VITADRESSE</t>
  </si>
  <si>
    <t>CAR</t>
  </si>
  <si>
    <t>516653</t>
  </si>
  <si>
    <t>ETT 100*100 TMD LQ</t>
  </si>
  <si>
    <t>519475</t>
  </si>
  <si>
    <t>ETIQUETTE  ZEBRA CLP150X300</t>
  </si>
  <si>
    <t>EFR04913</t>
  </si>
  <si>
    <t>SOCARET ETIQUETTES</t>
  </si>
  <si>
    <t>530017</t>
  </si>
  <si>
    <t>//LABFR N  SOBOUTU40</t>
  </si>
  <si>
    <t>530260</t>
  </si>
  <si>
    <t>LABST SOARMI100</t>
  </si>
  <si>
    <t>EES06539</t>
  </si>
  <si>
    <t>PAP</t>
  </si>
  <si>
    <t>530768</t>
  </si>
  <si>
    <t>//ETPSACHE BB NC AMM2189993</t>
  </si>
  <si>
    <t>550866FR</t>
  </si>
  <si>
    <t>BOXTI N BAR SOBARPOT15 1,5KG</t>
  </si>
  <si>
    <t>550867FR</t>
  </si>
  <si>
    <t>LABST N SOBARPOT15 5x1,5KG</t>
  </si>
  <si>
    <t>551282FR</t>
  </si>
  <si>
    <t>LABST N SOBACI15 12(6x2,5G)</t>
  </si>
  <si>
    <t>551283FR</t>
  </si>
  <si>
    <t>FLXRS N PETPE DELFIN285mmBLANC</t>
  </si>
  <si>
    <t>EFR06688</t>
  </si>
  <si>
    <t>BRODART</t>
  </si>
  <si>
    <t>551383FR</t>
  </si>
  <si>
    <t>LABST N SOPYRAL15 12(6x2,5G)</t>
  </si>
  <si>
    <t>551384FR</t>
  </si>
  <si>
    <t>LABST N SOPOIR15 12(6x2,5G)</t>
  </si>
  <si>
    <t>551385FR</t>
  </si>
  <si>
    <t>LABST N SOPIN12 12(5x2,5G)</t>
  </si>
  <si>
    <t>551386FR</t>
  </si>
  <si>
    <t>LABST N SOBIOJ25 12(10x2,5G)</t>
  </si>
  <si>
    <t>551392FR</t>
  </si>
  <si>
    <t>LABST N SOSEQ01 12x100G</t>
  </si>
  <si>
    <t>551929FR</t>
  </si>
  <si>
    <t>LABFR N DTMAL1 1L</t>
  </si>
  <si>
    <t>EFR06866</t>
  </si>
  <si>
    <t>STRATUS PACKAGING</t>
  </si>
  <si>
    <t>551930FR</t>
  </si>
  <si>
    <t>LABBK N DTMAL1 1L</t>
  </si>
  <si>
    <t>551935FR</t>
  </si>
  <si>
    <t>LABST N SOPUL750 12x750G</t>
  </si>
  <si>
    <t>552468FR</t>
  </si>
  <si>
    <t>BOXGF N SOARMI100 100G</t>
  </si>
  <si>
    <t>552524FR</t>
  </si>
  <si>
    <t>BUC N ENGRAIS COMP SOCOMP5 5KG</t>
  </si>
  <si>
    <t>552525FR</t>
  </si>
  <si>
    <t>BUC N ENG COMPLET SOCOMP5P 7KG</t>
  </si>
  <si>
    <t>552526FR</t>
  </si>
  <si>
    <t>BOXGF N SOCONAT1P 1.5KG</t>
  </si>
  <si>
    <t>552527FR</t>
  </si>
  <si>
    <t>FLXRS N ENGRAIS SOCONAT9P 12KG</t>
  </si>
  <si>
    <t>552533FR</t>
  </si>
  <si>
    <t>BOXGF N SOFRUY15 1.5KG</t>
  </si>
  <si>
    <t>EES17535</t>
  </si>
  <si>
    <t>SAICAPACK BCN FOLDING BOX</t>
  </si>
  <si>
    <t>552539FR</t>
  </si>
  <si>
    <t>FLXRS SOGAZY10BP 10KG</t>
  </si>
  <si>
    <t>552545FR</t>
  </si>
  <si>
    <t>LABFR N SOLICOMP1 1L</t>
  </si>
  <si>
    <t>552546FR</t>
  </si>
  <si>
    <t>LABBK N SOLICOMP1 1L</t>
  </si>
  <si>
    <t>552550FR</t>
  </si>
  <si>
    <t>BOXGF N SOLIVY750 750G</t>
  </si>
  <si>
    <t>552558FR</t>
  </si>
  <si>
    <t>BOXGF N SOPOTY15 1.5KG</t>
  </si>
  <si>
    <t>552564FR</t>
  </si>
  <si>
    <t>BAGSU SOSIRYL100N</t>
  </si>
  <si>
    <t>EIT06875</t>
  </si>
  <si>
    <t>WIPAK - BORDI SRL</t>
  </si>
  <si>
    <t>552565FR</t>
  </si>
  <si>
    <t>BOXGF N SOTOMY15 1.5KG</t>
  </si>
  <si>
    <t>552570FR</t>
  </si>
  <si>
    <t>BOXGF N SOBIOJ25 25G</t>
  </si>
  <si>
    <t>552577FR</t>
  </si>
  <si>
    <t>BOXGF N SOMAP100 100G</t>
  </si>
  <si>
    <t>EFR16322</t>
  </si>
  <si>
    <t>CARTONNAGES GAULTIER</t>
  </si>
  <si>
    <t>552578FR</t>
  </si>
  <si>
    <t>BOXGF N SONORD125 125G</t>
  </si>
  <si>
    <t>552581FR</t>
  </si>
  <si>
    <t>BOXGF N SOPOIR15 15G</t>
  </si>
  <si>
    <t>552590FR</t>
  </si>
  <si>
    <t>BOXGF N SOPYRAL15 15G</t>
  </si>
  <si>
    <t>552597FR</t>
  </si>
  <si>
    <t>BOXGF N SOTHIO400 400G</t>
  </si>
  <si>
    <t>552654FR</t>
  </si>
  <si>
    <t>BOXGF N SOBACI15 15G</t>
  </si>
  <si>
    <t>552667FR</t>
  </si>
  <si>
    <t>BOXGF SOLABIOL SOPUL750 750G</t>
  </si>
  <si>
    <t>552674FR</t>
  </si>
  <si>
    <t>LABFR N GLU ARBORICO SOGLU200</t>
  </si>
  <si>
    <t>552678FR</t>
  </si>
  <si>
    <t>BOXGF N SOMOUCH01N 1KG</t>
  </si>
  <si>
    <t>552681FR</t>
  </si>
  <si>
    <t>BOXGF N SOPIN12 12,5G</t>
  </si>
  <si>
    <t>552936FR</t>
  </si>
  <si>
    <t>LABFR ARMICARB MOLIENDAS</t>
  </si>
  <si>
    <t>553286FR</t>
  </si>
  <si>
    <t>TUBPA N ANTIFOUR GEL FTUB1N 4G</t>
  </si>
  <si>
    <t>HDPEXLDPEXALU</t>
  </si>
  <si>
    <t>553287FR</t>
  </si>
  <si>
    <t>BLISC N N ANTIFO GEL FTUB1N 4G</t>
  </si>
  <si>
    <t>553288FR</t>
  </si>
  <si>
    <t>CASRP_FTUB1N_12x4g</t>
  </si>
  <si>
    <t>553289FR</t>
  </si>
  <si>
    <t>CARD_FBOIT10_1PCE</t>
  </si>
  <si>
    <t>EGR28572</t>
  </si>
  <si>
    <t>MORNOS SA</t>
  </si>
  <si>
    <t>BOAXPET</t>
  </si>
  <si>
    <t>553290FR</t>
  </si>
  <si>
    <t>BLISC_FBOIT2N_2PCE</t>
  </si>
  <si>
    <t>553291FR</t>
  </si>
  <si>
    <t>CASRP_FBOIT2N_12x2PCE</t>
  </si>
  <si>
    <t>553292FR</t>
  </si>
  <si>
    <t>BLISC_FBOIT4N_4PCE</t>
  </si>
  <si>
    <t>553293FR</t>
  </si>
  <si>
    <t>CASSH_FBOIT4N_10x4PCE</t>
  </si>
  <si>
    <t>553599FR</t>
  </si>
  <si>
    <t>FLXRS N NORDOX</t>
  </si>
  <si>
    <t>553601FR</t>
  </si>
  <si>
    <t>FLXRS N THIOVIT</t>
  </si>
  <si>
    <t>553771FR</t>
  </si>
  <si>
    <t>LABBK N THERMAM THPATIOBLAN x1</t>
  </si>
  <si>
    <t>553772FR</t>
  </si>
  <si>
    <t>LABBK_ 86601876_1PCE_FR</t>
  </si>
  <si>
    <t>553773FR</t>
  </si>
  <si>
    <t>//LABFRNTHERMACELLPATIO1PCE</t>
  </si>
  <si>
    <t>553774FR</t>
  </si>
  <si>
    <t>//LEAFLNTHERMACELLPATIO1PCE</t>
  </si>
  <si>
    <t>554234FR</t>
  </si>
  <si>
    <t>BAGSU N SOGAZMOU200 8KG</t>
  </si>
  <si>
    <t>554236FR</t>
  </si>
  <si>
    <t>BAGSU N SOGAZMOU350P 14KG</t>
  </si>
  <si>
    <t>554271FR</t>
  </si>
  <si>
    <t>LABST N SOGAZY10B 2x(30x10)KG</t>
  </si>
  <si>
    <t>554416FR</t>
  </si>
  <si>
    <t>LABST N GLU SOGLU200 12x200ML</t>
  </si>
  <si>
    <t>554560FR</t>
  </si>
  <si>
    <t>FLXRS N CHAUX SOCHAUX10 10KG</t>
  </si>
  <si>
    <t>554600FR</t>
  </si>
  <si>
    <t>FLXRS L502N COUMA 10G PATE FR</t>
  </si>
  <si>
    <t>EIT11543</t>
  </si>
  <si>
    <t>DIAGRAMCARTA</t>
  </si>
  <si>
    <t>554602FR</t>
  </si>
  <si>
    <t>FLXRL N TRANS PET/PE EVOH 60µm</t>
  </si>
  <si>
    <t>554603FR</t>
  </si>
  <si>
    <t>BOXGF N CARPT400 40x10G</t>
  </si>
  <si>
    <t>554604FR</t>
  </si>
  <si>
    <t>LABST N CARPT400 12(40x10G)</t>
  </si>
  <si>
    <t>554605FR</t>
  </si>
  <si>
    <t>LABFR N RACPAT240 24x10G</t>
  </si>
  <si>
    <t>EFR04951</t>
  </si>
  <si>
    <t>LABEL PACK</t>
  </si>
  <si>
    <t>554606FR</t>
  </si>
  <si>
    <t>LABET RACPAT240 24x10g</t>
  </si>
  <si>
    <t>554607FR</t>
  </si>
  <si>
    <t>LABST N RACPAT240 12(24x10G)</t>
  </si>
  <si>
    <t>554609FR</t>
  </si>
  <si>
    <t>LABST N RACPAT520 12(52x10G)</t>
  </si>
  <si>
    <t>554610FR</t>
  </si>
  <si>
    <t>BUC N JETR30 CARPT720</t>
  </si>
  <si>
    <t>554611FR</t>
  </si>
  <si>
    <t>LABST N CARPT720 4x(72x10G)</t>
  </si>
  <si>
    <t>554618FR</t>
  </si>
  <si>
    <t>LABFR N RACPAT520 52x10G</t>
  </si>
  <si>
    <t>554619FR</t>
  </si>
  <si>
    <t>LABET N RACPAT520 52x10G</t>
  </si>
  <si>
    <t>554629FR</t>
  </si>
  <si>
    <t>//FLXRS L251N COUMA 10GPATE FR</t>
  </si>
  <si>
    <t>554650FR</t>
  </si>
  <si>
    <t>//FLXRSNBRODI CERE IRIS 25G FR</t>
  </si>
  <si>
    <t>554651FR</t>
  </si>
  <si>
    <t>//FLXRS L251N BROD IRIS 10G FR</t>
  </si>
  <si>
    <t>554652FR</t>
  </si>
  <si>
    <t>LABFR N CAUSS CARBF150 6x25G</t>
  </si>
  <si>
    <t>554653FR</t>
  </si>
  <si>
    <t>BOXTI CAU CARSPTBF150 15x10G</t>
  </si>
  <si>
    <t>554654FR</t>
  </si>
  <si>
    <t>LABST N CAU CARBF150 12(6x25G</t>
  </si>
  <si>
    <t>554655FR</t>
  </si>
  <si>
    <t>LABST N CARSPTBF150 12(15x10G</t>
  </si>
  <si>
    <t>554881FR</t>
  </si>
  <si>
    <t>LABST N SOBOUTU40 12x40ML</t>
  </si>
  <si>
    <t>554882FR</t>
  </si>
  <si>
    <t>LABST N SOSIRYL100N 12x10x10ML</t>
  </si>
  <si>
    <t>554889FR</t>
  </si>
  <si>
    <t>LABST N SOCONAT1P 10x1,5KG</t>
  </si>
  <si>
    <t>554890FR</t>
  </si>
  <si>
    <t>LABST N SOLICOMP1 12x1L</t>
  </si>
  <si>
    <t>554892FR</t>
  </si>
  <si>
    <t>LABST N SOPOTY15 8x1,5KG</t>
  </si>
  <si>
    <t>554895FR</t>
  </si>
  <si>
    <t>LABST N SOTOMY15 8x1,5KG</t>
  </si>
  <si>
    <t>554922FR</t>
  </si>
  <si>
    <t>LABST N SOACTI900 12x900G</t>
  </si>
  <si>
    <t>554929FR</t>
  </si>
  <si>
    <t>LABST N SOFRUY15 8x1,5KG</t>
  </si>
  <si>
    <t>554930FR</t>
  </si>
  <si>
    <t>LABST N SOAGY750 12x750G</t>
  </si>
  <si>
    <t>554933FR</t>
  </si>
  <si>
    <t>LABST N SOLIVY750 12x750G</t>
  </si>
  <si>
    <t>554938FR</t>
  </si>
  <si>
    <t>LABST N SOROSY750 12x750G</t>
  </si>
  <si>
    <t>554978FR</t>
  </si>
  <si>
    <t>BOXTI N CARBAVCLEN 175x110x260</t>
  </si>
  <si>
    <t>554981FR</t>
  </si>
  <si>
    <t>BLISC N CATPIEGE 120x35x220mm</t>
  </si>
  <si>
    <t>555207FR</t>
  </si>
  <si>
    <t>FLXRS N BROD IRIS L502 10G FR</t>
  </si>
  <si>
    <t>555243FR</t>
  </si>
  <si>
    <t>//LABST NBBOR SOBOU11N 12x1,1K</t>
  </si>
  <si>
    <t>555244FR</t>
  </si>
  <si>
    <t>FLXRS 480mm BB SOBOU</t>
  </si>
  <si>
    <t>555245FR</t>
  </si>
  <si>
    <t>//BOXGFSOBOU11N1,1Kg</t>
  </si>
  <si>
    <t>555250FR</t>
  </si>
  <si>
    <t>FLXRS N RATAP1 1 PCE</t>
  </si>
  <si>
    <t>555251FR</t>
  </si>
  <si>
    <t>CASRP N RATAP1 12x1 PCE</t>
  </si>
  <si>
    <t>555252FR</t>
  </si>
  <si>
    <t>FLXRS N SOUTAP2 2 pce</t>
  </si>
  <si>
    <t>555253FR</t>
  </si>
  <si>
    <t>CASRP N SOUTAP2 36X2PCE</t>
  </si>
  <si>
    <t>555256FR</t>
  </si>
  <si>
    <t>BOX N RATRAP2 2 PCE</t>
  </si>
  <si>
    <t>555257FR</t>
  </si>
  <si>
    <t>CASSH N RATRAP2 6X2PCE</t>
  </si>
  <si>
    <t>555258FR</t>
  </si>
  <si>
    <t>BOX N SOUTRAP3 3 PCE</t>
  </si>
  <si>
    <t>555259FR</t>
  </si>
  <si>
    <t>CASRP N SOUTRAP3 6X3PCE</t>
  </si>
  <si>
    <t>555268FR</t>
  </si>
  <si>
    <t>BLISC N FOURMIS BOITNAT2 2x10G</t>
  </si>
  <si>
    <t>555269FR</t>
  </si>
  <si>
    <t>LABFR N FOURMIS BOITNAT2 10G</t>
  </si>
  <si>
    <t>PAPXPE</t>
  </si>
  <si>
    <t>555270FR</t>
  </si>
  <si>
    <t>LABBK N FOURMIS BOITNAT2 10G</t>
  </si>
  <si>
    <t>555271FR</t>
  </si>
  <si>
    <t>LABST N BOITNAT2 12x(2x10G)</t>
  </si>
  <si>
    <t>555305FR</t>
  </si>
  <si>
    <t>BAGSU N SOGERM90 6x15G</t>
  </si>
  <si>
    <t>555310FR</t>
  </si>
  <si>
    <t>DPLTR N TRAY SOUTRAP3</t>
  </si>
  <si>
    <t>555343FR</t>
  </si>
  <si>
    <t>LABFR N SOBOUTU40 40ml</t>
  </si>
  <si>
    <t>555344FR</t>
  </si>
  <si>
    <t>//BOXGF N SOBOUTU40 40ml</t>
  </si>
  <si>
    <t>555347FR</t>
  </si>
  <si>
    <t>BOXGF N SOAGY750 750G</t>
  </si>
  <si>
    <t>555348FR</t>
  </si>
  <si>
    <t>BOXGF N SOROSY750 750G</t>
  </si>
  <si>
    <t>555350FR</t>
  </si>
  <si>
    <t>BOXGF N SORHOY15 1,5kg</t>
  </si>
  <si>
    <t>555355FR</t>
  </si>
  <si>
    <t>BOXGF SOSEQ01 100G</t>
  </si>
  <si>
    <t>555356FR</t>
  </si>
  <si>
    <t>LABST N SORHOY15 8x1,5kg</t>
  </si>
  <si>
    <t>555509FR</t>
  </si>
  <si>
    <t>//LEAFL N SOUTRAP 1 PCE</t>
  </si>
  <si>
    <t>555510FR</t>
  </si>
  <si>
    <t>//LABFR N SOUTRAP 1 PCE</t>
  </si>
  <si>
    <t>555511FR</t>
  </si>
  <si>
    <t>//BOX N SOUTRAP 1 PCE</t>
  </si>
  <si>
    <t>555512FR</t>
  </si>
  <si>
    <t>//CASSH N SOUTRAP 4X1PCE</t>
  </si>
  <si>
    <t>555532FR</t>
  </si>
  <si>
    <t>BOX N RASOUBOIT 1PCE</t>
  </si>
  <si>
    <t>555533FR</t>
  </si>
  <si>
    <t>LABST N RASOUBOIT 6X1 PCE</t>
  </si>
  <si>
    <t>555562FR</t>
  </si>
  <si>
    <t>FLXRS SOGAZYPRO10 10KG</t>
  </si>
  <si>
    <t>555563FR</t>
  </si>
  <si>
    <t>LABST N 1/2 SOGAZYPRO10 10KG</t>
  </si>
  <si>
    <t>555564FR</t>
  </si>
  <si>
    <t>LABST N  SOGAZYPRO10 10KG</t>
  </si>
  <si>
    <t>555600FR</t>
  </si>
  <si>
    <t>BOXGF SOACTI900 900G</t>
  </si>
  <si>
    <t>555729FR</t>
  </si>
  <si>
    <t>LABST N SOCOMP5 65x5KG</t>
  </si>
  <si>
    <t>555730FR</t>
  </si>
  <si>
    <t>LABST N SOCOMP5P 65x7KG</t>
  </si>
  <si>
    <t>555807FR</t>
  </si>
  <si>
    <t>LABST N SOCHAUX10 84x10kg</t>
  </si>
  <si>
    <t>555885FR</t>
  </si>
  <si>
    <t>BOXGF SOCONAT1 1kg</t>
  </si>
  <si>
    <t>555886FR</t>
  </si>
  <si>
    <t>LABST N SOCONAT1</t>
  </si>
  <si>
    <t>555960FR</t>
  </si>
  <si>
    <t>LABFR SOARMIPAL750 750mL</t>
  </si>
  <si>
    <t>555961FR</t>
  </si>
  <si>
    <t>LABBK SOARMIPAL750 750mL</t>
  </si>
  <si>
    <t>555962FR</t>
  </si>
  <si>
    <t>LABST N SOARMIPAL750 12x750ML</t>
  </si>
  <si>
    <t>556044FR</t>
  </si>
  <si>
    <t>LABST N SOGAZMOU200 40x8KG</t>
  </si>
  <si>
    <t>556046FR</t>
  </si>
  <si>
    <t>LABST N SOGAZMOU350P 48x14KG</t>
  </si>
  <si>
    <t>556299FR</t>
  </si>
  <si>
    <t>BOXTI N RAMUCAM150 6x25G</t>
  </si>
  <si>
    <t>556300FR</t>
  </si>
  <si>
    <t>LABST N RAMUCAM150 6(6x25G)</t>
  </si>
  <si>
    <t>556302FR</t>
  </si>
  <si>
    <t>BOXTI SOURIPAT 12x(12X10G)</t>
  </si>
  <si>
    <t>556303FR</t>
  </si>
  <si>
    <t>LABST N SOURIPAT 12x(12X10G)</t>
  </si>
  <si>
    <t>556391FR</t>
  </si>
  <si>
    <t>LABST N POTAG SOMAP100 12x100G</t>
  </si>
  <si>
    <t>556392FR</t>
  </si>
  <si>
    <t>LABST N ARBR SONORD125 12x125G</t>
  </si>
  <si>
    <t>556409FR</t>
  </si>
  <si>
    <t>ACC N FOURREAU DETAUPEUR</t>
  </si>
  <si>
    <t>556410FR</t>
  </si>
  <si>
    <t>BOXGF N TAUP RECHARG5 X5 PCE</t>
  </si>
  <si>
    <t>556412FR</t>
  </si>
  <si>
    <t>BOXGF N TAUP RECHARG20 X20 PCE</t>
  </si>
  <si>
    <t>556413FR</t>
  </si>
  <si>
    <t>BLISC N KITSAV PALPER 1PCE</t>
  </si>
  <si>
    <t>556414FR</t>
  </si>
  <si>
    <t>CASSH N TAUPE RECHARG5 12x5PCE</t>
  </si>
  <si>
    <t>556416FR</t>
  </si>
  <si>
    <t>CASSH N TAUPE RECHARG5 12x20PC</t>
  </si>
  <si>
    <t>556427FR</t>
  </si>
  <si>
    <t>LABFR N CASAPT10N (10x10G)</t>
  </si>
  <si>
    <t>556428FR</t>
  </si>
  <si>
    <t>LABST N CASAPT10N 12(10x10G)</t>
  </si>
  <si>
    <t>556474FR</t>
  </si>
  <si>
    <t>CASH N 295x130x95mm 5x1 PCE</t>
  </si>
  <si>
    <t>556475FR</t>
  </si>
  <si>
    <t>CASH N 390X292X274mm 6x1 PCE</t>
  </si>
  <si>
    <t>556489FR</t>
  </si>
  <si>
    <t>FLXRS N BRODI 10 12 ACT FR</t>
  </si>
  <si>
    <t>556594FR</t>
  </si>
  <si>
    <t>BUC N CARBL300N 15x20G</t>
  </si>
  <si>
    <t>556595FR</t>
  </si>
  <si>
    <t>LABST N CARBL300N 12(15x20G)</t>
  </si>
  <si>
    <t>556653FR</t>
  </si>
  <si>
    <t>LABST N DTMAL1 12x1L</t>
  </si>
  <si>
    <t>556687FR</t>
  </si>
  <si>
    <t>//LABSTTOTSOTOTPOT100 12x100ML</t>
  </si>
  <si>
    <t>556711FR</t>
  </si>
  <si>
    <t>//LABFR TOT SOTOTPOT100 100ML</t>
  </si>
  <si>
    <t>556712FR</t>
  </si>
  <si>
    <t>//LABBK TOT SOTOTPOT100 100ML</t>
  </si>
  <si>
    <t>556713FR</t>
  </si>
  <si>
    <t>//BOXGF TOT SOTOTPOT100 100ML</t>
  </si>
  <si>
    <t>556714FR</t>
  </si>
  <si>
    <t>//LEAFLTOT SOTOTPOT100 100ML</t>
  </si>
  <si>
    <t>556747FR</t>
  </si>
  <si>
    <t>LABST N SOTHIO400 12x400G</t>
  </si>
  <si>
    <t>556822FR</t>
  </si>
  <si>
    <t>BOXTI N GUEPIEG FREL 1PCE</t>
  </si>
  <si>
    <t>556823FR</t>
  </si>
  <si>
    <t>LABST N GUEPIEG FREL 12X1PCE</t>
  </si>
  <si>
    <t>556912FR</t>
  </si>
  <si>
    <t>//BOXTI CEBHSDG200 225mL</t>
  </si>
  <si>
    <t>556938FR</t>
  </si>
  <si>
    <t>LAB STICKER TRAITEMENT TACHE</t>
  </si>
  <si>
    <t>EFR13721</t>
  </si>
  <si>
    <t>COGETIQ</t>
  </si>
  <si>
    <t>556941FR</t>
  </si>
  <si>
    <t>//LAB EIDG200</t>
  </si>
  <si>
    <t>557038FR</t>
  </si>
  <si>
    <t>LABFR PUPAL1 PAE 1L</t>
  </si>
  <si>
    <t>557039FR</t>
  </si>
  <si>
    <t>LABET PUPAL1 PAE 1L</t>
  </si>
  <si>
    <t>557040FR</t>
  </si>
  <si>
    <t>LABST N PUPAL1 12x1L</t>
  </si>
  <si>
    <t>557390FR</t>
  </si>
  <si>
    <t>//LABSTNGAZONDG200225MLX12</t>
  </si>
  <si>
    <t>557543FR</t>
  </si>
  <si>
    <t>//ACC N CARTON TRAPMOUCHNAT1PC</t>
  </si>
  <si>
    <t>557544FR</t>
  </si>
  <si>
    <t>//FLXRL MOUCHNAT</t>
  </si>
  <si>
    <t>PEXEVOHXPE</t>
  </si>
  <si>
    <t>557545FR</t>
  </si>
  <si>
    <t>//CASSH N MOUCHNAT x30</t>
  </si>
  <si>
    <t>557546FR</t>
  </si>
  <si>
    <t>//LABST N MOUCHNAT x30</t>
  </si>
  <si>
    <t>557547FR</t>
  </si>
  <si>
    <t>//ACC N CART TRAP PYRAM PYRNAT</t>
  </si>
  <si>
    <t>557548FR</t>
  </si>
  <si>
    <t>//BOXTI N PYRNAT 1PCE</t>
  </si>
  <si>
    <t>557549FR</t>
  </si>
  <si>
    <t>//LABST N PYRNAT x6</t>
  </si>
  <si>
    <t>557845FR</t>
  </si>
  <si>
    <t>BOX SOLIMA400 400G</t>
  </si>
  <si>
    <t>557846FR</t>
  </si>
  <si>
    <t>LABST SOLIMA400 12X400G</t>
  </si>
  <si>
    <t>557847FR</t>
  </si>
  <si>
    <t>BOX SOLIMA750N 750G</t>
  </si>
  <si>
    <t>557848FR</t>
  </si>
  <si>
    <t>LABST SOLIMA750N 12x750G</t>
  </si>
  <si>
    <t>557851FR</t>
  </si>
  <si>
    <t>LABFR SOCOCHPAL750N 750mL</t>
  </si>
  <si>
    <t>557852FR</t>
  </si>
  <si>
    <t>LABBK SOCOCHPAL750N 750mL</t>
  </si>
  <si>
    <t>557853FR</t>
  </si>
  <si>
    <t>LABST N SOCOCHPAL750N 12X750mL</t>
  </si>
  <si>
    <t>557854FR</t>
  </si>
  <si>
    <t>LABFR SOFAZPAL750N 750mL</t>
  </si>
  <si>
    <t>557855FR</t>
  </si>
  <si>
    <t>LABBK SOFAZPAL750N 750mL</t>
  </si>
  <si>
    <t>557856FR</t>
  </si>
  <si>
    <t>LABST N SOFAZPAL750N 12X750mL</t>
  </si>
  <si>
    <t>557857FR</t>
  </si>
  <si>
    <t>LABFR SOPOLYPAL750N 750mL</t>
  </si>
  <si>
    <t>557858FR</t>
  </si>
  <si>
    <t>LABBK SOPOLYPAL750N 750mL</t>
  </si>
  <si>
    <t>557859FR</t>
  </si>
  <si>
    <t>LABST N SOPOLYPAL750N 12X750mL</t>
  </si>
  <si>
    <t>557860FR</t>
  </si>
  <si>
    <t>LABFR SOPUCPAL750N 750mL</t>
  </si>
  <si>
    <t>557861FR</t>
  </si>
  <si>
    <t>LABBK SOPUCPAL750N 750mL</t>
  </si>
  <si>
    <t>557862FR</t>
  </si>
  <si>
    <t>LABST N SOPUCPAL750N 12X750mL</t>
  </si>
  <si>
    <t>557863FR</t>
  </si>
  <si>
    <t>LABFR SOPYRPAL750N 750mL</t>
  </si>
  <si>
    <t>557864FR</t>
  </si>
  <si>
    <t>LABBK SOPYRPAL750N 750mL</t>
  </si>
  <si>
    <t>557865FR</t>
  </si>
  <si>
    <t>LABST N SOPYRPAL750N 12X750mL</t>
  </si>
  <si>
    <t>557887DAF</t>
  </si>
  <si>
    <t>BOXGF TC THRECHARG120 30+10</t>
  </si>
  <si>
    <t>557899FR</t>
  </si>
  <si>
    <t>BOXGF SOLIMA1000 1kg</t>
  </si>
  <si>
    <t>557900FR</t>
  </si>
  <si>
    <t>LABST SOLIMA1000 12x1KG</t>
  </si>
  <si>
    <t>557901FR</t>
  </si>
  <si>
    <t>BOXGF SOLIMA1000P 1.2KG</t>
  </si>
  <si>
    <t>557902FR</t>
  </si>
  <si>
    <t>LABST SOLIMA1000P 8X1.2KG</t>
  </si>
  <si>
    <t>557936FR</t>
  </si>
  <si>
    <t>BOXTI_FBOIT10_10X2GR</t>
  </si>
  <si>
    <t>557960FR</t>
  </si>
  <si>
    <t>LABST CATPIEGE 12PCE</t>
  </si>
  <si>
    <t>557968FR</t>
  </si>
  <si>
    <t>CASSH_FBOIT10_10x10PCE</t>
  </si>
  <si>
    <t>557993FR</t>
  </si>
  <si>
    <t>LABFR SOBOUTU40 40ml</t>
  </si>
  <si>
    <t>558018FR</t>
  </si>
  <si>
    <t>LABFR CARPT300 12x25G</t>
  </si>
  <si>
    <t>558019FR</t>
  </si>
  <si>
    <t>LABST CARPT300 12(12x25G)</t>
  </si>
  <si>
    <t>558020FR</t>
  </si>
  <si>
    <t>LABFR  CARSPT300 12x25G</t>
  </si>
  <si>
    <t>558021FR</t>
  </si>
  <si>
    <t>LABST CARSPT300 12(12x25G)</t>
  </si>
  <si>
    <t>558049FR</t>
  </si>
  <si>
    <t>//LABFR TOT SOLIPOLY100 100ML</t>
  </si>
  <si>
    <t>558050FR</t>
  </si>
  <si>
    <t>//LABBKTOT SOLIPOLY100 100MLTW</t>
  </si>
  <si>
    <t>558051FR</t>
  </si>
  <si>
    <t>//BOXGF TOT SOLIPOLY100 100ML</t>
  </si>
  <si>
    <t>558052FR</t>
  </si>
  <si>
    <t>//LEAFL TOT SOLIPOLY100 100ML</t>
  </si>
  <si>
    <t>558053FR</t>
  </si>
  <si>
    <t>//LABSTTOTSOLIPOLY100 12x100ML</t>
  </si>
  <si>
    <t>558054FR</t>
  </si>
  <si>
    <t>//LABFR TOT SOLIFRUIT100 125ML</t>
  </si>
  <si>
    <t>558055FR</t>
  </si>
  <si>
    <t>//LABBKTOTSOLIFRUIT100125MLTW</t>
  </si>
  <si>
    <t>558056FR</t>
  </si>
  <si>
    <t>//BOXGF TOT SOLIFRUIT100 125ML</t>
  </si>
  <si>
    <t>558058FR</t>
  </si>
  <si>
    <t>//LABSTTOT SOLIFRUIT100 12x125</t>
  </si>
  <si>
    <t>558075FR</t>
  </si>
  <si>
    <t>BOXGF SOBOUTU40 40ml</t>
  </si>
  <si>
    <t>558211EU</t>
  </si>
  <si>
    <t>//LABFT 86601227</t>
  </si>
  <si>
    <t>558212EU</t>
  </si>
  <si>
    <t>//LABST 86601227 6PCE</t>
  </si>
  <si>
    <t>558213EU</t>
  </si>
  <si>
    <t>//LABFT 86601226</t>
  </si>
  <si>
    <t>558214EU</t>
  </si>
  <si>
    <t>//LABST 86601226 12PCE</t>
  </si>
  <si>
    <t>558221FR</t>
  </si>
  <si>
    <t>BOXGF SOUTRAP2 2PCE</t>
  </si>
  <si>
    <t>558222FR</t>
  </si>
  <si>
    <t>CASSH 291X147X224 SOUTRAP2 6x2</t>
  </si>
  <si>
    <t>558223FR</t>
  </si>
  <si>
    <t>DPLTR 289X144x220mm SOUTRAP2</t>
  </si>
  <si>
    <t>558224FR</t>
  </si>
  <si>
    <t>BOXGF SOUNASS 1 PCE</t>
  </si>
  <si>
    <t>558225FR</t>
  </si>
  <si>
    <t>CASSH SOUNASS 6x1PCE</t>
  </si>
  <si>
    <t>558226FR</t>
  </si>
  <si>
    <t>DPLTR 289X129X198mm SOUNASS</t>
  </si>
  <si>
    <t>558260FR</t>
  </si>
  <si>
    <t>BOXGF SOCOR15G10N 1.5KG</t>
  </si>
  <si>
    <t>558261FR</t>
  </si>
  <si>
    <t>LABST SOCOR15G10N 8x1,5KG</t>
  </si>
  <si>
    <t>558264FR</t>
  </si>
  <si>
    <t>BOXGF SOPAS15G10N 1,5 KG</t>
  </si>
  <si>
    <t>558265FR</t>
  </si>
  <si>
    <t>LABST SOPAS15G10N 8x1,5KG</t>
  </si>
  <si>
    <t>558266FR</t>
  </si>
  <si>
    <t>BOXGF  SOPHO15G10N 1,5 KG</t>
  </si>
  <si>
    <t>558267FR</t>
  </si>
  <si>
    <t>LABST SOPHO15G10N 8x1,5KG</t>
  </si>
  <si>
    <t>558268FR</t>
  </si>
  <si>
    <t>//BOXGF SOLIG15G10N 1.5KG</t>
  </si>
  <si>
    <t>558269FR</t>
  </si>
  <si>
    <t>//LABST SOLIG15G10N 8x1,5KG</t>
  </si>
  <si>
    <t>558303FBN</t>
  </si>
  <si>
    <t>//LEAFL86601073SORECBUISN 2PCE</t>
  </si>
  <si>
    <t>558304FBN</t>
  </si>
  <si>
    <t>//BOXGF86601060SORECBUISN 2PCE</t>
  </si>
  <si>
    <t>558305FBN</t>
  </si>
  <si>
    <t>LABST 86601060 SORECBUISN 6X2P</t>
  </si>
  <si>
    <t>558307FBN</t>
  </si>
  <si>
    <t>//BOXTI86601073SOPIBUISN  1PCE</t>
  </si>
  <si>
    <t>558308FBN</t>
  </si>
  <si>
    <t>LABST 86601073 SOPIBUISN 6x1PC</t>
  </si>
  <si>
    <t>558375EU</t>
  </si>
  <si>
    <t>FLXRS MULTI SKU 1PCE</t>
  </si>
  <si>
    <t>558393FR</t>
  </si>
  <si>
    <t>//LABFR STICKER THER PATIO</t>
  </si>
  <si>
    <t>558628EU</t>
  </si>
  <si>
    <t>LABBK 86601330 THERMAMÜCKE x1</t>
  </si>
  <si>
    <t>558629EU</t>
  </si>
  <si>
    <t>WEDGE TH P GRAPH 1PCE</t>
  </si>
  <si>
    <t>558630EU</t>
  </si>
  <si>
    <t>LABFR THERMAREFILL 1PCE</t>
  </si>
  <si>
    <t>558631EU</t>
  </si>
  <si>
    <t>LABFR BUTANE RECARG 1PCE</t>
  </si>
  <si>
    <t>558632EU</t>
  </si>
  <si>
    <t>LEAFL THERMACELL GRAPH 1PCE</t>
  </si>
  <si>
    <t>558634EU</t>
  </si>
  <si>
    <t>BOXGF 86601331 12+4PC</t>
  </si>
  <si>
    <t>558635EU</t>
  </si>
  <si>
    <t>LEAFL THERMACELL RECARG</t>
  </si>
  <si>
    <t>558636EU</t>
  </si>
  <si>
    <t>CASSH 86601331 12x1PC</t>
  </si>
  <si>
    <t>558650FR</t>
  </si>
  <si>
    <t>LABFR BASIC SUB SOPOR1  1L</t>
  </si>
  <si>
    <t>558651FR</t>
  </si>
  <si>
    <t>LABET BASIC SUB SOPOR1 1L</t>
  </si>
  <si>
    <t>558652FR</t>
  </si>
  <si>
    <t>LABST BASIC SUB 86601258 12x1L</t>
  </si>
  <si>
    <t>EFR06865</t>
  </si>
  <si>
    <t>558668FR</t>
  </si>
  <si>
    <t>LABFR URTI RTU SOPORPAL1 1L</t>
  </si>
  <si>
    <t>558669FR</t>
  </si>
  <si>
    <t>LABET URTI RTU SOPORPAL1 1L</t>
  </si>
  <si>
    <t>558670FR</t>
  </si>
  <si>
    <t>LABST URTI RTU 12x1L</t>
  </si>
  <si>
    <t>558684FR</t>
  </si>
  <si>
    <t>//BOXTI THHALOBLANC/VERT 1PCE</t>
  </si>
  <si>
    <t>558685FR</t>
  </si>
  <si>
    <t>//CASSH TC THHALOBLANC 6x1PCE</t>
  </si>
  <si>
    <t>558744DAF</t>
  </si>
  <si>
    <t>//LABFR THERMACELL MAT  1PCE</t>
  </si>
  <si>
    <t>558745DAF</t>
  </si>
  <si>
    <t>//LABFR  BUTANE RECHARG 1PCE</t>
  </si>
  <si>
    <t>558746DAF</t>
  </si>
  <si>
    <t>//LEAFL THERMACELL RECHARGE</t>
  </si>
  <si>
    <t>558752DAF</t>
  </si>
  <si>
    <t>CASSH TC THRECHARG120 6x1PCE</t>
  </si>
  <si>
    <t>558757FR</t>
  </si>
  <si>
    <t>LABFR CARMUPT600 RAT (60x10G)</t>
  </si>
  <si>
    <t>558758FR</t>
  </si>
  <si>
    <t>LABST CARMUPT600 12(60x10G)</t>
  </si>
  <si>
    <t>558783FR</t>
  </si>
  <si>
    <t>//LABFR SOPOR25 2.5L</t>
  </si>
  <si>
    <t>558784FR</t>
  </si>
  <si>
    <t>//LABBK SOPOR25 2.5L</t>
  </si>
  <si>
    <t>558785FR</t>
  </si>
  <si>
    <t>LABST SOPOR25 2.5X4L</t>
  </si>
  <si>
    <t>558786FR</t>
  </si>
  <si>
    <t>//LABFR SOPREL1 1L</t>
  </si>
  <si>
    <t>558787FR</t>
  </si>
  <si>
    <t>//LABBK SOPREL1 1L</t>
  </si>
  <si>
    <t>558788FR</t>
  </si>
  <si>
    <t>LABST SOPREL1 12X1L</t>
  </si>
  <si>
    <t>558790FR</t>
  </si>
  <si>
    <t>FLXRS  SOCHA400 400G</t>
  </si>
  <si>
    <t>558791FR</t>
  </si>
  <si>
    <t>BOXGF SOCHA400 400GR</t>
  </si>
  <si>
    <t>558792FR</t>
  </si>
  <si>
    <t>LABST SOCHA400 12X400G</t>
  </si>
  <si>
    <t>558874FR</t>
  </si>
  <si>
    <t>LABFR SOMALPAL750 750mL</t>
  </si>
  <si>
    <t>558875FR</t>
  </si>
  <si>
    <t>LABBK SOMALPAL750 750mL</t>
  </si>
  <si>
    <t>558879FR</t>
  </si>
  <si>
    <t>LABST SOMALPAL750 12X750mL</t>
  </si>
  <si>
    <t>558893FR</t>
  </si>
  <si>
    <t>LABFR PROCOURPAL750N 750ML</t>
  </si>
  <si>
    <t>558894FR</t>
  </si>
  <si>
    <t>LABBK PROCOURPAL750N 750ML</t>
  </si>
  <si>
    <t>558895FR</t>
  </si>
  <si>
    <t>LABST PROCOURPAL750N 750ML</t>
  </si>
  <si>
    <t>558896FR</t>
  </si>
  <si>
    <t>LABFR PROHERBIOPAL750N 750ML</t>
  </si>
  <si>
    <t>558897FR</t>
  </si>
  <si>
    <t>LABBK PROHERBIOPAL750N 750ML</t>
  </si>
  <si>
    <t>558898FR</t>
  </si>
  <si>
    <t>LABST PROHERBIOPA750N 12x750ML</t>
  </si>
  <si>
    <t>558906FR</t>
  </si>
  <si>
    <t>LABST SOMOUSPAL1N 12x1L</t>
  </si>
  <si>
    <t>558907FR</t>
  </si>
  <si>
    <t>LABFR SOMOUSPAL1N 1L</t>
  </si>
  <si>
    <t>558908FR</t>
  </si>
  <si>
    <t>LABBK SOMOUSPAL1N 1L</t>
  </si>
  <si>
    <t>558909FR</t>
  </si>
  <si>
    <t>LABFR PROHERBIOPAL25N  2,5L</t>
  </si>
  <si>
    <t>558910FR</t>
  </si>
  <si>
    <t>LABBK PROHERBIOPAL25N  2,5L</t>
  </si>
  <si>
    <t>558911FR</t>
  </si>
  <si>
    <t>LABST PROHERBIOPAL25N  4x2,5L</t>
  </si>
  <si>
    <t>EGB00105</t>
  </si>
  <si>
    <t>Neatcrown Corwen Ltd</t>
  </si>
  <si>
    <t>558912FR</t>
  </si>
  <si>
    <t>LABFR PROCOURPAL25N  2,5L</t>
  </si>
  <si>
    <t>558913FR</t>
  </si>
  <si>
    <t>LABBK PROCOURPAL25N  2,5L</t>
  </si>
  <si>
    <t>558915FR</t>
  </si>
  <si>
    <t>LABST PROCOURPAL25N  4x2,5L</t>
  </si>
  <si>
    <t>558986FR</t>
  </si>
  <si>
    <t>LABFR SOCAT750N</t>
  </si>
  <si>
    <t>558990FR</t>
  </si>
  <si>
    <t>LABFR SOCYP750S</t>
  </si>
  <si>
    <t>559037FR</t>
  </si>
  <si>
    <t>LABBK SOCAT750N</t>
  </si>
  <si>
    <t>559041FR</t>
  </si>
  <si>
    <t>LABBK SOCYP750S</t>
  </si>
  <si>
    <t>559069FR</t>
  </si>
  <si>
    <t>LABST CAU CARSC150N 12 6x25G</t>
  </si>
  <si>
    <t>559070FR</t>
  </si>
  <si>
    <t>LABFR CAUSS CARSC150N 6x25G</t>
  </si>
  <si>
    <t>559071FR</t>
  </si>
  <si>
    <t>BOXTI N DIF140 7x20g</t>
  </si>
  <si>
    <t>559072FR</t>
  </si>
  <si>
    <t>LABST N DIF140 12x(7x20g)</t>
  </si>
  <si>
    <t>559073FR</t>
  </si>
  <si>
    <t>BOXGF N RADIF150N 6X25G</t>
  </si>
  <si>
    <t>559074FR</t>
  </si>
  <si>
    <t>LABST N RADIF150N12x(6X25G)</t>
  </si>
  <si>
    <t>559075FR</t>
  </si>
  <si>
    <t>LABST N RASOU150N 12(15x10G)</t>
  </si>
  <si>
    <t>559076FR</t>
  </si>
  <si>
    <t>BOXTI CAU RASOU150N 15x10G</t>
  </si>
  <si>
    <t>559095FR</t>
  </si>
  <si>
    <t>LABFR PROCOURU800</t>
  </si>
  <si>
    <t>559096FR</t>
  </si>
  <si>
    <t>LABFR PROHERBIOU800</t>
  </si>
  <si>
    <t>559099FR</t>
  </si>
  <si>
    <t>LABBK SODORY125N</t>
  </si>
  <si>
    <t>559101FR</t>
  </si>
  <si>
    <t>LABBK SOLIPUC100N TACTILE</t>
  </si>
  <si>
    <t>559105FR</t>
  </si>
  <si>
    <t>LABBK SOLIPOLY100N</t>
  </si>
  <si>
    <t>559106FR</t>
  </si>
  <si>
    <t>LABBK DG200N</t>
  </si>
  <si>
    <t>559127FR</t>
  </si>
  <si>
    <t>LABBK PROCOURU800</t>
  </si>
  <si>
    <t>559128FR</t>
  </si>
  <si>
    <t>LABBK PROHERBIOU800</t>
  </si>
  <si>
    <t>559131FR</t>
  </si>
  <si>
    <t>BOX SODORY125N</t>
  </si>
  <si>
    <t>559133FR</t>
  </si>
  <si>
    <t>BOX SOLIPUC100N</t>
  </si>
  <si>
    <t>559137FR</t>
  </si>
  <si>
    <t>BOX SOLIPOLY100N</t>
  </si>
  <si>
    <t>559138FR</t>
  </si>
  <si>
    <t>//BOX DG200N</t>
  </si>
  <si>
    <t>559202FR</t>
  </si>
  <si>
    <t>LABST DG200N</t>
  </si>
  <si>
    <t>559229FR</t>
  </si>
  <si>
    <t>LABST SOCAT750N</t>
  </si>
  <si>
    <t>559237FR</t>
  </si>
  <si>
    <t>LABST PROCOURU800</t>
  </si>
  <si>
    <t>559238FR</t>
  </si>
  <si>
    <t>LABST PROHERBIOU800</t>
  </si>
  <si>
    <t>559243FR</t>
  </si>
  <si>
    <t>LABST SOCYP750S</t>
  </si>
  <si>
    <t>559249FR</t>
  </si>
  <si>
    <t>LABFR SOPOR25 2.5L</t>
  </si>
  <si>
    <t>559250FR</t>
  </si>
  <si>
    <t>LABBK SOPOR25 2.5L</t>
  </si>
  <si>
    <t>559251FR</t>
  </si>
  <si>
    <t>LABFR SOPREL1 1L</t>
  </si>
  <si>
    <t>559252FR</t>
  </si>
  <si>
    <t>LABET SOPREL1 1L</t>
  </si>
  <si>
    <t>559275FR</t>
  </si>
  <si>
    <t>//LABST PROCOUR700 12x700ML</t>
  </si>
  <si>
    <t>559276FR</t>
  </si>
  <si>
    <t>LABFR PROHERBIO700 700ML</t>
  </si>
  <si>
    <t>559277FR</t>
  </si>
  <si>
    <t>LABST PROHERBIO700 12x700ML</t>
  </si>
  <si>
    <t>559278FR</t>
  </si>
  <si>
    <t>LABFR PROHERBIO700P 770ML</t>
  </si>
  <si>
    <t>559279FR</t>
  </si>
  <si>
    <t>LABST PROHERBIO700P 12x770ML</t>
  </si>
  <si>
    <t>559301FR</t>
  </si>
  <si>
    <t>//CANAE FREEZ300 300mL</t>
  </si>
  <si>
    <t>559302FR</t>
  </si>
  <si>
    <t>//LABST FREEZ300 12x300ML</t>
  </si>
  <si>
    <t>559309FR</t>
  </si>
  <si>
    <t>LABFR SAVON NOIR SOSAVPAL1 1L</t>
  </si>
  <si>
    <t>559310FR</t>
  </si>
  <si>
    <t>LABST SAVON NO SOSAVPAL1 12X1L</t>
  </si>
  <si>
    <t>559311FR</t>
  </si>
  <si>
    <t>LABBK SAVON NOIR SOSAVPAL1 1L</t>
  </si>
  <si>
    <t>559356FBN</t>
  </si>
  <si>
    <t>FLXRS SOPIPRO 1PCE</t>
  </si>
  <si>
    <t>559357FBN</t>
  </si>
  <si>
    <t>BOXGF SOPIPRO 1PCE</t>
  </si>
  <si>
    <t>559358FBN</t>
  </si>
  <si>
    <t>LABST SOPIPRO 6x1PCE</t>
  </si>
  <si>
    <t>559359FBN</t>
  </si>
  <si>
    <t>//FLXRS SORECPRO 1PCE</t>
  </si>
  <si>
    <t>559360FBN</t>
  </si>
  <si>
    <t>//BOXGF SORECPRO 1PCE</t>
  </si>
  <si>
    <t>559361FBN</t>
  </si>
  <si>
    <t>//LABST SORECPRO 6x1PCE</t>
  </si>
  <si>
    <t>559375FBN</t>
  </si>
  <si>
    <t>//LEAFL SOPIPRO 1PCE</t>
  </si>
  <si>
    <t>559376FBN</t>
  </si>
  <si>
    <t>//LEAFL SORECPRO 1PCE</t>
  </si>
  <si>
    <t>559384FR</t>
  </si>
  <si>
    <t>LABFR SOAXIO250 250mL</t>
  </si>
  <si>
    <t>559385FR</t>
  </si>
  <si>
    <t>LABET SOAXIO250 250mL</t>
  </si>
  <si>
    <t>559386FR</t>
  </si>
  <si>
    <t>LABST SOAXIO250 12X250mL</t>
  </si>
  <si>
    <t>559390FR</t>
  </si>
  <si>
    <t>FLXRS DIF RADIF BRODI ACT FR</t>
  </si>
  <si>
    <t>559396FR</t>
  </si>
  <si>
    <t>BOX ULTRARASOU</t>
  </si>
  <si>
    <t>559397FR</t>
  </si>
  <si>
    <t>LEAFL ULTRARASOU</t>
  </si>
  <si>
    <t>559398FR</t>
  </si>
  <si>
    <t>LABST ULTRARASOU 6x1PCE</t>
  </si>
  <si>
    <t>559446FR</t>
  </si>
  <si>
    <t>//LABFR PROCOUR700 700ML</t>
  </si>
  <si>
    <t>559447FR</t>
  </si>
  <si>
    <t>//LABBK PROCOUR700 700ML</t>
  </si>
  <si>
    <t>559456FR</t>
  </si>
  <si>
    <t>BOXGF SOAXIO250 250mL</t>
  </si>
  <si>
    <t>559532FR</t>
  </si>
  <si>
    <t>OR BIO Fumier granulé 2kg</t>
  </si>
  <si>
    <t>EFR19657</t>
  </si>
  <si>
    <t>DELTASACS</t>
  </si>
  <si>
    <t>559533FR</t>
  </si>
  <si>
    <t>ORBIO EMB Terr. pltes aroma 3L</t>
  </si>
  <si>
    <t>559602FR</t>
  </si>
  <si>
    <t>ETIQ recto ORBIO UNIVERSEL 300</t>
  </si>
  <si>
    <t>EFR00086</t>
  </si>
  <si>
    <t>STIC'IMAGE</t>
  </si>
  <si>
    <t>559603FR</t>
  </si>
  <si>
    <t>ETIQ verso ORBIO UNIVERSEL 300</t>
  </si>
  <si>
    <t>559711FR</t>
  </si>
  <si>
    <t>EMB ECORCES PIN MARITIME 50L</t>
  </si>
  <si>
    <t>EFR06674</t>
  </si>
  <si>
    <t>MORANCE SOUDURE SAS</t>
  </si>
  <si>
    <t>559739FR</t>
  </si>
  <si>
    <t>EMB POUZZOLANE 20L V-20</t>
  </si>
  <si>
    <t>559740FR</t>
  </si>
  <si>
    <t>EMB BILLES D'ARGILE 20L V-20</t>
  </si>
  <si>
    <t>559756FR</t>
  </si>
  <si>
    <t>EMB TERREAU UNIVERSEL PF 40L V</t>
  </si>
  <si>
    <t>559757FR</t>
  </si>
  <si>
    <t>EMB TERREAU POTAGER PF 40L V-2</t>
  </si>
  <si>
    <t>559758FR</t>
  </si>
  <si>
    <t>EMB TERREAU ORNEMENTALE PF 40L</t>
  </si>
  <si>
    <t>559768FR</t>
  </si>
  <si>
    <t>EMB OR BRUN FUMIER CHEVAL 15</t>
  </si>
  <si>
    <t>559770FR</t>
  </si>
  <si>
    <t>EMB OR BRUN AUTHENTIQ FERT 20L</t>
  </si>
  <si>
    <t>EFR27798</t>
  </si>
  <si>
    <t>DODY PLAST</t>
  </si>
  <si>
    <t>559774FR</t>
  </si>
  <si>
    <t>EMB OBR FERT 100% VÉGÉTAL 8KG</t>
  </si>
  <si>
    <t>559777FR</t>
  </si>
  <si>
    <t>EMB AUTHENTIQUE FERT GRANULÉ 8</t>
  </si>
  <si>
    <t>559790FR</t>
  </si>
  <si>
    <t>OR BRUN ACTIV DE SOL EXPE 1.5</t>
  </si>
  <si>
    <t>559811FR</t>
  </si>
  <si>
    <t>SEAU FERTILISANT GRANULÉ 4KG V</t>
  </si>
  <si>
    <t>559816FR</t>
  </si>
  <si>
    <t>KS DOYPACK 3L</t>
  </si>
  <si>
    <t>559837EU</t>
  </si>
  <si>
    <t>LABEX 86601448 1PCE EU</t>
  </si>
  <si>
    <t>559839FR</t>
  </si>
  <si>
    <t>//LABEX ULTRARASOU 1PCE FR</t>
  </si>
  <si>
    <t>559840FR</t>
  </si>
  <si>
    <t>FLXRS DIF140 20G 25 PPM ACT FR</t>
  </si>
  <si>
    <t>559992FR</t>
  </si>
  <si>
    <t>LABFR SODORY125N 125ML</t>
  </si>
  <si>
    <t>559993FR</t>
  </si>
  <si>
    <t>LABST SODORY125N 125MLX12</t>
  </si>
  <si>
    <t>559994FR</t>
  </si>
  <si>
    <t>LEAFL SODORY125N</t>
  </si>
  <si>
    <t>560000FR</t>
  </si>
  <si>
    <t>LEAFL SOLIARA100N</t>
  </si>
  <si>
    <t>560001FR</t>
  </si>
  <si>
    <t>LABFR SOLIPOLY100N 125ML</t>
  </si>
  <si>
    <t>560002FR</t>
  </si>
  <si>
    <t>LABST SOLIPOLY100N 125MLX12</t>
  </si>
  <si>
    <t>560003FR</t>
  </si>
  <si>
    <t>//LEAFL SOLIPOLY100N</t>
  </si>
  <si>
    <t>560007FR</t>
  </si>
  <si>
    <t>LABFR SOLIPUC100N 125ML</t>
  </si>
  <si>
    <t>560008FR</t>
  </si>
  <si>
    <t>LABST SOLIPUC100N 125MLX12</t>
  </si>
  <si>
    <t>560009FR</t>
  </si>
  <si>
    <t>//LEAFL SOLIPUC100N</t>
  </si>
  <si>
    <t>560012FR</t>
  </si>
  <si>
    <t>LEAFL SOTOTPOT100N</t>
  </si>
  <si>
    <t>560013FR</t>
  </si>
  <si>
    <t>LABFR DG200N 250ML</t>
  </si>
  <si>
    <t>560132FR</t>
  </si>
  <si>
    <t>LABFR SOLABIOL SOLECI800</t>
  </si>
  <si>
    <t>560133FR</t>
  </si>
  <si>
    <t>LABET SOLABIOL SOLECI1 0,8 L</t>
  </si>
  <si>
    <t>560134FR</t>
  </si>
  <si>
    <t>LABST SOLECI800 12x0,8L</t>
  </si>
  <si>
    <t>560175FR</t>
  </si>
  <si>
    <t>LEAFL SOBIOJ25</t>
  </si>
  <si>
    <t>EFR04172</t>
  </si>
  <si>
    <t>IMPRIMERIE MARTIN</t>
  </si>
  <si>
    <t>560184FR</t>
  </si>
  <si>
    <t>LABFR SOLECIPAL1 1L</t>
  </si>
  <si>
    <t>560185FR</t>
  </si>
  <si>
    <t>LABBK SOLECIPAL1 1L</t>
  </si>
  <si>
    <t>560186FR</t>
  </si>
  <si>
    <t>LABST SOLECIPAL1 12X1L</t>
  </si>
  <si>
    <t>560199FR</t>
  </si>
  <si>
    <t>FLXRS CARSBL200 20G</t>
  </si>
  <si>
    <t>560200FR</t>
  </si>
  <si>
    <t>BOXGF CARSBL200 10X20G</t>
  </si>
  <si>
    <t>560201FR</t>
  </si>
  <si>
    <t>LABST CARSBL200 12X(10X20G)</t>
  </si>
  <si>
    <t>560224FR</t>
  </si>
  <si>
    <t>LABFR CARSPT150N 15X10G</t>
  </si>
  <si>
    <t>560225FR</t>
  </si>
  <si>
    <t>LABST CARSPT150N 12X(15X10G)</t>
  </si>
  <si>
    <t>560236FR</t>
  </si>
  <si>
    <t>BOXGF SOLIMAPLUS400 400G</t>
  </si>
  <si>
    <t>560237FR</t>
  </si>
  <si>
    <t>LABST SOLIMAPLUS400 12X400G</t>
  </si>
  <si>
    <t>560283FR</t>
  </si>
  <si>
    <t>FLXRS ORB TERREAU AGRUME 20LN</t>
  </si>
  <si>
    <t>560293FR</t>
  </si>
  <si>
    <t>FLXRS OBR TERRE VEGETALE 30LN</t>
  </si>
  <si>
    <t>560296FR</t>
  </si>
  <si>
    <t>FLXRS OBR TERREAU UNIV 70LN</t>
  </si>
  <si>
    <t>560353FR</t>
  </si>
  <si>
    <t>//LABST DG200 12X225ML</t>
  </si>
  <si>
    <t>560401FR</t>
  </si>
  <si>
    <t>FLXRS OBR TERRE A GAZON 35LN</t>
  </si>
  <si>
    <t>560402FR</t>
  </si>
  <si>
    <t>FLXRS OBR TERRE A PLANTER 35LN</t>
  </si>
  <si>
    <t>560403FR</t>
  </si>
  <si>
    <t>FLXRS OB VERIT TERRE BRUY 35LN</t>
  </si>
  <si>
    <t>560405FR</t>
  </si>
  <si>
    <t>FLXRS OB TERRE PLTES MED 35LN</t>
  </si>
  <si>
    <t>560412FR</t>
  </si>
  <si>
    <t>FLXRS OB TERREAU GERANIUM 35LN</t>
  </si>
  <si>
    <t>560413FR</t>
  </si>
  <si>
    <t>FLXRS OBR TERREAU POTAGER 35LN</t>
  </si>
  <si>
    <t>560414FR</t>
  </si>
  <si>
    <t>FLXRS OBR TERREAU ROSIERS 35LN</t>
  </si>
  <si>
    <t>560415FR</t>
  </si>
  <si>
    <t>FLXRS OBR TERREAU UNIV 35LN</t>
  </si>
  <si>
    <t>560433FR</t>
  </si>
  <si>
    <t>//BOXTI DG200 225mL</t>
  </si>
  <si>
    <t>560434FR</t>
  </si>
  <si>
    <t>//LABFR DG200 225mL</t>
  </si>
  <si>
    <t>560437FR</t>
  </si>
  <si>
    <t>BOXTIG THE55NOIR 1PCE</t>
  </si>
  <si>
    <t>560438FR</t>
  </si>
  <si>
    <t>LABFR THE55NOIR 1PCE</t>
  </si>
  <si>
    <t>560439FR</t>
  </si>
  <si>
    <t>LABEX THE55NOIR 1PCE</t>
  </si>
  <si>
    <t>560440FR</t>
  </si>
  <si>
    <t>LABEX_THE55NOIR_1PCE</t>
  </si>
  <si>
    <t>560441FR</t>
  </si>
  <si>
    <t>CASSH THE55NOIR 6x1PCE</t>
  </si>
  <si>
    <t>560442FR</t>
  </si>
  <si>
    <t>LABEX THE55RECHARG40 1PCE</t>
  </si>
  <si>
    <t>560443FR</t>
  </si>
  <si>
    <t>BLISC THE55RECHARG40 1PCE</t>
  </si>
  <si>
    <t>560444FR</t>
  </si>
  <si>
    <t>CASSH THE55RECHARG40 12x1PCE</t>
  </si>
  <si>
    <t>560466FR</t>
  </si>
  <si>
    <t>LABFR PROHERBIO25N</t>
  </si>
  <si>
    <t>560467FR</t>
  </si>
  <si>
    <t>LABBK PROHERBIO25N</t>
  </si>
  <si>
    <t>560468FR</t>
  </si>
  <si>
    <t>LABST PROHERBIO25N</t>
  </si>
  <si>
    <t>560472FR</t>
  </si>
  <si>
    <t>FLXRSOB PAILLAGE FERT UNI 50LN</t>
  </si>
  <si>
    <t>560473FR</t>
  </si>
  <si>
    <t>FLXRSOB PAILL FERT FLEURS 50LN</t>
  </si>
  <si>
    <t>560474FR</t>
  </si>
  <si>
    <t>FLXRSOB PAIL FERT POTAGER 50LN</t>
  </si>
  <si>
    <t>560479FR</t>
  </si>
  <si>
    <t>FLXFR OBR PAILL CHANVRE 100LN</t>
  </si>
  <si>
    <t>560564FR</t>
  </si>
  <si>
    <t>LABFR LVGRA100N 100G</t>
  </si>
  <si>
    <t>560565FR</t>
  </si>
  <si>
    <t>LABST LVGRA100N 12x100G</t>
  </si>
  <si>
    <t>560595FR</t>
  </si>
  <si>
    <t>LABFR PROCOUR25N 2,5L</t>
  </si>
  <si>
    <t>560596FR</t>
  </si>
  <si>
    <t>LABBK PROCOUR25N 2,5L</t>
  </si>
  <si>
    <t>560597FR</t>
  </si>
  <si>
    <t>LABST PROCOUR25N 4X2,5L</t>
  </si>
  <si>
    <t>560651FR</t>
  </si>
  <si>
    <t>LABFR FOURPOUD1000N 1Kg</t>
  </si>
  <si>
    <t>560652FR</t>
  </si>
  <si>
    <t>LABST FOURPOUD1000N 12X1Kg</t>
  </si>
  <si>
    <t>560946FR</t>
  </si>
  <si>
    <t>DPLTR SOPIFLORN 10x10 PCE</t>
  </si>
  <si>
    <t>560947FR</t>
  </si>
  <si>
    <t>CASSH SOPIFLORN 20x10 PCE</t>
  </si>
  <si>
    <t>560968FR</t>
  </si>
  <si>
    <t>DPLBS SOPIJAUNE 10x7 PCE</t>
  </si>
  <si>
    <t>560969FR</t>
  </si>
  <si>
    <t>CASSH SOPIJAUNE 20x7 PCE</t>
  </si>
  <si>
    <t>560970FR</t>
  </si>
  <si>
    <t>BOXTBT SOPIJAUNE 7 PCE</t>
  </si>
  <si>
    <t>560971FR</t>
  </si>
  <si>
    <t>BOX SOPIFLORN 10 PCE</t>
  </si>
  <si>
    <t>560982FR</t>
  </si>
  <si>
    <t>CASSH CATPIEGE 21x1PCE</t>
  </si>
  <si>
    <t>561013FR</t>
  </si>
  <si>
    <t>LABFR SOPVPAL500 500G</t>
  </si>
  <si>
    <t>561014FR</t>
  </si>
  <si>
    <t>LABET SOPVPAL500 500G</t>
  </si>
  <si>
    <t>561015FR</t>
  </si>
  <si>
    <t>LABST SOPVPAL500 12X500G</t>
  </si>
  <si>
    <t>561071FR</t>
  </si>
  <si>
    <t>LABFR FPOUDSI200 200Gr</t>
  </si>
  <si>
    <t>EFR27501</t>
  </si>
  <si>
    <t>GRAPHILYS</t>
  </si>
  <si>
    <t>561072FR</t>
  </si>
  <si>
    <t>LABST FPOUDSI200 12X200Gr</t>
  </si>
  <si>
    <t>561118DAF</t>
  </si>
  <si>
    <t>BOXTI FR-DE 1,5KG</t>
  </si>
  <si>
    <t>561119DAF</t>
  </si>
  <si>
    <t>LABST FR-DE 5 5x1,5KG</t>
  </si>
  <si>
    <t>561136FR</t>
  </si>
  <si>
    <t>BLISC THE55RECHARG80 2PCE</t>
  </si>
  <si>
    <t>561146FR</t>
  </si>
  <si>
    <t>FLXRL OBR BILLES D'ARGILE 6L</t>
  </si>
  <si>
    <t>PE</t>
  </si>
  <si>
    <t>561147FR</t>
  </si>
  <si>
    <t>FLXRL OBR POUZZOLANE 6L</t>
  </si>
  <si>
    <t>561148FR</t>
  </si>
  <si>
    <t>FLXRL OBR TERREAU CACTUS 6L</t>
  </si>
  <si>
    <t>561149FR</t>
  </si>
  <si>
    <t>FLXRL OBR TERREAU ORCHIDEES 6L</t>
  </si>
  <si>
    <t>561150FR</t>
  </si>
  <si>
    <t>FLXRL OBR TERREAU PLTE AROM 6L</t>
  </si>
  <si>
    <t>561151FR</t>
  </si>
  <si>
    <t>FLXRL OBR TERREAU BRUYERE 6L</t>
  </si>
  <si>
    <t>561152FR</t>
  </si>
  <si>
    <t>FLXRL OBR TERREAU REMPOTAGE 6L</t>
  </si>
  <si>
    <t>561153FR</t>
  </si>
  <si>
    <t>FLXRL OBR TERREAU SEMIS 6L</t>
  </si>
  <si>
    <t>561154FR</t>
  </si>
  <si>
    <t>FLXRL OBR TERREAU BONSAIS 6L</t>
  </si>
  <si>
    <t>561155FR</t>
  </si>
  <si>
    <t>FLXRL OBR COPEAUX NATURELS 6L</t>
  </si>
  <si>
    <t>561156FR</t>
  </si>
  <si>
    <t>FLXRL OBR TERREAU AGRUMES 6L</t>
  </si>
  <si>
    <t>561157DE</t>
  </si>
  <si>
    <t>LABBK_ 86601876_1PCE_DE</t>
  </si>
  <si>
    <t>561158EU</t>
  </si>
  <si>
    <t>//BOXTI WHITE/GREEN HALO FRDE</t>
  </si>
  <si>
    <t>561159EU</t>
  </si>
  <si>
    <t>//CASSH WHITE HALO FRDE 6x1PCE</t>
  </si>
  <si>
    <t>561174FR</t>
  </si>
  <si>
    <t>LABFR AMTPB5N 5L</t>
  </si>
  <si>
    <t>561175FR</t>
  </si>
  <si>
    <t>LABBK AMTPB5N 5L</t>
  </si>
  <si>
    <t>561176FR</t>
  </si>
  <si>
    <t>LABST AMTPB5N 4x5L</t>
  </si>
  <si>
    <t>561182FR</t>
  </si>
  <si>
    <t>LABFR AMTPL20N 20L</t>
  </si>
  <si>
    <t>561183FR</t>
  </si>
  <si>
    <t>LABBK AMTPL20N 20L</t>
  </si>
  <si>
    <t>561184FR</t>
  </si>
  <si>
    <t>LABST AMTPL20N32x20L TRANS CL9</t>
  </si>
  <si>
    <t>561188FR</t>
  </si>
  <si>
    <t>LABFR DIMAX1 1L</t>
  </si>
  <si>
    <t>561189FR</t>
  </si>
  <si>
    <t>LABET DIMAX1 1L</t>
  </si>
  <si>
    <t>561190FR</t>
  </si>
  <si>
    <t>LABST DIMAX1 12x1L</t>
  </si>
  <si>
    <t>561191FR</t>
  </si>
  <si>
    <t>LABFR DIMAX25 2,5L</t>
  </si>
  <si>
    <t>561192FR</t>
  </si>
  <si>
    <t>LABBK DIMAX25 2,5L</t>
  </si>
  <si>
    <t>561193FR</t>
  </si>
  <si>
    <t>LABST DIMAX25 4x2,5L</t>
  </si>
  <si>
    <t>561200FR</t>
  </si>
  <si>
    <t>LABFR DIMAXPAL1 750ML</t>
  </si>
  <si>
    <t>561201FR</t>
  </si>
  <si>
    <t>LABBK DIMAXPAL1 750ML</t>
  </si>
  <si>
    <t>561202FR</t>
  </si>
  <si>
    <t>LABST DIMAXPAL1 12x750ML</t>
  </si>
  <si>
    <t>561246FR</t>
  </si>
  <si>
    <t>FLXRL OBR AUTHENTIQ FERTI 10KG</t>
  </si>
  <si>
    <t>561250EU</t>
  </si>
  <si>
    <t>//LEAFLHALO NOREFILL 1PCE FRDE</t>
  </si>
  <si>
    <t>561270FR</t>
  </si>
  <si>
    <t>LABFR PRODSO400 400g</t>
  </si>
  <si>
    <t>561271FR</t>
  </si>
  <si>
    <t>PDTET PRODSO400 12X400Gr</t>
  </si>
  <si>
    <t>561339FR</t>
  </si>
  <si>
    <t>LABST SOMOUCH01N 12X1KG</t>
  </si>
  <si>
    <t>561349FR</t>
  </si>
  <si>
    <t>FLXRL RAMUCAM150 25G</t>
  </si>
  <si>
    <t>561350FR</t>
  </si>
  <si>
    <t>LABFR SOCHE125 125mL</t>
  </si>
  <si>
    <t>561351FR</t>
  </si>
  <si>
    <t>LABBK SOCHE125 125mL</t>
  </si>
  <si>
    <t>561352FR</t>
  </si>
  <si>
    <t>LABST SOCHE125 12x125mL</t>
  </si>
  <si>
    <t>561353FR</t>
  </si>
  <si>
    <t>LEAFL SOCHE125 125mL</t>
  </si>
  <si>
    <t>561354FR</t>
  </si>
  <si>
    <t>BOX SOCHE125 125mL</t>
  </si>
  <si>
    <t>561361FR</t>
  </si>
  <si>
    <t>BLISC FTUBNAT2N 2x15g</t>
  </si>
  <si>
    <t>561362FR</t>
  </si>
  <si>
    <t>TUBE FTUBNAT2N 15g</t>
  </si>
  <si>
    <t>561363FR</t>
  </si>
  <si>
    <t>LABST FTUBNAT2N 12x(2x15g)</t>
  </si>
  <si>
    <t>561367FR</t>
  </si>
  <si>
    <t>FLXRL CARBLBF300 20g</t>
  </si>
  <si>
    <t>561368FR</t>
  </si>
  <si>
    <t>LABST CARBLBF300 12x(15x20g)</t>
  </si>
  <si>
    <t>561369FR</t>
  </si>
  <si>
    <t>BOXGF CARBLBF300 15x20g</t>
  </si>
  <si>
    <t>561386FR</t>
  </si>
  <si>
    <t>BOXGF RASOUREP100 100G</t>
  </si>
  <si>
    <t>561388FR</t>
  </si>
  <si>
    <t>LABST RASOUREP100 12x100G</t>
  </si>
  <si>
    <t>561399EU</t>
  </si>
  <si>
    <t>LABFR 100G sachet label</t>
  </si>
  <si>
    <t>561400FR</t>
  </si>
  <si>
    <t>LABST RADIF150N_Iris 12x6x25g</t>
  </si>
  <si>
    <t>561461FR</t>
  </si>
  <si>
    <t>BOXGF KITCAMPN KITCAMPE</t>
  </si>
  <si>
    <t>561465FR</t>
  </si>
  <si>
    <t>CASSH KITCAMPN 12x5PCE</t>
  </si>
  <si>
    <t>561489FR</t>
  </si>
  <si>
    <t>LABST DIF140-iris 12x(7x20g)</t>
  </si>
  <si>
    <t>561490FR</t>
  </si>
  <si>
    <t>BOXGF DIF140_IRIS 7x20g</t>
  </si>
  <si>
    <t>561491FR</t>
  </si>
  <si>
    <t>BOXGF RADIF150N_IRIS 6x25g</t>
  </si>
  <si>
    <t>561492FR</t>
  </si>
  <si>
    <t>FLXRL CASAE4N_IRIS 20g</t>
  </si>
  <si>
    <t>EFR06863</t>
  </si>
  <si>
    <t>SOYAUX PLASTIQUES COMPLEXAGES (SPC)</t>
  </si>
  <si>
    <t>561493FR</t>
  </si>
  <si>
    <t>BOXGF CASAE4N_IRIS 5x20g</t>
  </si>
  <si>
    <t>561494FR</t>
  </si>
  <si>
    <t>LABST CASAE4N_IRIS 12x(5x20g)</t>
  </si>
  <si>
    <t>561498FR</t>
  </si>
  <si>
    <t>FLXRL RAMUCAM150_IRIS 25g</t>
  </si>
  <si>
    <t>561499FR</t>
  </si>
  <si>
    <t>BOXGF RAMUCAM150_IRIS 6x25g</t>
  </si>
  <si>
    <t>561500FR</t>
  </si>
  <si>
    <t>LABSTRAMUCAM150_IRIS 12x(6x25g</t>
  </si>
  <si>
    <t>561504FR</t>
  </si>
  <si>
    <t>LABST SOCONAT1 1kg FR</t>
  </si>
  <si>
    <t>561505FR</t>
  </si>
  <si>
    <t>LABST SOCONAT1P 10x1,5kg FR</t>
  </si>
  <si>
    <t>561594FR</t>
  </si>
  <si>
    <t>CANAE GUEP600N 600mL FR</t>
  </si>
  <si>
    <t>561595FR</t>
  </si>
  <si>
    <t>LABST GUEP600N 12x600mL FR</t>
  </si>
  <si>
    <t>561670FR</t>
  </si>
  <si>
    <t>LABFR_VINPAV5_5L</t>
  </si>
  <si>
    <t>561720FR</t>
  </si>
  <si>
    <t>FLXRL_DIF140_IRIS_20g</t>
  </si>
  <si>
    <t>561722FR</t>
  </si>
  <si>
    <t>FLXRL_CARSC RADIF150N_IRIS_25g</t>
  </si>
  <si>
    <t>561727FR</t>
  </si>
  <si>
    <t>FLXRL_CARSPT150N_15g</t>
  </si>
  <si>
    <t>561742FR</t>
  </si>
  <si>
    <t>LABET_PROHERBIOPAL750N_750mL</t>
  </si>
  <si>
    <t>561754EU</t>
  </si>
  <si>
    <t>LEAFL_86601858_Rat</t>
  </si>
  <si>
    <t>561756FR</t>
  </si>
  <si>
    <t>BOXTBT_RASOUTRAPN_1PCE</t>
  </si>
  <si>
    <t>561757FR</t>
  </si>
  <si>
    <t>FLXRL_TER COMPLET NN_40L</t>
  </si>
  <si>
    <t>561758FR</t>
  </si>
  <si>
    <t>BOXTI SOPIBUISN</t>
  </si>
  <si>
    <t>561759FR</t>
  </si>
  <si>
    <t>BOXGF SORECBUISN</t>
  </si>
  <si>
    <t>561763EU</t>
  </si>
  <si>
    <t>LABFR_86601858_1PCE</t>
  </si>
  <si>
    <t>561770FR</t>
  </si>
  <si>
    <t>CASSH_RASOUTRAPN_4x1PCE</t>
  </si>
  <si>
    <t>561801FR</t>
  </si>
  <si>
    <t>LABST_VINPAV5_2x5L</t>
  </si>
  <si>
    <t>561818FR</t>
  </si>
  <si>
    <t>WEDGE_THE55NOIR_1PCE</t>
  </si>
  <si>
    <t>561819FR</t>
  </si>
  <si>
    <t>CASSH_THE55RECHARG80_6PCE</t>
  </si>
  <si>
    <t>561844FR</t>
  </si>
  <si>
    <t>CANAE_GUEPMOUS600N _600ml</t>
  </si>
  <si>
    <t>561845FR</t>
  </si>
  <si>
    <t>LABST_GUEPMOUS600N_12x600ml</t>
  </si>
  <si>
    <t>561848DAF</t>
  </si>
  <si>
    <t>BOXTBT_86601876_1PCE</t>
  </si>
  <si>
    <t>561850DAF</t>
  </si>
  <si>
    <t>BOXGF_86601983_1x(1+3)PCE</t>
  </si>
  <si>
    <t>561851DAF</t>
  </si>
  <si>
    <t>BOXGF_86601878_1x(4+12)PCE</t>
  </si>
  <si>
    <t>561880DAF</t>
  </si>
  <si>
    <t>LABFR_86601983_1PCE</t>
  </si>
  <si>
    <t>561886DAF</t>
  </si>
  <si>
    <t>LEAFL_86601876_1PCE</t>
  </si>
  <si>
    <t>561887DAF</t>
  </si>
  <si>
    <t>CASSH_86601876_6PCE</t>
  </si>
  <si>
    <t>561894DAF</t>
  </si>
  <si>
    <t>LEAFL_86601983_12x(1+3)PCE</t>
  </si>
  <si>
    <t>561895DAF</t>
  </si>
  <si>
    <t>CASSH_86601983_12x(1+3)PCE</t>
  </si>
  <si>
    <t>561896DAF</t>
  </si>
  <si>
    <t>CASSH_86601878_12x(4+12)PCE</t>
  </si>
  <si>
    <t>561916FR</t>
  </si>
  <si>
    <t>LABFR_PROHERBIOPAV5_5L</t>
  </si>
  <si>
    <t>561917FR</t>
  </si>
  <si>
    <t>LABBK_PROHERBIOPAV5_5L</t>
  </si>
  <si>
    <t>561918FR</t>
  </si>
  <si>
    <t>LABST_SOCOR15G10N_8x1,5KG</t>
  </si>
  <si>
    <t>561961FR</t>
  </si>
  <si>
    <t>FLXRL_AUTHENTIQ FERT_20L</t>
  </si>
  <si>
    <t>562073FR</t>
  </si>
  <si>
    <t>LABST_PROHERBIOPAV5_4x5L</t>
  </si>
  <si>
    <t>562118FR</t>
  </si>
  <si>
    <t>BOXGF_SOBB800_800g_TW</t>
  </si>
  <si>
    <t>562121FR</t>
  </si>
  <si>
    <t>LABST_BB500_12x500g</t>
  </si>
  <si>
    <t>562122FR</t>
  </si>
  <si>
    <t>LABST_SOBB800_12x800g</t>
  </si>
  <si>
    <t>600011</t>
  </si>
  <si>
    <t>//ARGIVERT UP20</t>
  </si>
  <si>
    <t>PDTBC</t>
  </si>
  <si>
    <t>Bulks</t>
  </si>
  <si>
    <t>EFR06533</t>
  </si>
  <si>
    <t>ARGILE DU VELAY</t>
  </si>
  <si>
    <t>80% ARGILE VERTE</t>
  </si>
  <si>
    <t>600026</t>
  </si>
  <si>
    <t>NPK4.3.2 ACTIV VRAC PELLET 5MM</t>
  </si>
  <si>
    <t>600040</t>
  </si>
  <si>
    <t>ARMICARB JARDIN 1×800KG</t>
  </si>
  <si>
    <t>EFR01019</t>
  </si>
  <si>
    <t>LIPHATECH SAS</t>
  </si>
  <si>
    <t>POTASSIUM BICARBONATE SP 85 W</t>
  </si>
  <si>
    <t>600230</t>
  </si>
  <si>
    <t>NPK 4-6-10+2MgO+RGS MI BB 1T</t>
  </si>
  <si>
    <t>EFR06744</t>
  </si>
  <si>
    <t>Organic Production</t>
  </si>
  <si>
    <t>NPK(MgO) MI 4-6-10(2) +RGS W</t>
  </si>
  <si>
    <t>Ferts containing NPK</t>
  </si>
  <si>
    <t>600230_SBMFERT</t>
  </si>
  <si>
    <t>NPK GR 4-6-10+2MgO+RGS W BB 1T</t>
  </si>
  <si>
    <t>600231</t>
  </si>
  <si>
    <t>NPK GR 3-2-5+2MgO+RGS W BB 1T</t>
  </si>
  <si>
    <t>NPK(MgO) GR 3-2-5(2) +RGS W</t>
  </si>
  <si>
    <t>600232</t>
  </si>
  <si>
    <t>NPK GR 7-4-7+2MgO+RGS W BB1T</t>
  </si>
  <si>
    <t>NPK(MgO) GR 7-4-7(2) +RGS W</t>
  </si>
  <si>
    <t>600232_SBMFERT</t>
  </si>
  <si>
    <t>Similar formulation than GVPLBRUY15</t>
  </si>
  <si>
    <t>600261</t>
  </si>
  <si>
    <t>BLACK SOAP LIQUID 20%</t>
  </si>
  <si>
    <t>EFR06685</t>
  </si>
  <si>
    <t>NOUVELLE C.D.S.M</t>
  </si>
  <si>
    <t>600378</t>
  </si>
  <si>
    <t>BLU BORDO N. COLORED</t>
  </si>
  <si>
    <t>BOUILLIE BORDELAISE 20% WP</t>
  </si>
  <si>
    <t>Copper Sulfate 20%</t>
  </si>
  <si>
    <t>600660</t>
  </si>
  <si>
    <t>THIOVIT Jardin 25KG BAG</t>
  </si>
  <si>
    <t>ECH16489</t>
  </si>
  <si>
    <t>SYNGENTA CROP PROTECTION AG</t>
  </si>
  <si>
    <t>SULFUR WG 80 W</t>
  </si>
  <si>
    <t>600664</t>
  </si>
  <si>
    <t>DELFIN 1x 30 Kg</t>
  </si>
  <si>
    <t>EBE17580</t>
  </si>
  <si>
    <t>Certis Belchim NV</t>
  </si>
  <si>
    <t>B.THUR.KURST SA11 WG 85 W</t>
  </si>
  <si>
    <t>600672</t>
  </si>
  <si>
    <t>CRUSHED HORN 1T BB  1-6mm</t>
  </si>
  <si>
    <t>EFR06676</t>
  </si>
  <si>
    <t>BIO CORN</t>
  </si>
  <si>
    <t>N 13</t>
  </si>
  <si>
    <t>Corne = horn meal</t>
  </si>
  <si>
    <t>607821</t>
  </si>
  <si>
    <t>PHOSPHATE NATUREL 31%</t>
  </si>
  <si>
    <t>EFR21061</t>
  </si>
  <si>
    <t>AGROLAND SAS</t>
  </si>
  <si>
    <t>ANHYDRIDE PHOSPHORIQUE 29%</t>
  </si>
  <si>
    <t>607822</t>
  </si>
  <si>
    <t>POTASSE ORGANIQUE 38 % K2O</t>
  </si>
  <si>
    <t>OXYDE DE POTASSIUM 38% ANHYDRI</t>
  </si>
  <si>
    <t>607838</t>
  </si>
  <si>
    <t>NPK GR 10-2-1 W BB 1000Kg</t>
  </si>
  <si>
    <t>NPK 10-0-0 / ACTIV DE COMPOST</t>
  </si>
  <si>
    <t>607996</t>
  </si>
  <si>
    <t>BELOUKHA 500gr/L</t>
  </si>
  <si>
    <t>FATTY ACID C9 EC 500 G</t>
  </si>
  <si>
    <t>Nonanoic acid</t>
  </si>
  <si>
    <t>608001</t>
  </si>
  <si>
    <t>HERBICLEAN CONCENTRE</t>
  </si>
  <si>
    <t>ENL00033</t>
  </si>
  <si>
    <t>MARDENKRO B.V.</t>
  </si>
  <si>
    <t>FATTY ACID C8-C10 TK 30 W</t>
  </si>
  <si>
    <t>608278</t>
  </si>
  <si>
    <t>OSYR SL 49.2+9.8 SO3 G CAN 10L</t>
  </si>
  <si>
    <t>OSIRYL ROOT STIMULATOR</t>
  </si>
  <si>
    <t>609101</t>
  </si>
  <si>
    <t>NORDOX  75 WG</t>
  </si>
  <si>
    <t>COPPER WG 75 W</t>
  </si>
  <si>
    <t>copper oxide production</t>
  </si>
  <si>
    <t>650006</t>
  </si>
  <si>
    <t>ACETA MICRO GRAN 1x800KG BB EU</t>
  </si>
  <si>
    <t>EAT13040</t>
  </si>
  <si>
    <t>Kwizda Agro GmbH</t>
  </si>
  <si>
    <t>ACETAMIPRID GR 0,2  W</t>
  </si>
  <si>
    <t>FE calculé par CK selon TDS</t>
  </si>
  <si>
    <t>650019</t>
  </si>
  <si>
    <t>SEQUESTRENE</t>
  </si>
  <si>
    <t>650024</t>
  </si>
  <si>
    <t>ATAPULGITIC CLAY BULK</t>
  </si>
  <si>
    <t>ATAPULGITIC CLAY 4/20 GR W</t>
  </si>
  <si>
    <t>650040</t>
  </si>
  <si>
    <t>NONANOIC ACID EC 186,7 BULK</t>
  </si>
  <si>
    <t>FATTY ACID C9 EC 186,7 G</t>
  </si>
  <si>
    <t>650098</t>
  </si>
  <si>
    <t>N-P-K 4.3.2- CHICKEN MANURE BU</t>
  </si>
  <si>
    <t>ENL06738</t>
  </si>
  <si>
    <t>NPK 4-3-2</t>
  </si>
  <si>
    <t>650105</t>
  </si>
  <si>
    <t>NPK 3-2-5  BULK</t>
  </si>
  <si>
    <t>NPK 3 -2-5 G</t>
  </si>
  <si>
    <t>650182</t>
  </si>
  <si>
    <t>DETRUI MOUSSE NPK 6+4,5+4  BB</t>
  </si>
  <si>
    <t>EBE06741</t>
  </si>
  <si>
    <t>650235</t>
  </si>
  <si>
    <t>BRODI CEREA BLE 10PPM TRIP BB</t>
  </si>
  <si>
    <t>BRODIFACOUM RB 0,0010% W</t>
  </si>
  <si>
    <t>650249</t>
  </si>
  <si>
    <t>EVER 7 NPK GR 7-4-7 W BB 1T</t>
  </si>
  <si>
    <t>650255</t>
  </si>
  <si>
    <t>SPEARMINT OIL 286G/KG B</t>
  </si>
  <si>
    <t>SPEARMINT OIL VP 28,6 W</t>
  </si>
  <si>
    <t>650261</t>
  </si>
  <si>
    <t>SPINOSAD TECH  RB 1X5KG BAR</t>
  </si>
  <si>
    <t>ECH14838</t>
  </si>
  <si>
    <t>DOW AGROSCIENCES SWITZERLAND S.A.</t>
  </si>
  <si>
    <t>SPINOSAD 1g/l  G</t>
  </si>
  <si>
    <t>650262</t>
  </si>
  <si>
    <t>SUCCESS VD JARDIN 1x200L DRUM</t>
  </si>
  <si>
    <t>EFR00063</t>
  </si>
  <si>
    <t>Corteva Agriscience France SAS</t>
  </si>
  <si>
    <t>SPINOSAD SC 24 G</t>
  </si>
  <si>
    <t>Insecticide moyen</t>
  </si>
  <si>
    <t>650269</t>
  </si>
  <si>
    <t>ARMICARB®JARDIN SPR 1000L IBC</t>
  </si>
  <si>
    <t>KHCO3 4.25G/L AL  G</t>
  </si>
  <si>
    <t>potassium carbonate production, from potassium hydroxide</t>
  </si>
  <si>
    <t>650276</t>
  </si>
  <si>
    <t>CYPREVERT ADS NX19B2 IBC 1000L</t>
  </si>
  <si>
    <t>EFR14392</t>
  </si>
  <si>
    <t>ANGIBAUD DEROME &amp; SPECIALITES</t>
  </si>
  <si>
    <t>650278</t>
  </si>
  <si>
    <t>DELTA TK1,5 1X160KG DRM WW</t>
  </si>
  <si>
    <t>EFR00059</t>
  </si>
  <si>
    <t>Bayer S.A.S.</t>
  </si>
  <si>
    <t>DELTAMETHRIN EC 15F G</t>
  </si>
  <si>
    <t>650279</t>
  </si>
  <si>
    <t>D-LIMONENE ME0.565 1x1000L IBC</t>
  </si>
  <si>
    <t>EFR13982</t>
  </si>
  <si>
    <t>VIVAGRO</t>
  </si>
  <si>
    <t>ORANGE OIL ME 60 G</t>
  </si>
  <si>
    <t>650281</t>
  </si>
  <si>
    <t>NITRATE DE SODIUM 98% 1000KG</t>
  </si>
  <si>
    <t>EFR11619</t>
  </si>
  <si>
    <t>BRENNTAG</t>
  </si>
  <si>
    <t>NITRATE DE SODIUM WP 99 W</t>
  </si>
  <si>
    <t>650338</t>
  </si>
  <si>
    <t>BULK SUPPLIED BY SUBCONTRACTOR</t>
  </si>
  <si>
    <t>650378</t>
  </si>
  <si>
    <t>AMP 2 CL   AL  1X1000L IBC</t>
  </si>
  <si>
    <t>ACETAMIPRID GRB 0,9 W</t>
  </si>
  <si>
    <t>650398</t>
  </si>
  <si>
    <t>SOL’INSECT AL 1000L</t>
  </si>
  <si>
    <t>PYR+ROI AL 0,05+8,25 G</t>
  </si>
  <si>
    <t>650400</t>
  </si>
  <si>
    <t>BORDO 20 MICRO BB IQV</t>
  </si>
  <si>
    <t>COPPER SULFATE WG 20 W</t>
  </si>
  <si>
    <t>650401</t>
  </si>
  <si>
    <t>STORM ULTRA SECURE 1X375KG BIG</t>
  </si>
  <si>
    <t>EFR00117</t>
  </si>
  <si>
    <t>BASF AGRO SAS</t>
  </si>
  <si>
    <t>FLOCOUMAFEN BRB 0,0025 W</t>
  </si>
  <si>
    <t>CVS</t>
  </si>
  <si>
    <t>650414</t>
  </si>
  <si>
    <t>LECITHIN 2% 1X1000L IBC</t>
  </si>
  <si>
    <t>LECITHIN SC 20 G</t>
  </si>
  <si>
    <t>650416</t>
  </si>
  <si>
    <t>ROC-MICROSPRAY 1X1000KG BB</t>
  </si>
  <si>
    <t>EFR18676</t>
  </si>
  <si>
    <t>NITRACURE SaS</t>
  </si>
  <si>
    <t>CHABAZITE WP 65 W</t>
  </si>
  <si>
    <t>650419</t>
  </si>
  <si>
    <t>SAVIAL DIRECT 1X1000L IBC</t>
  </si>
  <si>
    <t>EES18741</t>
  </si>
  <si>
    <t>LAINCO, S.A.</t>
  </si>
  <si>
    <t>POTASIUM PHOSPHONAT AL 1.275 G</t>
  </si>
  <si>
    <t>Fongicides</t>
  </si>
  <si>
    <t>650424</t>
  </si>
  <si>
    <t>FT REZIST 30 MARAI 1X1000L IBC</t>
  </si>
  <si>
    <t>EFR18579</t>
  </si>
  <si>
    <t>SAS AXIOMA</t>
  </si>
  <si>
    <t>REZIST30 PLANT EXTRACT AL 10 G</t>
  </si>
  <si>
    <t>650431</t>
  </si>
  <si>
    <t>BRODI 17PPM FLUO 1000x10g CASE</t>
  </si>
  <si>
    <t>PDTSF</t>
  </si>
  <si>
    <t>SEMI-FINISHED PRODUCTs</t>
  </si>
  <si>
    <t>BRODIFACOUM PRB 0,0017 W</t>
  </si>
  <si>
    <t>650447</t>
  </si>
  <si>
    <t>TERRE DE FEU 1X1000KG BB</t>
  </si>
  <si>
    <t>CHABASITE DP 70 W</t>
  </si>
  <si>
    <t>650449</t>
  </si>
  <si>
    <t>BARDAC BD-50S 1X890KG IBC</t>
  </si>
  <si>
    <t>ECH06516</t>
  </si>
  <si>
    <t>ARXADA AG</t>
  </si>
  <si>
    <t>650451</t>
  </si>
  <si>
    <t>BRODI CEREA AVOINE 10PPM BB</t>
  </si>
  <si>
    <t>747047</t>
  </si>
  <si>
    <t>ACCTA-N PP NATURAL COLOUR</t>
  </si>
  <si>
    <t>79036221</t>
  </si>
  <si>
    <t>PALET-N 1200X800X138MM CP2_HT</t>
  </si>
  <si>
    <t>79515774</t>
  </si>
  <si>
    <t>BLIST_187x105x22mm</t>
  </si>
  <si>
    <t>EGR28619</t>
  </si>
  <si>
    <t>MST Tastsian SA</t>
  </si>
  <si>
    <t>79729316</t>
  </si>
  <si>
    <t>PYRETHRUM TK50 1X25KG DRM WW</t>
  </si>
  <si>
    <t>79850123</t>
  </si>
  <si>
    <t>CASWE_113x287mm</t>
  </si>
  <si>
    <t>79858345</t>
  </si>
  <si>
    <t>BLIFO-N ANT BAIT TUBE 4G NVM</t>
  </si>
  <si>
    <t>EFR00245</t>
  </si>
  <si>
    <t>79866127</t>
  </si>
  <si>
    <t>FOIL_38x38mm</t>
  </si>
  <si>
    <t>EGR28613</t>
  </si>
  <si>
    <t>Sinopoulos</t>
  </si>
  <si>
    <t>LDPEXALU</t>
  </si>
  <si>
    <t>79866828</t>
  </si>
  <si>
    <t>TRAP_68x68x17mm_BASE_WHI</t>
  </si>
  <si>
    <t>EFR28611</t>
  </si>
  <si>
    <t>VELFOR EMBALLAGE</t>
  </si>
  <si>
    <t>79895984</t>
  </si>
  <si>
    <t>ACC-N PALLET-PROTECTION-FILM</t>
  </si>
  <si>
    <t>ESE00223</t>
  </si>
  <si>
    <t>Yara AB Åhusterminalen</t>
  </si>
  <si>
    <t>79921837</t>
  </si>
  <si>
    <t>TRAP_86x86x19mm_UP_BLU</t>
  </si>
  <si>
    <t>79936087</t>
  </si>
  <si>
    <t>STICK_12mm</t>
  </si>
  <si>
    <t>EGR28602</t>
  </si>
  <si>
    <t>TH. KONSTANTOPOULOS SA-SELKO</t>
  </si>
  <si>
    <t>80121172</t>
  </si>
  <si>
    <t>ACCSP-N T95 CRC RED/WHITE 1L</t>
  </si>
  <si>
    <t>80192983</t>
  </si>
  <si>
    <t>LABSC TRANSPORT LQ WW</t>
  </si>
  <si>
    <t>80485492</t>
  </si>
  <si>
    <t>BOTPE-N 1L RTU GREEN S SHAPE</t>
  </si>
  <si>
    <t>EGB00228</t>
  </si>
  <si>
    <t>RPC CONTAINERS UK LTD</t>
  </si>
  <si>
    <t>80970218</t>
  </si>
  <si>
    <t>84079170</t>
  </si>
  <si>
    <t>PALET-N 1200X800 MM</t>
  </si>
  <si>
    <t>84219088</t>
  </si>
  <si>
    <t>//CAS314x214x174mm EYD250mlx12</t>
  </si>
  <si>
    <t>84415979</t>
  </si>
  <si>
    <t>ACCSP-N T95 CRC GREEN/WHITE</t>
  </si>
  <si>
    <t>84824860</t>
  </si>
  <si>
    <t>//ACC PLASTIC VALVE EYD RED</t>
  </si>
  <si>
    <t>84825239</t>
  </si>
  <si>
    <t>//CAP EYD CRC RED WHITE</t>
  </si>
  <si>
    <t>84928631</t>
  </si>
  <si>
    <t>BAGRS-N 145X80 206MM CULTERRA</t>
  </si>
  <si>
    <t>84933066</t>
  </si>
  <si>
    <t>CASE-N 373X187 X267MM SINAPAK</t>
  </si>
  <si>
    <t>85341324</t>
  </si>
  <si>
    <t>BLIST_187x191x22mm</t>
  </si>
  <si>
    <t>85388029</t>
  </si>
  <si>
    <t>BAGRS-N PET/PE 430X MM NVM</t>
  </si>
  <si>
    <t>85413171</t>
  </si>
  <si>
    <t>CASWE_200x245mm</t>
  </si>
  <si>
    <t>85848127</t>
  </si>
  <si>
    <t>IMIDACLOPRID RB0.03 1X197KG</t>
  </si>
  <si>
    <t>IMIDACLOPRID RB 0,03A W</t>
  </si>
  <si>
    <t>86700107</t>
  </si>
  <si>
    <t>IMIDACLOPRID (SBM) RB0,03</t>
  </si>
  <si>
    <t>87268</t>
  </si>
  <si>
    <t>FOISH_N_PE_TUBE_1350MM</t>
  </si>
  <si>
    <t>Smooth tube = LDPE</t>
  </si>
  <si>
    <t>9</t>
  </si>
  <si>
    <t>PSFALGUES</t>
  </si>
  <si>
    <t>ALGUES MARINES COMPOSTEES</t>
  </si>
  <si>
    <t>T</t>
  </si>
  <si>
    <t>PSFFERTAUTH</t>
  </si>
  <si>
    <t>PROJET FLORA</t>
  </si>
  <si>
    <t>PSFFERTCHEVAL</t>
  </si>
  <si>
    <t>PSF FERTILISANT CHEVAL</t>
  </si>
  <si>
    <t>PSFFERTPFPF</t>
  </si>
  <si>
    <t>GFR00237</t>
  </si>
  <si>
    <t>FERT - Saint-Jean-de-Monts</t>
  </si>
  <si>
    <t>PSFFERTPFPO</t>
  </si>
  <si>
    <t>PSF PAILLAGE POTAGER</t>
  </si>
  <si>
    <t>PSFFERTPFUNI</t>
  </si>
  <si>
    <t>PSFFERTTAP</t>
  </si>
  <si>
    <t>PSF TERRE A PLANTER</t>
  </si>
  <si>
    <t>PSFFERTTCAC</t>
  </si>
  <si>
    <t>PSFFERTTCAPOT</t>
  </si>
  <si>
    <t>PSF TERREAU POTAGER</t>
  </si>
  <si>
    <t>PSFFERTTGAZ</t>
  </si>
  <si>
    <t>PSF TERRE GAZON</t>
  </si>
  <si>
    <t>PSFFERTTGER</t>
  </si>
  <si>
    <t>PSF TERREAU HORTICOLE ET PF</t>
  </si>
  <si>
    <t>PSFFERTTPLAN</t>
  </si>
  <si>
    <t>PSF TERREAU PLANTATION</t>
  </si>
  <si>
    <t>PSFFERTTPM</t>
  </si>
  <si>
    <t>PSF TERRE PLANTES MED</t>
  </si>
  <si>
    <t>PSFFERTTPV</t>
  </si>
  <si>
    <t>PSF TER. AGRUME ET PLTE VERTE</t>
  </si>
  <si>
    <t>PSFFERTTSEM</t>
  </si>
  <si>
    <t>PSF TERREAU SEMIS</t>
  </si>
  <si>
    <t>PSFFERTTSPDB</t>
  </si>
  <si>
    <t>PSF TERREAU BRUYERE</t>
  </si>
  <si>
    <t>PSFFERTTUNI</t>
  </si>
  <si>
    <t>PSF TERREAU UNIVERSEL</t>
  </si>
  <si>
    <t>PSFFERTTVEG</t>
  </si>
  <si>
    <t>PSF TERRE VEGETALE</t>
  </si>
  <si>
    <t>PSFFERTVEG</t>
  </si>
  <si>
    <t>FERTILISANT 100% VEGETAL</t>
  </si>
  <si>
    <t>PSFNNCOMPLET</t>
  </si>
  <si>
    <t>PSF NO NAME TERREAU COMPLET</t>
  </si>
  <si>
    <t>PSFOBEL3345</t>
  </si>
  <si>
    <t>ENGRAIS LIQ OB 3-3-4,5 OR'ACTI</t>
  </si>
  <si>
    <t>PSFOBITPLAROMD</t>
  </si>
  <si>
    <t>PSF TERREAU PL AROMAT ORBIO DO</t>
  </si>
  <si>
    <t>PSFOBTBONSAI</t>
  </si>
  <si>
    <t>PSF OB TERREAU BONSAI</t>
  </si>
  <si>
    <t>PSFOBTORCHI</t>
  </si>
  <si>
    <t>PSF OB TERREAU ORCHIDEES</t>
  </si>
  <si>
    <t>PSFOBTORNEMPF</t>
  </si>
  <si>
    <t>PSF OB TERREAU PL ORNEMENTALES</t>
  </si>
  <si>
    <t>PSFOBTPOTAGPF</t>
  </si>
  <si>
    <t>PSF OB TERREAU POTAGER PF</t>
  </si>
  <si>
    <t>PSFOBTUNIPF</t>
  </si>
  <si>
    <t>PSF OB TERREAU UNIVERSEL PF</t>
  </si>
  <si>
    <t>SOSIRYL2500</t>
  </si>
  <si>
    <t>DOSE D'OSIRYL 10ML X 250 FR</t>
  </si>
  <si>
    <t>YPOUVFERT01</t>
  </si>
  <si>
    <t>Ouvraison FERT - Prod interne</t>
  </si>
  <si>
    <t>EXPEN</t>
  </si>
  <si>
    <t>kg</t>
  </si>
  <si>
    <t>YPOUVFERT13</t>
  </si>
  <si>
    <t>Ouvraison FERT - Méditourbe</t>
  </si>
  <si>
    <t>YPOUVFERT38</t>
  </si>
  <si>
    <t>Ouvraison FERT - Sorexto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</si>
</sst>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2" x14ac:knownFonts="1">
    <font>
      <sz val="11"/>
      <color theme="1"/>
      <name val="Calibri"/>
      <family val="2"/>
      <scheme val="minor"/>
    </font>
    <font>
      <b/>
      <sz val="16"/>
      <color rgb="FF156082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2"/>
      <color theme="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</font>
    <font>
      <i/>
      <sz val="11"/>
      <color rgb="FF404040"/>
      <name val="Calibri"/>
    </font>
    <font>
      <b/>
      <i/>
      <sz val="11"/>
      <color rgb="FFC00000"/>
      <name val="Calibri"/>
    </font>
    <font>
      <b/>
      <sz val="11"/>
      <color rgb="FF404040"/>
      <name val="Calibri"/>
    </font>
    <font>
      <b/>
      <sz val="11"/>
      <color rgb="FF000000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FC000"/>
      </patternFill>
    </fill>
    <fill>
      <patternFill patternType="solid">
        <fgColor rgb="FF13501B"/>
      </patternFill>
    </fill>
    <fill>
      <patternFill patternType="solid">
        <fgColor rgb="FFFBE3D6"/>
      </patternFill>
    </fill>
    <fill>
      <patternFill patternType="solid">
        <fgColor rgb="FFF6C6AD"/>
      </patternFill>
    </fill>
    <fill>
      <patternFill patternType="solid">
        <fgColor rgb="FF75A67C"/>
      </patternFill>
    </fill>
    <fill>
      <patternFill patternType="solid">
        <fgColor rgb="FFA3C4A7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A6A6A6"/>
      </patternFill>
    </fill>
  </fills>
  <borders count="4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 style="thin">
        <color rgb="FFB0B0B0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0" fillId="2" borderId="0" xfId="0" applyFill="1"/>
    <xf numFmtId="0" fontId="0" fillId="0" borderId="1" xfId="0" applyBorder="1" applyAlignment="1">
      <alignment vertical="top" wrapText="1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5" fillId="9" borderId="0" xfId="0" applyFont="1" applyFill="1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center"/>
    </xf>
    <xf numFmtId="0" fontId="6" fillId="10" borderId="0" xfId="0" applyFont="1" applyFill="1" applyAlignment="1">
      <alignment horizontal="left" vertical="top" wrapText="1"/>
    </xf>
    <xf numFmtId="0" fontId="2" fillId="10" borderId="1" xfId="0" applyFont="1" applyFill="1" applyBorder="1"/>
    <xf numFmtId="0" fontId="0" fillId="9" borderId="0" xfId="0" applyFill="1"/>
    <xf numFmtId="0" fontId="9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7" fillId="4" borderId="0" xfId="0" applyFont="1" applyFill="1" applyAlignment="1">
      <alignment vertical="center" wrapText="1"/>
    </xf>
    <xf numFmtId="0" fontId="10" fillId="2" borderId="0" xfId="0" applyFont="1" applyFill="1" applyAlignment="1">
      <alignment vertical="center" textRotation="90" wrapText="1"/>
    </xf>
    <xf numFmtId="0" fontId="11" fillId="5" borderId="0" xfId="0" applyFont="1" applyFill="1" applyAlignment="1">
      <alignment vertical="center" wrapText="1"/>
    </xf>
    <xf numFmtId="0" fontId="11" fillId="6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3" borderId="0" xfId="0" applyFont="1" applyFill="1" applyAlignment="1">
      <alignment vertical="center" wrapText="1"/>
    </xf>
    <xf numFmtId="10" fontId="0" fillId="0" borderId="0" xfId="0" applyNumberFormat="1"/>
    <xf numFmtId="164" fontId="0" fillId="0" borderId="0" xfId="0" applyNumberFormat="1"/>
    <xf numFmtId="14" fontId="0" fillId="0" borderId="0" xfId="0" applyNumberFormat="1"/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0" fillId="0" borderId="3" xfId="0" applyBorder="1"/>
    <xf numFmtId="0" fontId="3" fillId="4" borderId="1" xfId="0" applyFont="1" applyFill="1" applyBorder="1" applyAlignment="1">
      <alignment horizontal="center" vertical="center" wrapText="1"/>
    </xf>
    <xf numFmtId="0" fontId="0" fillId="0" borderId="2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97D"/>
  </sheetPr>
  <dimension ref="B1:D98"/>
  <sheetViews>
    <sheetView showGridLines="0" workbookViewId="0">
      <pane xSplit="2" ySplit="1" topLeftCell="C91" activePane="bottomRight" state="frozen"/>
      <selection pane="topRight"/>
      <selection pane="bottomLeft"/>
      <selection pane="bottomRight" activeCell="B6" sqref="B6"/>
    </sheetView>
  </sheetViews>
  <sheetFormatPr baseColWidth="10" defaultColWidth="9.109375" defaultRowHeight="14.4" x14ac:dyDescent="0.3"/>
  <cols>
    <col min="1" max="1" width="3" customWidth="1"/>
    <col min="2" max="2" width="118.5546875" customWidth="1"/>
    <col min="3" max="3" width="40" customWidth="1"/>
    <col min="4" max="4" width="30" customWidth="1"/>
  </cols>
  <sheetData>
    <row r="1" spans="2:4" ht="21" customHeight="1" x14ac:dyDescent="0.4">
      <c r="B1" s="1" t="s">
        <v>0</v>
      </c>
    </row>
    <row r="3" spans="2:4" ht="21.9" customHeight="1" x14ac:dyDescent="0.3">
      <c r="B3" s="10" t="s">
        <v>1</v>
      </c>
      <c r="C3" s="16"/>
      <c r="D3" s="16"/>
    </row>
    <row r="4" spans="2:4" ht="30" customHeight="1" x14ac:dyDescent="0.3">
      <c r="B4" s="12" t="s">
        <v>2</v>
      </c>
    </row>
    <row r="5" spans="2:4" ht="30" customHeight="1" x14ac:dyDescent="0.3">
      <c r="B5" s="12" t="s">
        <v>3</v>
      </c>
    </row>
    <row r="6" spans="2:4" ht="30" customHeight="1" x14ac:dyDescent="0.3">
      <c r="B6" s="12" t="s">
        <v>4</v>
      </c>
    </row>
    <row r="7" spans="2:4" ht="22.5" customHeight="1" x14ac:dyDescent="0.3">
      <c r="B7" s="2"/>
    </row>
    <row r="8" spans="2:4" ht="21.9" customHeight="1" x14ac:dyDescent="0.3">
      <c r="B8" s="10" t="s">
        <v>5</v>
      </c>
      <c r="C8" s="16"/>
      <c r="D8" s="16"/>
    </row>
    <row r="9" spans="2:4" ht="30" customHeight="1" x14ac:dyDescent="0.3">
      <c r="B9" s="11" t="s">
        <v>6</v>
      </c>
    </row>
    <row r="10" spans="2:4" ht="30" customHeight="1" x14ac:dyDescent="0.3">
      <c r="B10" s="11" t="s">
        <v>7</v>
      </c>
    </row>
    <row r="11" spans="2:4" ht="30" customHeight="1" x14ac:dyDescent="0.3">
      <c r="B11" s="11" t="s">
        <v>8</v>
      </c>
    </row>
    <row r="12" spans="2:4" ht="30" customHeight="1" x14ac:dyDescent="0.3">
      <c r="B12" s="11" t="s">
        <v>9</v>
      </c>
    </row>
    <row r="13" spans="2:4" ht="30" customHeight="1" x14ac:dyDescent="0.3">
      <c r="B13" s="11" t="s">
        <v>10</v>
      </c>
    </row>
    <row r="14" spans="2:4" ht="45" customHeight="1" x14ac:dyDescent="0.3">
      <c r="B14" s="11" t="s">
        <v>11</v>
      </c>
    </row>
    <row r="15" spans="2:4" ht="22.5" customHeight="1" x14ac:dyDescent="0.3">
      <c r="B15" s="2"/>
    </row>
    <row r="16" spans="2:4" ht="21.75" customHeight="1" x14ac:dyDescent="0.3">
      <c r="B16" s="10" t="s">
        <v>12</v>
      </c>
      <c r="C16" s="16"/>
      <c r="D16" s="16"/>
    </row>
    <row r="17" spans="2:4" x14ac:dyDescent="0.3">
      <c r="B17" s="2" t="s">
        <v>13</v>
      </c>
    </row>
    <row r="18" spans="2:4" x14ac:dyDescent="0.3">
      <c r="B18" s="2" t="s">
        <v>14</v>
      </c>
    </row>
    <row r="19" spans="2:4" x14ac:dyDescent="0.3">
      <c r="B19" s="2"/>
    </row>
    <row r="20" spans="2:4" x14ac:dyDescent="0.3">
      <c r="B20" s="14" t="s">
        <v>15</v>
      </c>
      <c r="C20" s="15"/>
      <c r="D20" s="15"/>
    </row>
    <row r="21" spans="2:4" ht="30" customHeight="1" x14ac:dyDescent="0.3">
      <c r="B21" s="2" t="s">
        <v>16</v>
      </c>
    </row>
    <row r="22" spans="2:4" x14ac:dyDescent="0.3">
      <c r="B22" s="15" t="s">
        <v>17</v>
      </c>
      <c r="C22" s="15" t="s">
        <v>18</v>
      </c>
      <c r="D22" s="15" t="s">
        <v>19</v>
      </c>
    </row>
    <row r="23" spans="2:4" x14ac:dyDescent="0.3">
      <c r="B23" s="4" t="s">
        <v>20</v>
      </c>
      <c r="C23" s="4" t="s">
        <v>21</v>
      </c>
      <c r="D23" s="4" t="s">
        <v>22</v>
      </c>
    </row>
    <row r="24" spans="2:4" x14ac:dyDescent="0.3">
      <c r="B24" s="4" t="s">
        <v>23</v>
      </c>
      <c r="C24" s="4" t="s">
        <v>24</v>
      </c>
      <c r="D24" s="4" t="s">
        <v>25</v>
      </c>
    </row>
    <row r="25" spans="2:4" x14ac:dyDescent="0.3">
      <c r="B25" s="4" t="s">
        <v>26</v>
      </c>
      <c r="C25" s="4" t="s">
        <v>27</v>
      </c>
      <c r="D25" s="4" t="s">
        <v>25</v>
      </c>
    </row>
    <row r="26" spans="2:4" x14ac:dyDescent="0.3">
      <c r="B26" s="4" t="s">
        <v>28</v>
      </c>
      <c r="C26" s="4" t="s">
        <v>29</v>
      </c>
      <c r="D26" s="4" t="s">
        <v>25</v>
      </c>
    </row>
    <row r="27" spans="2:4" x14ac:dyDescent="0.3">
      <c r="B27" s="4" t="s">
        <v>30</v>
      </c>
      <c r="C27" s="4" t="s">
        <v>31</v>
      </c>
      <c r="D27" s="4" t="s">
        <v>25</v>
      </c>
    </row>
    <row r="28" spans="2:4" x14ac:dyDescent="0.3">
      <c r="B28" s="4" t="s">
        <v>32</v>
      </c>
      <c r="C28" s="4" t="s">
        <v>33</v>
      </c>
      <c r="D28" s="4" t="s">
        <v>25</v>
      </c>
    </row>
    <row r="29" spans="2:4" x14ac:dyDescent="0.3">
      <c r="B29" s="4" t="s">
        <v>34</v>
      </c>
      <c r="C29" s="4" t="s">
        <v>35</v>
      </c>
      <c r="D29" s="4" t="s">
        <v>25</v>
      </c>
    </row>
    <row r="30" spans="2:4" x14ac:dyDescent="0.3">
      <c r="B30" s="4" t="s">
        <v>36</v>
      </c>
      <c r="C30" s="4" t="s">
        <v>37</v>
      </c>
      <c r="D30" s="4" t="s">
        <v>25</v>
      </c>
    </row>
    <row r="31" spans="2:4" x14ac:dyDescent="0.3">
      <c r="B31" s="4" t="s">
        <v>38</v>
      </c>
      <c r="C31" s="4" t="s">
        <v>39</v>
      </c>
      <c r="D31" s="4" t="s">
        <v>25</v>
      </c>
    </row>
    <row r="32" spans="2:4" x14ac:dyDescent="0.3">
      <c r="B32" s="4" t="s">
        <v>40</v>
      </c>
      <c r="C32" s="4" t="s">
        <v>41</v>
      </c>
      <c r="D32" s="4" t="s">
        <v>22</v>
      </c>
    </row>
    <row r="33" spans="2:4" x14ac:dyDescent="0.3">
      <c r="B33" s="2"/>
    </row>
    <row r="34" spans="2:4" x14ac:dyDescent="0.3">
      <c r="B34" s="14" t="s">
        <v>42</v>
      </c>
      <c r="C34" s="15"/>
      <c r="D34" s="15"/>
    </row>
    <row r="35" spans="2:4" x14ac:dyDescent="0.3">
      <c r="B35" s="2" t="s">
        <v>43</v>
      </c>
    </row>
    <row r="36" spans="2:4" x14ac:dyDescent="0.3">
      <c r="B36" s="2" t="s">
        <v>44</v>
      </c>
    </row>
    <row r="37" spans="2:4" x14ac:dyDescent="0.3">
      <c r="B37" s="2" t="s">
        <v>45</v>
      </c>
    </row>
    <row r="38" spans="2:4" x14ac:dyDescent="0.3">
      <c r="B38" s="2"/>
    </row>
    <row r="39" spans="2:4" x14ac:dyDescent="0.3">
      <c r="B39" s="15" t="s">
        <v>17</v>
      </c>
      <c r="C39" s="15" t="s">
        <v>18</v>
      </c>
      <c r="D39" s="15" t="s">
        <v>19</v>
      </c>
    </row>
    <row r="40" spans="2:4" x14ac:dyDescent="0.3">
      <c r="B40" s="4" t="s">
        <v>46</v>
      </c>
      <c r="C40" s="4" t="s">
        <v>21</v>
      </c>
      <c r="D40" s="4" t="s">
        <v>22</v>
      </c>
    </row>
    <row r="41" spans="2:4" x14ac:dyDescent="0.3">
      <c r="B41" s="4" t="s">
        <v>47</v>
      </c>
      <c r="C41" s="4" t="s">
        <v>48</v>
      </c>
      <c r="D41" s="4" t="s">
        <v>49</v>
      </c>
    </row>
    <row r="42" spans="2:4" x14ac:dyDescent="0.3">
      <c r="B42" s="4" t="s">
        <v>50</v>
      </c>
      <c r="C42" s="4" t="s">
        <v>51</v>
      </c>
      <c r="D42" s="4" t="s">
        <v>25</v>
      </c>
    </row>
    <row r="43" spans="2:4" x14ac:dyDescent="0.3">
      <c r="B43" s="4" t="s">
        <v>52</v>
      </c>
      <c r="C43" s="4" t="s">
        <v>53</v>
      </c>
      <c r="D43" s="4" t="s">
        <v>25</v>
      </c>
    </row>
    <row r="44" spans="2:4" x14ac:dyDescent="0.3">
      <c r="B44" s="4" t="s">
        <v>54</v>
      </c>
      <c r="C44" s="4" t="s">
        <v>55</v>
      </c>
      <c r="D44" s="4" t="s">
        <v>25</v>
      </c>
    </row>
    <row r="45" spans="2:4" x14ac:dyDescent="0.3">
      <c r="B45" s="4" t="s">
        <v>56</v>
      </c>
      <c r="C45" s="4" t="s">
        <v>57</v>
      </c>
      <c r="D45" s="4" t="s">
        <v>25</v>
      </c>
    </row>
    <row r="46" spans="2:4" x14ac:dyDescent="0.3">
      <c r="B46" s="4" t="s">
        <v>58</v>
      </c>
      <c r="C46" s="4" t="s">
        <v>59</v>
      </c>
      <c r="D46" s="4" t="s">
        <v>25</v>
      </c>
    </row>
    <row r="47" spans="2:4" x14ac:dyDescent="0.3">
      <c r="B47" s="4" t="s">
        <v>60</v>
      </c>
      <c r="C47" s="4" t="s">
        <v>61</v>
      </c>
      <c r="D47" s="4" t="s">
        <v>25</v>
      </c>
    </row>
    <row r="48" spans="2:4" x14ac:dyDescent="0.3">
      <c r="B48" s="4" t="s">
        <v>62</v>
      </c>
      <c r="C48" s="4" t="s">
        <v>63</v>
      </c>
      <c r="D48" s="4" t="s">
        <v>22</v>
      </c>
    </row>
    <row r="49" spans="2:4" x14ac:dyDescent="0.3">
      <c r="B49" s="2"/>
    </row>
    <row r="50" spans="2:4" x14ac:dyDescent="0.3">
      <c r="B50" s="14" t="s">
        <v>64</v>
      </c>
      <c r="C50" s="15"/>
      <c r="D50" s="15"/>
    </row>
    <row r="51" spans="2:4" x14ac:dyDescent="0.3">
      <c r="B51" s="2" t="s">
        <v>65</v>
      </c>
    </row>
    <row r="52" spans="2:4" x14ac:dyDescent="0.3">
      <c r="B52" s="2" t="s">
        <v>66</v>
      </c>
    </row>
    <row r="53" spans="2:4" ht="30" customHeight="1" x14ac:dyDescent="0.3">
      <c r="B53" s="2" t="s">
        <v>67</v>
      </c>
    </row>
    <row r="54" spans="2:4" ht="30" customHeight="1" x14ac:dyDescent="0.3">
      <c r="B54" s="2" t="s">
        <v>68</v>
      </c>
    </row>
    <row r="55" spans="2:4" ht="22.5" customHeight="1" x14ac:dyDescent="0.3">
      <c r="B55" s="2"/>
    </row>
    <row r="56" spans="2:4" ht="21.9" customHeight="1" x14ac:dyDescent="0.3">
      <c r="B56" s="10" t="s">
        <v>69</v>
      </c>
      <c r="C56" s="16"/>
      <c r="D56" s="16"/>
    </row>
    <row r="57" spans="2:4" ht="45" customHeight="1" x14ac:dyDescent="0.3">
      <c r="B57" s="2" t="s">
        <v>70</v>
      </c>
    </row>
    <row r="58" spans="2:4" x14ac:dyDescent="0.3">
      <c r="B58" s="2" t="s">
        <v>71</v>
      </c>
    </row>
    <row r="59" spans="2:4" ht="22.5" customHeight="1" x14ac:dyDescent="0.3">
      <c r="B59" s="2"/>
    </row>
    <row r="60" spans="2:4" ht="21.9" customHeight="1" x14ac:dyDescent="0.3">
      <c r="B60" s="10" t="s">
        <v>72</v>
      </c>
      <c r="C60" s="16"/>
      <c r="D60" s="16"/>
    </row>
    <row r="61" spans="2:4" s="13" customFormat="1" ht="19.5" customHeight="1" x14ac:dyDescent="0.3">
      <c r="B61" s="11" t="s">
        <v>73</v>
      </c>
    </row>
    <row r="62" spans="2:4" s="13" customFormat="1" ht="19.5" customHeight="1" x14ac:dyDescent="0.3">
      <c r="B62" s="11" t="s">
        <v>74</v>
      </c>
    </row>
    <row r="63" spans="2:4" s="13" customFormat="1" ht="19.5" customHeight="1" x14ac:dyDescent="0.3">
      <c r="B63" s="11" t="s">
        <v>75</v>
      </c>
    </row>
    <row r="64" spans="2:4" s="13" customFormat="1" ht="19.5" customHeight="1" x14ac:dyDescent="0.3">
      <c r="B64" s="11" t="s">
        <v>76</v>
      </c>
    </row>
    <row r="65" spans="2:2" s="13" customFormat="1" ht="19.5" customHeight="1" x14ac:dyDescent="0.3">
      <c r="B65" s="11" t="s">
        <v>77</v>
      </c>
    </row>
    <row r="66" spans="2:2" s="13" customFormat="1" ht="19.5" customHeight="1" x14ac:dyDescent="0.3">
      <c r="B66" s="11" t="s">
        <v>78</v>
      </c>
    </row>
    <row r="67" spans="2:2" s="13" customFormat="1" ht="19.5" customHeight="1" x14ac:dyDescent="0.3">
      <c r="B67" s="11" t="s">
        <v>79</v>
      </c>
    </row>
    <row r="68" spans="2:2" s="13" customFormat="1" ht="19.5" customHeight="1" x14ac:dyDescent="0.3">
      <c r="B68" s="11" t="s">
        <v>80</v>
      </c>
    </row>
    <row r="69" spans="2:2" s="13" customFormat="1" ht="19.5" customHeight="1" x14ac:dyDescent="0.3">
      <c r="B69" s="11" t="s">
        <v>81</v>
      </c>
    </row>
    <row r="70" spans="2:2" s="13" customFormat="1" ht="19.5" customHeight="1" x14ac:dyDescent="0.3">
      <c r="B70" s="11" t="s">
        <v>82</v>
      </c>
    </row>
    <row r="71" spans="2:2" s="13" customFormat="1" ht="30" customHeight="1" x14ac:dyDescent="0.3">
      <c r="B71" s="11" t="s">
        <v>83</v>
      </c>
    </row>
    <row r="72" spans="2:2" s="13" customFormat="1" ht="30" customHeight="1" x14ac:dyDescent="0.3">
      <c r="B72" s="11" t="s">
        <v>84</v>
      </c>
    </row>
    <row r="73" spans="2:2" s="13" customFormat="1" ht="19.5" customHeight="1" x14ac:dyDescent="0.3">
      <c r="B73" s="11" t="s">
        <v>85</v>
      </c>
    </row>
    <row r="74" spans="2:2" s="13" customFormat="1" ht="19.5" customHeight="1" x14ac:dyDescent="0.3">
      <c r="B74" s="11" t="s">
        <v>86</v>
      </c>
    </row>
    <row r="75" spans="2:2" s="13" customFormat="1" ht="19.5" customHeight="1" x14ac:dyDescent="0.3">
      <c r="B75" s="11" t="s">
        <v>87</v>
      </c>
    </row>
    <row r="76" spans="2:2" s="13" customFormat="1" ht="19.5" customHeight="1" x14ac:dyDescent="0.3">
      <c r="B76" s="11" t="s">
        <v>88</v>
      </c>
    </row>
    <row r="77" spans="2:2" s="13" customFormat="1" ht="19.5" customHeight="1" x14ac:dyDescent="0.3">
      <c r="B77" s="11" t="s">
        <v>89</v>
      </c>
    </row>
    <row r="78" spans="2:2" s="13" customFormat="1" ht="30" customHeight="1" x14ac:dyDescent="0.3">
      <c r="B78" s="11" t="s">
        <v>90</v>
      </c>
    </row>
    <row r="79" spans="2:2" s="13" customFormat="1" ht="45" customHeight="1" x14ac:dyDescent="0.3">
      <c r="B79" s="11" t="s">
        <v>91</v>
      </c>
    </row>
    <row r="80" spans="2:2" s="13" customFormat="1" ht="30" customHeight="1" x14ac:dyDescent="0.3">
      <c r="B80" s="11" t="s">
        <v>92</v>
      </c>
    </row>
    <row r="81" spans="2:4" s="13" customFormat="1" ht="30" customHeight="1" x14ac:dyDescent="0.3">
      <c r="B81" s="11" t="s">
        <v>93</v>
      </c>
    </row>
    <row r="82" spans="2:4" s="13" customFormat="1" ht="19.5" customHeight="1" x14ac:dyDescent="0.3">
      <c r="B82" s="11" t="s">
        <v>94</v>
      </c>
    </row>
    <row r="83" spans="2:4" s="13" customFormat="1" ht="19.5" customHeight="1" x14ac:dyDescent="0.3">
      <c r="B83" s="11" t="s">
        <v>95</v>
      </c>
    </row>
    <row r="84" spans="2:4" s="13" customFormat="1" ht="30" customHeight="1" x14ac:dyDescent="0.3">
      <c r="B84" s="11" t="s">
        <v>96</v>
      </c>
    </row>
    <row r="85" spans="2:4" s="13" customFormat="1" ht="19.5" customHeight="1" x14ac:dyDescent="0.3">
      <c r="B85" s="11" t="s">
        <v>97</v>
      </c>
    </row>
    <row r="86" spans="2:4" s="13" customFormat="1" ht="19.5" customHeight="1" x14ac:dyDescent="0.3">
      <c r="B86" s="11" t="s">
        <v>98</v>
      </c>
    </row>
    <row r="87" spans="2:4" ht="30" customHeight="1" x14ac:dyDescent="0.3">
      <c r="B87" s="2"/>
    </row>
    <row r="88" spans="2:4" ht="21.9" customHeight="1" x14ac:dyDescent="0.3">
      <c r="B88" s="10" t="s">
        <v>99</v>
      </c>
      <c r="C88" s="16"/>
      <c r="D88" s="16"/>
    </row>
    <row r="89" spans="2:4" s="13" customFormat="1" ht="19.5" customHeight="1" x14ac:dyDescent="0.3">
      <c r="B89" s="11" t="s">
        <v>100</v>
      </c>
    </row>
    <row r="90" spans="2:4" s="13" customFormat="1" ht="19.5" customHeight="1" x14ac:dyDescent="0.3">
      <c r="B90" s="11" t="s">
        <v>101</v>
      </c>
    </row>
    <row r="91" spans="2:4" s="13" customFormat="1" ht="30" customHeight="1" x14ac:dyDescent="0.3">
      <c r="B91" s="11" t="s">
        <v>102</v>
      </c>
    </row>
    <row r="92" spans="2:4" s="13" customFormat="1" ht="30" customHeight="1" x14ac:dyDescent="0.3">
      <c r="B92" s="11" t="s">
        <v>103</v>
      </c>
    </row>
    <row r="93" spans="2:4" s="13" customFormat="1" ht="30" customHeight="1" x14ac:dyDescent="0.3">
      <c r="B93" s="11" t="s">
        <v>104</v>
      </c>
    </row>
    <row r="94" spans="2:4" s="13" customFormat="1" ht="19.5" customHeight="1" x14ac:dyDescent="0.3">
      <c r="B94" s="11" t="s">
        <v>105</v>
      </c>
    </row>
    <row r="95" spans="2:4" s="13" customFormat="1" ht="19.5" customHeight="1" x14ac:dyDescent="0.3">
      <c r="B95" s="11" t="s">
        <v>106</v>
      </c>
    </row>
    <row r="96" spans="2:4" s="13" customFormat="1" ht="19.5" customHeight="1" x14ac:dyDescent="0.3">
      <c r="B96" s="11" t="s">
        <v>107</v>
      </c>
    </row>
    <row r="97" spans="2:2" s="13" customFormat="1" ht="19.5" customHeight="1" x14ac:dyDescent="0.3">
      <c r="B97" s="11" t="s">
        <v>108</v>
      </c>
    </row>
    <row r="98" spans="2:2" s="13" customFormat="1" ht="19.5" customHeight="1" x14ac:dyDescent="0.3">
      <c r="B98" s="11" t="s">
        <v>109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497D"/>
  </sheetPr>
  <dimension ref="A1:G18"/>
  <sheetViews>
    <sheetView showGridLines="0" workbookViewId="0">
      <selection activeCell="B13" sqref="B13"/>
    </sheetView>
  </sheetViews>
  <sheetFormatPr baseColWidth="10" defaultColWidth="9.109375" defaultRowHeight="14.4" x14ac:dyDescent="0.3"/>
  <cols>
    <col min="1" max="1" width="10" customWidth="1"/>
    <col min="2" max="2" width="60" customWidth="1"/>
    <col min="3" max="3" width="3" customWidth="1"/>
    <col min="4" max="4" width="10" customWidth="1"/>
    <col min="5" max="5" width="60" customWidth="1"/>
    <col min="6" max="6" width="3" customWidth="1"/>
    <col min="7" max="7" width="18" customWidth="1"/>
  </cols>
  <sheetData>
    <row r="1" spans="1:7" x14ac:dyDescent="0.3">
      <c r="A1" t="s">
        <v>110</v>
      </c>
      <c r="B1" t="s">
        <v>111</v>
      </c>
    </row>
    <row r="2" spans="1:7" x14ac:dyDescent="0.3">
      <c r="A2" t="s">
        <v>112</v>
      </c>
      <c r="B2" t="s">
        <v>113</v>
      </c>
    </row>
    <row r="4" spans="1:7" x14ac:dyDescent="0.3">
      <c r="A4" s="30" t="s">
        <v>114</v>
      </c>
      <c r="B4" s="31"/>
      <c r="D4" s="30" t="s">
        <v>115</v>
      </c>
      <c r="E4" s="31"/>
      <c r="F4" s="2"/>
      <c r="G4" s="2"/>
    </row>
    <row r="5" spans="1:7" x14ac:dyDescent="0.3">
      <c r="A5" s="5" t="s">
        <v>116</v>
      </c>
      <c r="B5" s="9" t="s">
        <v>117</v>
      </c>
      <c r="D5" s="5" t="s">
        <v>116</v>
      </c>
      <c r="E5" s="9" t="s">
        <v>117</v>
      </c>
      <c r="F5" s="2"/>
      <c r="G5" s="2"/>
    </row>
    <row r="6" spans="1:7" ht="30" customHeight="1" x14ac:dyDescent="0.3">
      <c r="A6" s="6" t="s">
        <v>118</v>
      </c>
      <c r="B6" s="8" t="s">
        <v>119</v>
      </c>
      <c r="D6" s="6" t="s">
        <v>118</v>
      </c>
      <c r="E6" s="8" t="s">
        <v>120</v>
      </c>
      <c r="F6" s="2"/>
      <c r="G6" s="2"/>
    </row>
    <row r="7" spans="1:7" ht="30" customHeight="1" x14ac:dyDescent="0.3">
      <c r="A7" s="6" t="s">
        <v>121</v>
      </c>
      <c r="B7" s="8" t="s">
        <v>122</v>
      </c>
      <c r="D7" s="6" t="s">
        <v>121</v>
      </c>
      <c r="E7" s="8" t="s">
        <v>123</v>
      </c>
      <c r="F7" s="2"/>
      <c r="G7" s="2"/>
    </row>
    <row r="8" spans="1:7" ht="30" customHeight="1" x14ac:dyDescent="0.3">
      <c r="A8" s="6" t="s">
        <v>124</v>
      </c>
      <c r="B8" s="8" t="s">
        <v>125</v>
      </c>
      <c r="D8" s="6" t="s">
        <v>124</v>
      </c>
      <c r="E8" s="8" t="s">
        <v>126</v>
      </c>
      <c r="F8" s="2"/>
      <c r="G8" s="2"/>
    </row>
    <row r="9" spans="1:7" ht="30" customHeight="1" x14ac:dyDescent="0.3">
      <c r="A9" s="6" t="s">
        <v>127</v>
      </c>
      <c r="B9" s="8" t="s">
        <v>128</v>
      </c>
      <c r="D9" s="6" t="s">
        <v>127</v>
      </c>
      <c r="E9" s="8" t="s">
        <v>129</v>
      </c>
      <c r="F9" s="2"/>
      <c r="G9" s="2"/>
    </row>
    <row r="10" spans="1:7" ht="30" customHeight="1" x14ac:dyDescent="0.3">
      <c r="A10" s="6" t="s">
        <v>130</v>
      </c>
      <c r="B10" s="8" t="s">
        <v>131</v>
      </c>
      <c r="D10" s="6" t="s">
        <v>130</v>
      </c>
      <c r="E10" s="8" t="s">
        <v>132</v>
      </c>
      <c r="F10" s="2"/>
      <c r="G10" s="2"/>
    </row>
    <row r="12" spans="1:7" x14ac:dyDescent="0.3">
      <c r="A12" s="32" t="s">
        <v>133</v>
      </c>
      <c r="B12" s="33"/>
      <c r="D12" s="32" t="s">
        <v>134</v>
      </c>
      <c r="E12" s="33"/>
      <c r="F12" s="2"/>
      <c r="G12" s="2"/>
    </row>
    <row r="13" spans="1:7" ht="30" customHeight="1" x14ac:dyDescent="0.3">
      <c r="A13" s="5" t="s">
        <v>116</v>
      </c>
      <c r="B13" s="9" t="s">
        <v>117</v>
      </c>
      <c r="D13" s="5" t="s">
        <v>135</v>
      </c>
      <c r="E13" s="7" t="s">
        <v>136</v>
      </c>
      <c r="F13" s="2"/>
      <c r="G13" s="2"/>
    </row>
    <row r="14" spans="1:7" ht="30" customHeight="1" x14ac:dyDescent="0.3">
      <c r="A14" s="6" t="s">
        <v>118</v>
      </c>
      <c r="B14" s="8" t="s">
        <v>137</v>
      </c>
      <c r="D14" s="6" t="s">
        <v>138</v>
      </c>
      <c r="E14" s="8" t="s">
        <v>139</v>
      </c>
      <c r="F14" s="2"/>
      <c r="G14" s="2"/>
    </row>
    <row r="15" spans="1:7" ht="30" customHeight="1" x14ac:dyDescent="0.3">
      <c r="A15" s="6" t="s">
        <v>121</v>
      </c>
      <c r="B15" s="8" t="s">
        <v>140</v>
      </c>
      <c r="D15" s="6" t="s">
        <v>141</v>
      </c>
      <c r="E15" s="8" t="s">
        <v>142</v>
      </c>
      <c r="F15" s="2"/>
      <c r="G15" s="2"/>
    </row>
    <row r="16" spans="1:7" ht="30" customHeight="1" x14ac:dyDescent="0.3">
      <c r="A16" s="6" t="s">
        <v>124</v>
      </c>
      <c r="B16" s="8" t="s">
        <v>143</v>
      </c>
      <c r="D16" s="6" t="s">
        <v>144</v>
      </c>
      <c r="E16" s="8" t="s">
        <v>145</v>
      </c>
      <c r="F16" s="2"/>
      <c r="G16" s="2"/>
    </row>
    <row r="17" spans="1:7" ht="30" customHeight="1" x14ac:dyDescent="0.3">
      <c r="A17" s="6" t="s">
        <v>127</v>
      </c>
      <c r="B17" s="8" t="s">
        <v>146</v>
      </c>
      <c r="D17" s="6" t="s">
        <v>147</v>
      </c>
      <c r="E17" s="8" t="s">
        <v>148</v>
      </c>
      <c r="F17" s="2"/>
      <c r="G17" s="2"/>
    </row>
    <row r="18" spans="1:7" x14ac:dyDescent="0.3">
      <c r="A18" s="6" t="s">
        <v>130</v>
      </c>
      <c r="B18" s="8" t="s">
        <v>149</v>
      </c>
      <c r="D18" s="6" t="s">
        <v>150</v>
      </c>
      <c r="E18" s="8" t="s">
        <v>151</v>
      </c>
      <c r="F18" s="2"/>
      <c r="G18" s="2"/>
    </row>
  </sheetData>
  <mergeCells count="4">
    <mergeCell ref="A4:B4"/>
    <mergeCell ref="D4:E4"/>
    <mergeCell ref="D12:E12"/>
    <mergeCell ref="A12:B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3501B"/>
    <outlinePr summaryRight="0"/>
  </sheetPr>
  <dimension ref="A1:AX219"/>
  <sheetViews>
    <sheetView workbookViewId="0">
      <pane xSplit="2" ySplit="2" topLeftCell="AT3" activePane="bottomRight" state="frozen"/>
      <selection pane="topRight"/>
      <selection pane="bottomLeft"/>
      <selection pane="bottomRight" activeCell="AT11" sqref="AT11"/>
    </sheetView>
  </sheetViews>
  <sheetFormatPr baseColWidth="10" defaultColWidth="8.88671875" defaultRowHeight="14.4" outlineLevelCol="1" x14ac:dyDescent="0.3"/>
  <cols>
    <col min="1" max="1" width="18" customWidth="1"/>
    <col min="2" max="2" width="40" customWidth="1"/>
    <col min="3" max="3" width="15" customWidth="1" outlineLevel="1"/>
    <col min="4" max="4" width="27" customWidth="1" outlineLevel="1"/>
    <col min="5" max="5" width="15" customWidth="1" outlineLevel="1"/>
    <col min="6" max="6" width="37" customWidth="1" outlineLevel="1"/>
    <col min="7" max="7" width="15" customWidth="1" outlineLevel="1"/>
    <col min="8" max="8" width="12" customWidth="1" outlineLevel="1"/>
    <col min="9" max="9" width="17" customWidth="1" outlineLevel="1"/>
    <col min="10" max="10" width="14" customWidth="1" outlineLevel="1"/>
    <col min="11" max="11" width="19" customWidth="1" outlineLevel="1"/>
    <col min="12" max="12" width="12" customWidth="1" outlineLevel="1"/>
    <col min="13" max="13" width="3.44140625" customWidth="1"/>
    <col min="14" max="14" width="24" customWidth="1" outlineLevel="1"/>
    <col min="15" max="15" width="20" customWidth="1" outlineLevel="1"/>
    <col min="16" max="16" width="28" customWidth="1" outlineLevel="1"/>
    <col min="17" max="17" width="20" customWidth="1" outlineLevel="1"/>
    <col min="18" max="18" width="19" customWidth="1" outlineLevel="1"/>
    <col min="19" max="20" width="14" customWidth="1" outlineLevel="1"/>
    <col min="21" max="21" width="19" customWidth="1" outlineLevel="1"/>
    <col min="22" max="22" width="21" customWidth="1" outlineLevel="1"/>
    <col min="23" max="23" width="30" customWidth="1" outlineLevel="1"/>
    <col min="24" max="24" width="3.44140625" customWidth="1"/>
    <col min="25" max="25" width="38" customWidth="1" outlineLevel="1"/>
    <col min="26" max="26" width="33" customWidth="1" outlineLevel="1"/>
    <col min="27" max="27" width="28" customWidth="1" outlineLevel="1"/>
    <col min="28" max="28" width="35" customWidth="1" outlineLevel="1"/>
    <col min="29" max="29" width="28" customWidth="1" outlineLevel="1"/>
    <col min="30" max="30" width="31" customWidth="1" outlineLevel="1"/>
    <col min="31" max="31" width="32" customWidth="1" outlineLevel="1"/>
    <col min="32" max="32" width="31" customWidth="1" outlineLevel="1"/>
    <col min="33" max="33" width="33" customWidth="1" outlineLevel="1"/>
    <col min="34" max="34" width="29" customWidth="1" outlineLevel="1"/>
    <col min="35" max="35" width="32" customWidth="1" outlineLevel="1"/>
    <col min="36" max="36" width="33" customWidth="1" outlineLevel="1"/>
    <col min="37" max="37" width="32" customWidth="1" outlineLevel="1"/>
    <col min="38" max="38" width="34" customWidth="1" outlineLevel="1"/>
    <col min="39" max="39" width="35" customWidth="1" outlineLevel="1"/>
    <col min="40" max="40" width="32" customWidth="1" outlineLevel="1"/>
    <col min="41" max="41" width="26" customWidth="1" outlineLevel="1"/>
    <col min="42" max="42" width="24" customWidth="1" outlineLevel="1"/>
    <col min="43" max="44" width="25" customWidth="1" outlineLevel="1"/>
    <col min="45" max="45" width="40" customWidth="1" outlineLevel="1"/>
    <col min="46" max="46" width="40" customWidth="1"/>
    <col min="47" max="47" width="25" customWidth="1"/>
    <col min="48" max="48" width="3.44140625" customWidth="1"/>
    <col min="49" max="49" width="40" customWidth="1"/>
    <col min="50" max="50" width="29" customWidth="1"/>
  </cols>
  <sheetData>
    <row r="1" spans="1:50" ht="30" customHeight="1" x14ac:dyDescent="0.3">
      <c r="A1" s="17" t="s">
        <v>152</v>
      </c>
      <c r="B1" s="17" t="s">
        <v>153</v>
      </c>
      <c r="C1" s="17" t="s">
        <v>153</v>
      </c>
      <c r="D1" s="17" t="s">
        <v>153</v>
      </c>
      <c r="E1" s="17" t="s">
        <v>153</v>
      </c>
      <c r="F1" s="17" t="s">
        <v>153</v>
      </c>
      <c r="G1" s="18"/>
      <c r="H1" s="17" t="s">
        <v>153</v>
      </c>
      <c r="I1" s="17" t="s">
        <v>153</v>
      </c>
      <c r="J1" s="17" t="s">
        <v>153</v>
      </c>
      <c r="K1" s="17" t="s">
        <v>153</v>
      </c>
      <c r="L1" s="17" t="s">
        <v>153</v>
      </c>
      <c r="M1" s="18"/>
      <c r="N1" s="17" t="s">
        <v>154</v>
      </c>
      <c r="O1" s="17" t="s">
        <v>154</v>
      </c>
      <c r="P1" s="17" t="s">
        <v>154</v>
      </c>
      <c r="Q1" s="17" t="s">
        <v>154</v>
      </c>
      <c r="R1" s="17" t="s">
        <v>154</v>
      </c>
      <c r="S1" s="17" t="s">
        <v>154</v>
      </c>
      <c r="T1" s="18"/>
      <c r="U1" s="17" t="s">
        <v>154</v>
      </c>
      <c r="V1" s="17" t="s">
        <v>154</v>
      </c>
      <c r="W1" s="17" t="s">
        <v>154</v>
      </c>
      <c r="X1" s="18"/>
      <c r="Y1" s="17" t="s">
        <v>155</v>
      </c>
      <c r="Z1" s="17" t="s">
        <v>155</v>
      </c>
      <c r="AA1" s="17" t="s">
        <v>156</v>
      </c>
      <c r="AB1" s="17" t="s">
        <v>156</v>
      </c>
      <c r="AC1" s="17" t="s">
        <v>156</v>
      </c>
      <c r="AD1" s="18"/>
      <c r="AE1" s="18"/>
      <c r="AF1" s="18"/>
      <c r="AG1" s="18"/>
      <c r="AH1" s="17" t="s">
        <v>157</v>
      </c>
      <c r="AI1" s="18"/>
      <c r="AJ1" s="18"/>
      <c r="AK1" s="18"/>
      <c r="AL1" s="18"/>
      <c r="AM1" s="17" t="s">
        <v>157</v>
      </c>
      <c r="AN1" s="18"/>
      <c r="AO1" s="18"/>
      <c r="AP1" s="18"/>
      <c r="AQ1" s="18"/>
      <c r="AR1" s="18"/>
      <c r="AS1" s="18" t="s">
        <v>158</v>
      </c>
      <c r="AT1" s="18" t="s">
        <v>158</v>
      </c>
      <c r="AU1" s="17" t="s">
        <v>155</v>
      </c>
      <c r="AV1" s="18"/>
      <c r="AW1" s="18" t="s">
        <v>158</v>
      </c>
      <c r="AX1" s="18" t="s">
        <v>158</v>
      </c>
    </row>
    <row r="2" spans="1:50" ht="60" customHeight="1" x14ac:dyDescent="0.3">
      <c r="A2" s="19" t="s">
        <v>159</v>
      </c>
      <c r="B2" s="19" t="s">
        <v>160</v>
      </c>
      <c r="C2" s="19" t="s">
        <v>161</v>
      </c>
      <c r="D2" s="19" t="s">
        <v>162</v>
      </c>
      <c r="E2" s="19" t="s">
        <v>163</v>
      </c>
      <c r="F2" s="19" t="s">
        <v>164</v>
      </c>
      <c r="G2" s="19" t="s">
        <v>165</v>
      </c>
      <c r="H2" s="19" t="s">
        <v>166</v>
      </c>
      <c r="I2" s="19" t="s">
        <v>167</v>
      </c>
      <c r="J2" s="19" t="s">
        <v>168</v>
      </c>
      <c r="K2" s="19" t="s">
        <v>169</v>
      </c>
      <c r="L2" s="19" t="s">
        <v>170</v>
      </c>
      <c r="M2" s="20" t="s">
        <v>171</v>
      </c>
      <c r="N2" s="21" t="s">
        <v>24</v>
      </c>
      <c r="O2" s="21" t="s">
        <v>27</v>
      </c>
      <c r="P2" s="21" t="s">
        <v>29</v>
      </c>
      <c r="Q2" s="21" t="s">
        <v>31</v>
      </c>
      <c r="R2" s="21" t="s">
        <v>172</v>
      </c>
      <c r="S2" s="21" t="s">
        <v>33</v>
      </c>
      <c r="T2" s="21" t="s">
        <v>35</v>
      </c>
      <c r="U2" s="21" t="s">
        <v>37</v>
      </c>
      <c r="V2" s="21" t="s">
        <v>41</v>
      </c>
      <c r="W2" s="21" t="s">
        <v>39</v>
      </c>
      <c r="X2" s="20" t="s">
        <v>173</v>
      </c>
      <c r="Y2" s="22" t="s">
        <v>48</v>
      </c>
      <c r="Z2" s="22" t="s">
        <v>51</v>
      </c>
      <c r="AA2" s="22" t="s">
        <v>53</v>
      </c>
      <c r="AB2" s="22" t="s">
        <v>55</v>
      </c>
      <c r="AC2" s="22" t="s">
        <v>174</v>
      </c>
      <c r="AD2" s="22" t="s">
        <v>175</v>
      </c>
      <c r="AE2" s="22" t="s">
        <v>176</v>
      </c>
      <c r="AF2" s="22" t="s">
        <v>177</v>
      </c>
      <c r="AG2" s="22" t="s">
        <v>63</v>
      </c>
      <c r="AH2" s="22" t="s">
        <v>57</v>
      </c>
      <c r="AI2" s="22" t="s">
        <v>178</v>
      </c>
      <c r="AJ2" s="22" t="s">
        <v>179</v>
      </c>
      <c r="AK2" s="22" t="s">
        <v>180</v>
      </c>
      <c r="AL2" s="22" t="s">
        <v>181</v>
      </c>
      <c r="AM2" s="22" t="s">
        <v>59</v>
      </c>
      <c r="AN2" s="22" t="s">
        <v>61</v>
      </c>
      <c r="AO2" s="22" t="s">
        <v>182</v>
      </c>
      <c r="AP2" s="22" t="s">
        <v>183</v>
      </c>
      <c r="AQ2" s="22" t="s">
        <v>184</v>
      </c>
      <c r="AR2" s="22" t="s">
        <v>185</v>
      </c>
      <c r="AS2" s="23" t="s">
        <v>186</v>
      </c>
      <c r="AT2" s="23" t="s">
        <v>187</v>
      </c>
      <c r="AU2" s="22" t="s">
        <v>188</v>
      </c>
      <c r="AV2" s="20" t="s">
        <v>189</v>
      </c>
      <c r="AW2" s="24" t="s">
        <v>190</v>
      </c>
      <c r="AX2" s="24" t="s">
        <v>191</v>
      </c>
    </row>
    <row r="3" spans="1:50" x14ac:dyDescent="0.3">
      <c r="A3" t="s">
        <v>192</v>
      </c>
      <c r="B3" t="s">
        <v>193</v>
      </c>
      <c r="C3" t="s">
        <v>194</v>
      </c>
      <c r="D3" t="s">
        <v>195</v>
      </c>
      <c r="E3" t="s">
        <v>196</v>
      </c>
      <c r="F3" t="s">
        <v>197</v>
      </c>
      <c r="G3">
        <v>12</v>
      </c>
      <c r="H3">
        <v>1</v>
      </c>
      <c r="I3" t="s">
        <v>198</v>
      </c>
      <c r="J3">
        <v>1.1000000000000001</v>
      </c>
      <c r="K3" t="s">
        <v>198</v>
      </c>
      <c r="L3" t="s">
        <v>199</v>
      </c>
      <c r="M3" s="3"/>
      <c r="R3" t="s">
        <v>200</v>
      </c>
      <c r="S3" s="25"/>
      <c r="T3" s="26"/>
      <c r="U3" s="27"/>
      <c r="V3" t="s">
        <v>25</v>
      </c>
      <c r="W3" t="s">
        <v>201</v>
      </c>
      <c r="X3" s="3"/>
      <c r="AC3" t="s">
        <v>202</v>
      </c>
      <c r="AF3" t="s">
        <v>203</v>
      </c>
      <c r="AK3" t="s">
        <v>200</v>
      </c>
      <c r="AM3" s="25"/>
      <c r="AO3" s="25">
        <v>0</v>
      </c>
      <c r="AP3" s="26"/>
      <c r="AQ3" s="26"/>
      <c r="AR3" s="26"/>
      <c r="AS3" s="26" t="str">
        <f t="shared" ref="AS3:AS66" si="0">IF(COUNT(AP3,AQ3,AR3)=0,"",ROUND(AVERAGE(AP3,AQ3,AR3),3))</f>
        <v/>
      </c>
      <c r="AT3" t="str">
        <f t="shared" ref="AT3:AT66" si="1">IF(AJ3="","",ROUND(AJ3*IF(H3="",0,H3)*(1+IF(AM3="",0,AM3)),5))</f>
        <v/>
      </c>
      <c r="AU3" t="s">
        <v>200</v>
      </c>
      <c r="AV3" s="3"/>
      <c r="AW3" t="str">
        <f t="shared" ref="AW3:AW66" si="2">IF(AND(A3&lt;&gt;"",E3=""),"Supplier code empty (High);","")&amp;IF(AND(S3&lt;&gt;"",OR(S3&gt;1,S3&lt;0)),"Incorrect PDS value (High);",IF(AND(S3&lt;&gt;"",S3&gt;0.5),"High PDS value (Medium);",""))&amp;IF(AND(T3&lt;&gt;"",OR(T3&gt;5,T3&lt;1)),"Incorrect DQR value (High);",IF(AND(T3&lt;&gt;"",T3&gt;4),"Incorrect DQR value (Medium);",IF(AND(T3&lt;&gt;"",T3&gt;3),"Incorrect DQR value (Low);","")))&amp;IF(AND(Q3&lt;&gt;"",OR(Q3&lt;=0,Q3&gt;100)),"Unusual PCF value might be wrong (High);","")&amp;IF(AND(AO3&lt;&gt;"",OR(AO3&gt;1,AO3&lt;0)),"Incorrect PDS value (High);",IF(AND(AO3&lt;&gt;"",AO3&gt;0.5),"High PDS value (Medium);",""))&amp;IF(AND(AS3&lt;&gt;"",OR(AS3&gt;5,AS3&lt;1)),"Incorrect DQR value (High);",IF(AND(AS3&lt;&gt;"",AS3&gt;4),"Incorrect DQR value (Medium);",IF(AND(AS3&lt;&gt;"",AS3&gt;3),"Incorrect DQR value (Low);","")))&amp;IF(AND(AM3&lt;&gt;"",OR(AM3&gt;1,AM3&lt;0)),"Incorrect scrap rate (High);",IF(AND(A3&lt;&gt;"",AM3=0),"No scrap rate (No impact);",""))&amp;""</f>
        <v>No scrap rate (No impact);</v>
      </c>
    </row>
    <row r="4" spans="1:50" x14ac:dyDescent="0.3">
      <c r="A4" t="s">
        <v>204</v>
      </c>
      <c r="B4" t="s">
        <v>205</v>
      </c>
      <c r="C4" t="s">
        <v>194</v>
      </c>
      <c r="D4" t="s">
        <v>195</v>
      </c>
      <c r="E4" t="s">
        <v>196</v>
      </c>
      <c r="F4" t="s">
        <v>197</v>
      </c>
      <c r="G4">
        <v>12</v>
      </c>
      <c r="H4">
        <v>1</v>
      </c>
      <c r="I4" t="s">
        <v>198</v>
      </c>
      <c r="J4">
        <v>1.1000000000000001</v>
      </c>
      <c r="K4" t="s">
        <v>198</v>
      </c>
      <c r="L4" t="s">
        <v>199</v>
      </c>
      <c r="M4" s="3"/>
      <c r="R4" t="s">
        <v>200</v>
      </c>
      <c r="S4" s="25"/>
      <c r="T4" s="26"/>
      <c r="U4" s="27"/>
      <c r="V4" t="s">
        <v>25</v>
      </c>
      <c r="W4" t="s">
        <v>201</v>
      </c>
      <c r="X4" s="3"/>
      <c r="AC4" t="s">
        <v>202</v>
      </c>
      <c r="AF4" t="s">
        <v>203</v>
      </c>
      <c r="AK4" t="s">
        <v>200</v>
      </c>
      <c r="AM4" s="25"/>
      <c r="AO4" s="25">
        <v>0</v>
      </c>
      <c r="AP4" s="26"/>
      <c r="AQ4" s="26"/>
      <c r="AR4" s="26"/>
      <c r="AS4" s="26" t="str">
        <f t="shared" si="0"/>
        <v/>
      </c>
      <c r="AT4" t="str">
        <f t="shared" si="1"/>
        <v/>
      </c>
      <c r="AU4" t="s">
        <v>200</v>
      </c>
      <c r="AV4" s="3"/>
      <c r="AW4" t="str">
        <f t="shared" si="2"/>
        <v>No scrap rate (No impact);</v>
      </c>
    </row>
    <row r="5" spans="1:50" x14ac:dyDescent="0.3">
      <c r="A5" t="s">
        <v>206</v>
      </c>
      <c r="B5" t="s">
        <v>207</v>
      </c>
      <c r="C5" t="s">
        <v>194</v>
      </c>
      <c r="D5" t="s">
        <v>195</v>
      </c>
      <c r="E5" t="s">
        <v>196</v>
      </c>
      <c r="F5" t="s">
        <v>197</v>
      </c>
      <c r="G5">
        <v>12</v>
      </c>
      <c r="H5">
        <v>1</v>
      </c>
      <c r="I5" t="s">
        <v>198</v>
      </c>
      <c r="J5">
        <v>1.0720000000000001</v>
      </c>
      <c r="K5" t="s">
        <v>198</v>
      </c>
      <c r="L5" t="s">
        <v>199</v>
      </c>
      <c r="M5" s="3"/>
      <c r="R5" t="s">
        <v>200</v>
      </c>
      <c r="S5" s="25"/>
      <c r="T5" s="26"/>
      <c r="U5" s="27"/>
      <c r="V5" t="s">
        <v>25</v>
      </c>
      <c r="W5" t="s">
        <v>201</v>
      </c>
      <c r="X5" s="3"/>
      <c r="AC5" t="s">
        <v>202</v>
      </c>
      <c r="AF5" t="s">
        <v>203</v>
      </c>
      <c r="AK5" t="s">
        <v>200</v>
      </c>
      <c r="AM5" s="25"/>
      <c r="AO5" s="25">
        <v>0</v>
      </c>
      <c r="AP5" s="26"/>
      <c r="AQ5" s="26"/>
      <c r="AR5" s="26"/>
      <c r="AS5" s="26" t="str">
        <f t="shared" si="0"/>
        <v/>
      </c>
      <c r="AT5" t="str">
        <f t="shared" si="1"/>
        <v/>
      </c>
      <c r="AU5" t="s">
        <v>200</v>
      </c>
      <c r="AV5" s="3"/>
      <c r="AW5" t="str">
        <f t="shared" si="2"/>
        <v>No scrap rate (No impact);</v>
      </c>
    </row>
    <row r="6" spans="1:50" x14ac:dyDescent="0.3">
      <c r="A6" t="s">
        <v>208</v>
      </c>
      <c r="B6" t="s">
        <v>209</v>
      </c>
      <c r="C6" t="s">
        <v>194</v>
      </c>
      <c r="D6" t="s">
        <v>195</v>
      </c>
      <c r="E6" t="s">
        <v>196</v>
      </c>
      <c r="F6" t="s">
        <v>197</v>
      </c>
      <c r="G6">
        <v>4</v>
      </c>
      <c r="H6">
        <v>5</v>
      </c>
      <c r="I6" t="s">
        <v>198</v>
      </c>
      <c r="J6">
        <v>5.2</v>
      </c>
      <c r="K6" t="s">
        <v>198</v>
      </c>
      <c r="L6" t="s">
        <v>199</v>
      </c>
      <c r="M6" s="3"/>
      <c r="R6" t="s">
        <v>200</v>
      </c>
      <c r="S6" s="25"/>
      <c r="T6" s="26"/>
      <c r="U6" s="27"/>
      <c r="V6" t="s">
        <v>25</v>
      </c>
      <c r="W6" t="s">
        <v>201</v>
      </c>
      <c r="X6" s="3"/>
      <c r="AC6" t="s">
        <v>202</v>
      </c>
      <c r="AF6" t="s">
        <v>203</v>
      </c>
      <c r="AK6" t="s">
        <v>200</v>
      </c>
      <c r="AM6" s="25"/>
      <c r="AO6" s="25">
        <v>0</v>
      </c>
      <c r="AP6" s="26"/>
      <c r="AQ6" s="26"/>
      <c r="AR6" s="26"/>
      <c r="AS6" s="26" t="str">
        <f t="shared" si="0"/>
        <v/>
      </c>
      <c r="AT6" t="str">
        <f t="shared" si="1"/>
        <v/>
      </c>
      <c r="AU6" t="s">
        <v>200</v>
      </c>
      <c r="AV6" s="3"/>
      <c r="AW6" t="str">
        <f t="shared" si="2"/>
        <v>No scrap rate (No impact);</v>
      </c>
    </row>
    <row r="7" spans="1:50" x14ac:dyDescent="0.3">
      <c r="A7" t="s">
        <v>210</v>
      </c>
      <c r="B7" t="s">
        <v>211</v>
      </c>
      <c r="C7" t="s">
        <v>212</v>
      </c>
      <c r="D7" t="s">
        <v>213</v>
      </c>
      <c r="E7" t="s">
        <v>214</v>
      </c>
      <c r="F7" t="s">
        <v>215</v>
      </c>
      <c r="G7">
        <v>2</v>
      </c>
      <c r="H7">
        <v>5</v>
      </c>
      <c r="I7" t="s">
        <v>198</v>
      </c>
      <c r="J7">
        <v>5.14</v>
      </c>
      <c r="K7" t="s">
        <v>198</v>
      </c>
      <c r="L7" t="s">
        <v>199</v>
      </c>
      <c r="M7" s="3"/>
      <c r="R7" t="s">
        <v>200</v>
      </c>
      <c r="S7" s="25"/>
      <c r="T7" s="26"/>
      <c r="U7" s="27"/>
      <c r="V7" t="s">
        <v>25</v>
      </c>
      <c r="W7" t="s">
        <v>201</v>
      </c>
      <c r="X7" s="3"/>
      <c r="AC7" t="s">
        <v>202</v>
      </c>
      <c r="AF7" t="s">
        <v>203</v>
      </c>
      <c r="AK7" t="s">
        <v>200</v>
      </c>
      <c r="AM7" s="25"/>
      <c r="AO7" s="25">
        <v>0</v>
      </c>
      <c r="AP7" s="26"/>
      <c r="AQ7" s="26"/>
      <c r="AR7" s="26"/>
      <c r="AS7" s="26" t="str">
        <f t="shared" si="0"/>
        <v/>
      </c>
      <c r="AT7" t="str">
        <f t="shared" si="1"/>
        <v/>
      </c>
      <c r="AU7" t="s">
        <v>200</v>
      </c>
      <c r="AV7" s="3"/>
      <c r="AW7" t="str">
        <f t="shared" si="2"/>
        <v>No scrap rate (No impact);</v>
      </c>
    </row>
    <row r="8" spans="1:50" x14ac:dyDescent="0.3">
      <c r="A8" t="s">
        <v>216</v>
      </c>
      <c r="B8" t="s">
        <v>217</v>
      </c>
      <c r="C8" t="s">
        <v>194</v>
      </c>
      <c r="D8" t="s">
        <v>195</v>
      </c>
      <c r="E8" t="s">
        <v>196</v>
      </c>
      <c r="F8" t="s">
        <v>197</v>
      </c>
      <c r="G8">
        <v>8</v>
      </c>
      <c r="H8">
        <v>1.5</v>
      </c>
      <c r="I8" t="s">
        <v>198</v>
      </c>
      <c r="J8">
        <v>1.65</v>
      </c>
      <c r="K8" t="s">
        <v>198</v>
      </c>
      <c r="L8" t="s">
        <v>199</v>
      </c>
      <c r="M8" s="3"/>
      <c r="R8" t="s">
        <v>200</v>
      </c>
      <c r="S8" s="25"/>
      <c r="T8" s="26"/>
      <c r="U8" s="27"/>
      <c r="V8" t="s">
        <v>25</v>
      </c>
      <c r="W8" t="s">
        <v>201</v>
      </c>
      <c r="X8" s="3"/>
      <c r="AC8" t="s">
        <v>202</v>
      </c>
      <c r="AF8" t="s">
        <v>203</v>
      </c>
      <c r="AK8" t="s">
        <v>200</v>
      </c>
      <c r="AM8" s="25"/>
      <c r="AO8" s="25">
        <v>0</v>
      </c>
      <c r="AP8" s="26"/>
      <c r="AQ8" s="26"/>
      <c r="AR8" s="26"/>
      <c r="AS8" s="26" t="str">
        <f t="shared" si="0"/>
        <v/>
      </c>
      <c r="AT8" t="str">
        <f t="shared" si="1"/>
        <v/>
      </c>
      <c r="AU8" t="s">
        <v>200</v>
      </c>
      <c r="AV8" s="3"/>
      <c r="AW8" t="str">
        <f t="shared" si="2"/>
        <v>No scrap rate (No impact);</v>
      </c>
    </row>
    <row r="9" spans="1:50" x14ac:dyDescent="0.3">
      <c r="A9" t="s">
        <v>218</v>
      </c>
      <c r="B9" t="s">
        <v>219</v>
      </c>
      <c r="C9" t="s">
        <v>212</v>
      </c>
      <c r="D9" t="s">
        <v>213</v>
      </c>
      <c r="E9" t="s">
        <v>220</v>
      </c>
      <c r="F9" t="s">
        <v>221</v>
      </c>
      <c r="G9">
        <v>5</v>
      </c>
      <c r="H9">
        <v>1.5</v>
      </c>
      <c r="I9" t="s">
        <v>198</v>
      </c>
      <c r="J9">
        <v>1.6</v>
      </c>
      <c r="K9" t="s">
        <v>198</v>
      </c>
      <c r="L9" t="s">
        <v>199</v>
      </c>
      <c r="M9" s="3"/>
      <c r="R9" t="s">
        <v>200</v>
      </c>
      <c r="S9" s="25"/>
      <c r="T9" s="26"/>
      <c r="U9" s="27"/>
      <c r="V9" t="s">
        <v>25</v>
      </c>
      <c r="W9" t="s">
        <v>201</v>
      </c>
      <c r="X9" s="3"/>
      <c r="AC9" t="s">
        <v>202</v>
      </c>
      <c r="AF9" t="s">
        <v>203</v>
      </c>
      <c r="AK9" t="s">
        <v>200</v>
      </c>
      <c r="AM9" s="25"/>
      <c r="AO9" s="25">
        <v>0</v>
      </c>
      <c r="AP9" s="26"/>
      <c r="AQ9" s="26"/>
      <c r="AR9" s="26"/>
      <c r="AS9" s="26" t="str">
        <f t="shared" si="0"/>
        <v/>
      </c>
      <c r="AT9" t="str">
        <f t="shared" si="1"/>
        <v/>
      </c>
      <c r="AU9" t="s">
        <v>200</v>
      </c>
      <c r="AV9" s="3"/>
      <c r="AW9" t="str">
        <f t="shared" si="2"/>
        <v>No scrap rate (No impact);</v>
      </c>
    </row>
    <row r="10" spans="1:50" x14ac:dyDescent="0.3">
      <c r="A10" t="s">
        <v>222</v>
      </c>
      <c r="B10" t="s">
        <v>223</v>
      </c>
      <c r="C10" t="s">
        <v>194</v>
      </c>
      <c r="D10" t="s">
        <v>195</v>
      </c>
      <c r="E10" t="s">
        <v>196</v>
      </c>
      <c r="F10" t="s">
        <v>197</v>
      </c>
      <c r="G10">
        <v>12</v>
      </c>
      <c r="H10">
        <v>1.4999999999999999E-2</v>
      </c>
      <c r="I10" t="s">
        <v>198</v>
      </c>
      <c r="J10">
        <v>4.9000000000000002E-2</v>
      </c>
      <c r="K10" t="s">
        <v>198</v>
      </c>
      <c r="L10" t="s">
        <v>199</v>
      </c>
      <c r="M10" s="3"/>
      <c r="R10" t="s">
        <v>200</v>
      </c>
      <c r="S10" s="25"/>
      <c r="T10" s="26"/>
      <c r="U10" s="27"/>
      <c r="V10" t="s">
        <v>25</v>
      </c>
      <c r="W10" t="s">
        <v>201</v>
      </c>
      <c r="X10" s="3"/>
      <c r="AC10" t="s">
        <v>202</v>
      </c>
      <c r="AF10" t="s">
        <v>203</v>
      </c>
      <c r="AK10" t="s">
        <v>200</v>
      </c>
      <c r="AM10" s="25"/>
      <c r="AO10" s="25">
        <v>0</v>
      </c>
      <c r="AP10" s="26"/>
      <c r="AQ10" s="26"/>
      <c r="AR10" s="26"/>
      <c r="AS10" s="26" t="str">
        <f t="shared" si="0"/>
        <v/>
      </c>
      <c r="AT10" t="str">
        <f t="shared" si="1"/>
        <v/>
      </c>
      <c r="AU10" t="s">
        <v>200</v>
      </c>
      <c r="AV10" s="3"/>
      <c r="AW10" t="str">
        <f t="shared" si="2"/>
        <v>No scrap rate (No impact);</v>
      </c>
    </row>
    <row r="11" spans="1:50" x14ac:dyDescent="0.3">
      <c r="A11" t="s">
        <v>224</v>
      </c>
      <c r="B11" t="s">
        <v>225</v>
      </c>
      <c r="C11" t="s">
        <v>194</v>
      </c>
      <c r="D11" t="s">
        <v>195</v>
      </c>
      <c r="E11" t="s">
        <v>196</v>
      </c>
      <c r="F11" t="s">
        <v>197</v>
      </c>
      <c r="G11">
        <v>12</v>
      </c>
      <c r="H11">
        <v>1.4999999999999999E-2</v>
      </c>
      <c r="I11" t="s">
        <v>198</v>
      </c>
      <c r="J11">
        <v>4.9000000000000002E-2</v>
      </c>
      <c r="K11" t="s">
        <v>198</v>
      </c>
      <c r="L11" t="s">
        <v>199</v>
      </c>
      <c r="M11" s="3"/>
      <c r="R11" t="s">
        <v>200</v>
      </c>
      <c r="S11" s="25"/>
      <c r="T11" s="26"/>
      <c r="U11" s="27"/>
      <c r="V11" t="s">
        <v>25</v>
      </c>
      <c r="W11" t="s">
        <v>201</v>
      </c>
      <c r="X11" s="3"/>
      <c r="AC11" t="s">
        <v>202</v>
      </c>
      <c r="AF11" t="s">
        <v>203</v>
      </c>
      <c r="AK11" t="s">
        <v>200</v>
      </c>
      <c r="AM11" s="25"/>
      <c r="AO11" s="25">
        <v>0</v>
      </c>
      <c r="AP11" s="26"/>
      <c r="AQ11" s="26"/>
      <c r="AR11" s="26"/>
      <c r="AS11" s="26" t="str">
        <f t="shared" si="0"/>
        <v/>
      </c>
      <c r="AT11" t="str">
        <f t="shared" si="1"/>
        <v/>
      </c>
      <c r="AU11" t="s">
        <v>200</v>
      </c>
      <c r="AV11" s="3"/>
      <c r="AW11" t="str">
        <f t="shared" si="2"/>
        <v>No scrap rate (No impact);</v>
      </c>
    </row>
    <row r="12" spans="1:50" x14ac:dyDescent="0.3">
      <c r="A12" t="s">
        <v>226</v>
      </c>
      <c r="B12" t="s">
        <v>227</v>
      </c>
      <c r="C12" t="s">
        <v>194</v>
      </c>
      <c r="D12" t="s">
        <v>195</v>
      </c>
      <c r="E12" t="s">
        <v>196</v>
      </c>
      <c r="F12" t="s">
        <v>197</v>
      </c>
      <c r="G12">
        <v>12</v>
      </c>
      <c r="H12">
        <v>2.5000000000000001E-2</v>
      </c>
      <c r="I12" t="s">
        <v>198</v>
      </c>
      <c r="J12">
        <v>0.06</v>
      </c>
      <c r="K12" t="s">
        <v>198</v>
      </c>
      <c r="L12" t="s">
        <v>199</v>
      </c>
      <c r="M12" s="3"/>
      <c r="R12" t="s">
        <v>200</v>
      </c>
      <c r="S12" s="25"/>
      <c r="T12" s="26"/>
      <c r="U12" s="27"/>
      <c r="V12" t="s">
        <v>25</v>
      </c>
      <c r="W12" t="s">
        <v>201</v>
      </c>
      <c r="X12" s="3"/>
      <c r="AC12" t="s">
        <v>202</v>
      </c>
      <c r="AF12" t="s">
        <v>203</v>
      </c>
      <c r="AK12" t="s">
        <v>200</v>
      </c>
      <c r="AM12" s="25"/>
      <c r="AO12" s="25">
        <v>0</v>
      </c>
      <c r="AP12" s="26"/>
      <c r="AQ12" s="26"/>
      <c r="AR12" s="26"/>
      <c r="AS12" s="26" t="str">
        <f t="shared" si="0"/>
        <v/>
      </c>
      <c r="AT12" t="str">
        <f t="shared" si="1"/>
        <v/>
      </c>
      <c r="AU12" t="s">
        <v>200</v>
      </c>
      <c r="AV12" s="3"/>
      <c r="AW12" t="str">
        <f t="shared" si="2"/>
        <v>No scrap rate (No impact);</v>
      </c>
    </row>
    <row r="13" spans="1:50" x14ac:dyDescent="0.3">
      <c r="A13" t="s">
        <v>228</v>
      </c>
      <c r="B13" t="s">
        <v>229</v>
      </c>
      <c r="C13" t="s">
        <v>194</v>
      </c>
      <c r="D13" t="s">
        <v>195</v>
      </c>
      <c r="E13" t="s">
        <v>196</v>
      </c>
      <c r="F13" t="s">
        <v>197</v>
      </c>
      <c r="G13">
        <v>12</v>
      </c>
      <c r="H13">
        <v>1.2999999999999999E-2</v>
      </c>
      <c r="I13" t="s">
        <v>198</v>
      </c>
      <c r="J13">
        <v>4.7E-2</v>
      </c>
      <c r="K13" t="s">
        <v>198</v>
      </c>
      <c r="L13" t="s">
        <v>199</v>
      </c>
      <c r="M13" s="3"/>
      <c r="R13" t="s">
        <v>200</v>
      </c>
      <c r="S13" s="25"/>
      <c r="T13" s="26"/>
      <c r="U13" s="27"/>
      <c r="V13" t="s">
        <v>25</v>
      </c>
      <c r="W13" t="s">
        <v>201</v>
      </c>
      <c r="X13" s="3"/>
      <c r="AC13" t="s">
        <v>202</v>
      </c>
      <c r="AF13" t="s">
        <v>203</v>
      </c>
      <c r="AK13" t="s">
        <v>200</v>
      </c>
      <c r="AM13" s="25"/>
      <c r="AO13" s="25">
        <v>0</v>
      </c>
      <c r="AP13" s="26"/>
      <c r="AQ13" s="26"/>
      <c r="AR13" s="26"/>
      <c r="AS13" s="26" t="str">
        <f t="shared" si="0"/>
        <v/>
      </c>
      <c r="AT13" t="str">
        <f t="shared" si="1"/>
        <v/>
      </c>
      <c r="AU13" t="s">
        <v>200</v>
      </c>
      <c r="AV13" s="3"/>
      <c r="AW13" t="str">
        <f t="shared" si="2"/>
        <v>No scrap rate (No impact);</v>
      </c>
    </row>
    <row r="14" spans="1:50" x14ac:dyDescent="0.3">
      <c r="A14" t="s">
        <v>230</v>
      </c>
      <c r="B14" t="s">
        <v>231</v>
      </c>
      <c r="C14" t="s">
        <v>194</v>
      </c>
      <c r="D14" t="s">
        <v>195</v>
      </c>
      <c r="E14" t="s">
        <v>196</v>
      </c>
      <c r="F14" t="s">
        <v>197</v>
      </c>
      <c r="G14">
        <v>12</v>
      </c>
      <c r="H14">
        <v>1.4999999999999999E-2</v>
      </c>
      <c r="I14" t="s">
        <v>198</v>
      </c>
      <c r="J14">
        <v>4.9000000000000002E-2</v>
      </c>
      <c r="K14" t="s">
        <v>198</v>
      </c>
      <c r="L14" t="s">
        <v>199</v>
      </c>
      <c r="M14" s="3"/>
      <c r="R14" t="s">
        <v>200</v>
      </c>
      <c r="S14" s="25"/>
      <c r="T14" s="26"/>
      <c r="U14" s="27"/>
      <c r="V14" t="s">
        <v>25</v>
      </c>
      <c r="W14" t="s">
        <v>201</v>
      </c>
      <c r="X14" s="3"/>
      <c r="AC14" t="s">
        <v>202</v>
      </c>
      <c r="AF14" t="s">
        <v>203</v>
      </c>
      <c r="AK14" t="s">
        <v>200</v>
      </c>
      <c r="AM14" s="25"/>
      <c r="AO14" s="25">
        <v>0</v>
      </c>
      <c r="AP14" s="26"/>
      <c r="AQ14" s="26"/>
      <c r="AR14" s="26"/>
      <c r="AS14" s="26" t="str">
        <f t="shared" si="0"/>
        <v/>
      </c>
      <c r="AT14" t="str">
        <f t="shared" si="1"/>
        <v/>
      </c>
      <c r="AU14" t="s">
        <v>200</v>
      </c>
      <c r="AV14" s="3"/>
      <c r="AW14" t="str">
        <f t="shared" si="2"/>
        <v>No scrap rate (No impact);</v>
      </c>
    </row>
    <row r="15" spans="1:50" x14ac:dyDescent="0.3">
      <c r="A15" t="s">
        <v>232</v>
      </c>
      <c r="B15" t="s">
        <v>233</v>
      </c>
      <c r="C15" t="s">
        <v>194</v>
      </c>
      <c r="D15" t="s">
        <v>195</v>
      </c>
      <c r="E15" t="s">
        <v>196</v>
      </c>
      <c r="F15" t="s">
        <v>197</v>
      </c>
      <c r="G15">
        <v>12</v>
      </c>
      <c r="H15">
        <v>1</v>
      </c>
      <c r="I15" t="s">
        <v>198</v>
      </c>
      <c r="J15">
        <v>1.0780000000000001</v>
      </c>
      <c r="K15" t="s">
        <v>198</v>
      </c>
      <c r="L15" t="s">
        <v>199</v>
      </c>
      <c r="M15" s="3"/>
      <c r="R15" t="s">
        <v>200</v>
      </c>
      <c r="S15" s="25"/>
      <c r="T15" s="26"/>
      <c r="U15" s="27"/>
      <c r="V15" t="s">
        <v>25</v>
      </c>
      <c r="W15" t="s">
        <v>201</v>
      </c>
      <c r="X15" s="3"/>
      <c r="AC15" t="s">
        <v>202</v>
      </c>
      <c r="AF15" t="s">
        <v>203</v>
      </c>
      <c r="AK15" t="s">
        <v>200</v>
      </c>
      <c r="AM15" s="25"/>
      <c r="AO15" s="25">
        <v>0</v>
      </c>
      <c r="AP15" s="26"/>
      <c r="AQ15" s="26"/>
      <c r="AR15" s="26"/>
      <c r="AS15" s="26" t="str">
        <f t="shared" si="0"/>
        <v/>
      </c>
      <c r="AT15" t="str">
        <f t="shared" si="1"/>
        <v/>
      </c>
      <c r="AU15" t="s">
        <v>200</v>
      </c>
      <c r="AV15" s="3"/>
      <c r="AW15" t="str">
        <f t="shared" si="2"/>
        <v>No scrap rate (No impact);</v>
      </c>
    </row>
    <row r="16" spans="1:50" x14ac:dyDescent="0.3">
      <c r="A16" t="s">
        <v>234</v>
      </c>
      <c r="B16" t="s">
        <v>235</v>
      </c>
      <c r="C16" t="s">
        <v>194</v>
      </c>
      <c r="D16" t="s">
        <v>195</v>
      </c>
      <c r="E16" t="s">
        <v>236</v>
      </c>
      <c r="F16" t="s">
        <v>237</v>
      </c>
      <c r="G16">
        <v>12</v>
      </c>
      <c r="H16">
        <v>0.2</v>
      </c>
      <c r="I16" t="s">
        <v>198</v>
      </c>
      <c r="J16">
        <v>0.26600000000000001</v>
      </c>
      <c r="K16" t="s">
        <v>198</v>
      </c>
      <c r="L16" t="s">
        <v>199</v>
      </c>
      <c r="M16" s="3"/>
      <c r="R16" t="s">
        <v>200</v>
      </c>
      <c r="S16" s="25"/>
      <c r="T16" s="26"/>
      <c r="U16" s="27"/>
      <c r="V16" t="s">
        <v>25</v>
      </c>
      <c r="W16" t="s">
        <v>201</v>
      </c>
      <c r="X16" s="3"/>
      <c r="AC16" t="s">
        <v>202</v>
      </c>
      <c r="AF16" t="s">
        <v>203</v>
      </c>
      <c r="AK16" t="s">
        <v>200</v>
      </c>
      <c r="AM16" s="25"/>
      <c r="AO16" s="25">
        <v>0</v>
      </c>
      <c r="AP16" s="26"/>
      <c r="AQ16" s="26"/>
      <c r="AR16" s="26"/>
      <c r="AS16" s="26" t="str">
        <f t="shared" si="0"/>
        <v/>
      </c>
      <c r="AT16" t="str">
        <f t="shared" si="1"/>
        <v/>
      </c>
      <c r="AU16" t="s">
        <v>200</v>
      </c>
      <c r="AV16" s="3"/>
      <c r="AW16" t="str">
        <f t="shared" si="2"/>
        <v>No scrap rate (No impact);</v>
      </c>
    </row>
    <row r="17" spans="1:49" x14ac:dyDescent="0.3">
      <c r="A17" t="s">
        <v>238</v>
      </c>
      <c r="B17" t="s">
        <v>239</v>
      </c>
      <c r="C17" t="s">
        <v>194</v>
      </c>
      <c r="D17" t="s">
        <v>195</v>
      </c>
      <c r="E17" t="s">
        <v>196</v>
      </c>
      <c r="F17" t="s">
        <v>197</v>
      </c>
      <c r="G17">
        <v>12</v>
      </c>
      <c r="H17">
        <v>1.1000000000000001</v>
      </c>
      <c r="I17" t="s">
        <v>198</v>
      </c>
      <c r="J17">
        <v>1.2</v>
      </c>
      <c r="K17" t="s">
        <v>198</v>
      </c>
      <c r="L17" t="s">
        <v>199</v>
      </c>
      <c r="M17" s="3"/>
      <c r="R17" t="s">
        <v>200</v>
      </c>
      <c r="S17" s="25"/>
      <c r="T17" s="26"/>
      <c r="U17" s="27"/>
      <c r="V17" t="s">
        <v>25</v>
      </c>
      <c r="W17" t="s">
        <v>201</v>
      </c>
      <c r="X17" s="3"/>
      <c r="AC17" t="s">
        <v>202</v>
      </c>
      <c r="AF17" t="s">
        <v>203</v>
      </c>
      <c r="AK17" t="s">
        <v>200</v>
      </c>
      <c r="AM17" s="25"/>
      <c r="AO17" s="25">
        <v>0</v>
      </c>
      <c r="AP17" s="26"/>
      <c r="AQ17" s="26"/>
      <c r="AR17" s="26"/>
      <c r="AS17" s="26" t="str">
        <f t="shared" si="0"/>
        <v/>
      </c>
      <c r="AT17" t="str">
        <f t="shared" si="1"/>
        <v/>
      </c>
      <c r="AU17" t="s">
        <v>200</v>
      </c>
      <c r="AV17" s="3"/>
      <c r="AW17" t="str">
        <f t="shared" si="2"/>
        <v>No scrap rate (No impact);</v>
      </c>
    </row>
    <row r="18" spans="1:49" x14ac:dyDescent="0.3">
      <c r="A18" t="s">
        <v>240</v>
      </c>
      <c r="B18" t="s">
        <v>241</v>
      </c>
      <c r="C18" t="s">
        <v>212</v>
      </c>
      <c r="D18" t="s">
        <v>213</v>
      </c>
      <c r="E18" t="s">
        <v>242</v>
      </c>
      <c r="F18" t="s">
        <v>243</v>
      </c>
      <c r="G18">
        <v>12</v>
      </c>
      <c r="H18">
        <v>0.3</v>
      </c>
      <c r="I18" t="s">
        <v>198</v>
      </c>
      <c r="J18">
        <v>0.36099999999999999</v>
      </c>
      <c r="K18" t="s">
        <v>198</v>
      </c>
      <c r="L18" t="s">
        <v>199</v>
      </c>
      <c r="M18" s="3"/>
      <c r="R18" t="s">
        <v>200</v>
      </c>
      <c r="S18" s="25"/>
      <c r="T18" s="26"/>
      <c r="U18" s="27"/>
      <c r="V18" t="s">
        <v>25</v>
      </c>
      <c r="W18" t="s">
        <v>201</v>
      </c>
      <c r="X18" s="3"/>
      <c r="AC18" t="s">
        <v>202</v>
      </c>
      <c r="AF18" t="s">
        <v>203</v>
      </c>
      <c r="AK18" t="s">
        <v>200</v>
      </c>
      <c r="AM18" s="25"/>
      <c r="AO18" s="25">
        <v>0</v>
      </c>
      <c r="AP18" s="26"/>
      <c r="AQ18" s="26"/>
      <c r="AR18" s="26"/>
      <c r="AS18" s="26" t="str">
        <f t="shared" si="0"/>
        <v/>
      </c>
      <c r="AT18" t="str">
        <f t="shared" si="1"/>
        <v/>
      </c>
      <c r="AU18" t="s">
        <v>200</v>
      </c>
      <c r="AV18" s="3"/>
      <c r="AW18" t="str">
        <f t="shared" si="2"/>
        <v>No scrap rate (No impact);</v>
      </c>
    </row>
    <row r="19" spans="1:49" x14ac:dyDescent="0.3">
      <c r="A19" t="s">
        <v>244</v>
      </c>
      <c r="B19" t="s">
        <v>245</v>
      </c>
      <c r="C19" t="s">
        <v>212</v>
      </c>
      <c r="D19" t="s">
        <v>213</v>
      </c>
      <c r="E19" t="s">
        <v>246</v>
      </c>
      <c r="F19" t="s">
        <v>247</v>
      </c>
      <c r="G19">
        <v>12</v>
      </c>
      <c r="H19">
        <v>0.3</v>
      </c>
      <c r="I19" t="s">
        <v>198</v>
      </c>
      <c r="J19">
        <v>0.35299999999999998</v>
      </c>
      <c r="K19" t="s">
        <v>198</v>
      </c>
      <c r="L19" t="s">
        <v>199</v>
      </c>
      <c r="M19" s="3"/>
      <c r="R19" t="s">
        <v>200</v>
      </c>
      <c r="S19" s="25"/>
      <c r="T19" s="26"/>
      <c r="U19" s="27"/>
      <c r="V19" t="s">
        <v>25</v>
      </c>
      <c r="W19" t="s">
        <v>201</v>
      </c>
      <c r="X19" s="3"/>
      <c r="AC19" t="s">
        <v>202</v>
      </c>
      <c r="AF19" t="s">
        <v>203</v>
      </c>
      <c r="AK19" t="s">
        <v>200</v>
      </c>
      <c r="AM19" s="25"/>
      <c r="AO19" s="25">
        <v>0</v>
      </c>
      <c r="AP19" s="26"/>
      <c r="AQ19" s="26"/>
      <c r="AR19" s="26"/>
      <c r="AS19" s="26" t="str">
        <f t="shared" si="0"/>
        <v/>
      </c>
      <c r="AT19" t="str">
        <f t="shared" si="1"/>
        <v/>
      </c>
      <c r="AU19" t="s">
        <v>200</v>
      </c>
      <c r="AV19" s="3"/>
      <c r="AW19" t="str">
        <f t="shared" si="2"/>
        <v>No scrap rate (No impact);</v>
      </c>
    </row>
    <row r="20" spans="1:49" x14ac:dyDescent="0.3">
      <c r="A20" t="s">
        <v>248</v>
      </c>
      <c r="B20" t="s">
        <v>249</v>
      </c>
      <c r="C20" t="s">
        <v>212</v>
      </c>
      <c r="D20" t="s">
        <v>213</v>
      </c>
      <c r="E20" t="s">
        <v>246</v>
      </c>
      <c r="F20" t="s">
        <v>247</v>
      </c>
      <c r="G20">
        <v>12</v>
      </c>
      <c r="H20">
        <v>0.2</v>
      </c>
      <c r="I20" t="s">
        <v>198</v>
      </c>
      <c r="J20">
        <v>0.25</v>
      </c>
      <c r="K20" t="s">
        <v>198</v>
      </c>
      <c r="L20" t="s">
        <v>199</v>
      </c>
      <c r="M20" s="3"/>
      <c r="R20" t="s">
        <v>200</v>
      </c>
      <c r="S20" s="25"/>
      <c r="T20" s="26"/>
      <c r="U20" s="27"/>
      <c r="V20" t="s">
        <v>25</v>
      </c>
      <c r="W20" t="s">
        <v>201</v>
      </c>
      <c r="X20" s="3"/>
      <c r="AC20" t="s">
        <v>202</v>
      </c>
      <c r="AF20" t="s">
        <v>203</v>
      </c>
      <c r="AK20" t="s">
        <v>200</v>
      </c>
      <c r="AM20" s="25"/>
      <c r="AO20" s="25">
        <v>0</v>
      </c>
      <c r="AP20" s="26"/>
      <c r="AQ20" s="26"/>
      <c r="AR20" s="26"/>
      <c r="AS20" s="26" t="str">
        <f t="shared" si="0"/>
        <v/>
      </c>
      <c r="AT20" t="str">
        <f t="shared" si="1"/>
        <v/>
      </c>
      <c r="AU20" t="s">
        <v>200</v>
      </c>
      <c r="AV20" s="3"/>
      <c r="AW20" t="str">
        <f t="shared" si="2"/>
        <v>No scrap rate (No impact);</v>
      </c>
    </row>
    <row r="21" spans="1:49" x14ac:dyDescent="0.3">
      <c r="A21" t="s">
        <v>250</v>
      </c>
      <c r="B21" t="s">
        <v>251</v>
      </c>
      <c r="C21" t="s">
        <v>194</v>
      </c>
      <c r="D21" t="s">
        <v>195</v>
      </c>
      <c r="E21" t="s">
        <v>196</v>
      </c>
      <c r="F21" t="s">
        <v>197</v>
      </c>
      <c r="G21">
        <v>12</v>
      </c>
      <c r="H21">
        <v>0.15</v>
      </c>
      <c r="I21" t="s">
        <v>198</v>
      </c>
      <c r="J21">
        <v>0.23300000000000001</v>
      </c>
      <c r="K21" t="s">
        <v>198</v>
      </c>
      <c r="L21" t="s">
        <v>199</v>
      </c>
      <c r="M21" s="3"/>
      <c r="R21" t="s">
        <v>200</v>
      </c>
      <c r="S21" s="25"/>
      <c r="T21" s="26"/>
      <c r="U21" s="27"/>
      <c r="V21" t="s">
        <v>25</v>
      </c>
      <c r="W21" t="s">
        <v>201</v>
      </c>
      <c r="X21" s="3"/>
      <c r="AC21" t="s">
        <v>202</v>
      </c>
      <c r="AF21" t="s">
        <v>203</v>
      </c>
      <c r="AK21" t="s">
        <v>200</v>
      </c>
      <c r="AM21" s="25"/>
      <c r="AO21" s="25">
        <v>0</v>
      </c>
      <c r="AP21" s="26"/>
      <c r="AQ21" s="26"/>
      <c r="AR21" s="26"/>
      <c r="AS21" s="26" t="str">
        <f t="shared" si="0"/>
        <v/>
      </c>
      <c r="AT21" t="str">
        <f t="shared" si="1"/>
        <v/>
      </c>
      <c r="AU21" t="s">
        <v>200</v>
      </c>
      <c r="AV21" s="3"/>
      <c r="AW21" t="str">
        <f t="shared" si="2"/>
        <v>No scrap rate (No impact);</v>
      </c>
    </row>
    <row r="22" spans="1:49" x14ac:dyDescent="0.3">
      <c r="A22" t="s">
        <v>252</v>
      </c>
      <c r="B22" t="s">
        <v>253</v>
      </c>
      <c r="C22" t="s">
        <v>194</v>
      </c>
      <c r="D22" t="s">
        <v>195</v>
      </c>
      <c r="E22" t="s">
        <v>196</v>
      </c>
      <c r="F22" t="s">
        <v>197</v>
      </c>
      <c r="G22">
        <v>12</v>
      </c>
      <c r="H22">
        <v>0.15</v>
      </c>
      <c r="I22" t="s">
        <v>198</v>
      </c>
      <c r="J22">
        <v>0.3</v>
      </c>
      <c r="K22" t="s">
        <v>198</v>
      </c>
      <c r="L22" t="s">
        <v>199</v>
      </c>
      <c r="M22" s="3"/>
      <c r="R22" t="s">
        <v>200</v>
      </c>
      <c r="S22" s="25"/>
      <c r="T22" s="26"/>
      <c r="U22" s="27"/>
      <c r="V22" t="s">
        <v>25</v>
      </c>
      <c r="W22" t="s">
        <v>201</v>
      </c>
      <c r="X22" s="3"/>
      <c r="AC22" t="s">
        <v>202</v>
      </c>
      <c r="AF22" t="s">
        <v>203</v>
      </c>
      <c r="AK22" t="s">
        <v>200</v>
      </c>
      <c r="AM22" s="25"/>
      <c r="AO22" s="25">
        <v>0</v>
      </c>
      <c r="AP22" s="26"/>
      <c r="AQ22" s="26"/>
      <c r="AR22" s="26"/>
      <c r="AS22" s="26" t="str">
        <f t="shared" si="0"/>
        <v/>
      </c>
      <c r="AT22" t="str">
        <f t="shared" si="1"/>
        <v/>
      </c>
      <c r="AU22" t="s">
        <v>200</v>
      </c>
      <c r="AV22" s="3"/>
      <c r="AW22" t="str">
        <f t="shared" si="2"/>
        <v>No scrap rate (No impact);</v>
      </c>
    </row>
    <row r="23" spans="1:49" x14ac:dyDescent="0.3">
      <c r="A23" t="s">
        <v>254</v>
      </c>
      <c r="B23" t="s">
        <v>255</v>
      </c>
      <c r="C23" t="s">
        <v>194</v>
      </c>
      <c r="D23" t="s">
        <v>195</v>
      </c>
      <c r="E23" t="s">
        <v>196</v>
      </c>
      <c r="F23" t="s">
        <v>197</v>
      </c>
      <c r="G23">
        <v>12</v>
      </c>
      <c r="H23">
        <v>0.1</v>
      </c>
      <c r="I23" t="s">
        <v>198</v>
      </c>
      <c r="J23">
        <v>0.15</v>
      </c>
      <c r="K23" t="s">
        <v>198</v>
      </c>
      <c r="L23" t="s">
        <v>199</v>
      </c>
      <c r="M23" s="3"/>
      <c r="R23" t="s">
        <v>200</v>
      </c>
      <c r="S23" s="25"/>
      <c r="T23" s="26"/>
      <c r="U23" s="27"/>
      <c r="V23" t="s">
        <v>25</v>
      </c>
      <c r="W23" t="s">
        <v>201</v>
      </c>
      <c r="X23" s="3"/>
      <c r="AC23" t="s">
        <v>202</v>
      </c>
      <c r="AF23" t="s">
        <v>203</v>
      </c>
      <c r="AK23" t="s">
        <v>200</v>
      </c>
      <c r="AM23" s="25"/>
      <c r="AO23" s="25">
        <v>0</v>
      </c>
      <c r="AP23" s="26"/>
      <c r="AQ23" s="26"/>
      <c r="AR23" s="26"/>
      <c r="AS23" s="26" t="str">
        <f t="shared" si="0"/>
        <v/>
      </c>
      <c r="AT23" t="str">
        <f t="shared" si="1"/>
        <v/>
      </c>
      <c r="AU23" t="s">
        <v>200</v>
      </c>
      <c r="AV23" s="3"/>
      <c r="AW23" t="str">
        <f t="shared" si="2"/>
        <v>No scrap rate (No impact);</v>
      </c>
    </row>
    <row r="24" spans="1:49" x14ac:dyDescent="0.3">
      <c r="A24" t="s">
        <v>256</v>
      </c>
      <c r="B24" t="s">
        <v>257</v>
      </c>
      <c r="C24" t="s">
        <v>194</v>
      </c>
      <c r="D24" t="s">
        <v>195</v>
      </c>
      <c r="E24" t="s">
        <v>196</v>
      </c>
      <c r="F24" t="s">
        <v>197</v>
      </c>
      <c r="G24">
        <v>12</v>
      </c>
      <c r="H24">
        <v>0.12</v>
      </c>
      <c r="I24" t="s">
        <v>198</v>
      </c>
      <c r="J24">
        <v>0.24199999999999999</v>
      </c>
      <c r="K24" t="s">
        <v>198</v>
      </c>
      <c r="L24" t="s">
        <v>199</v>
      </c>
      <c r="M24" s="3"/>
      <c r="R24" t="s">
        <v>200</v>
      </c>
      <c r="S24" s="25"/>
      <c r="T24" s="26"/>
      <c r="U24" s="27"/>
      <c r="V24" t="s">
        <v>25</v>
      </c>
      <c r="W24" t="s">
        <v>201</v>
      </c>
      <c r="X24" s="3"/>
      <c r="AC24" t="s">
        <v>202</v>
      </c>
      <c r="AF24" t="s">
        <v>203</v>
      </c>
      <c r="AK24" t="s">
        <v>200</v>
      </c>
      <c r="AM24" s="25"/>
      <c r="AO24" s="25">
        <v>0</v>
      </c>
      <c r="AP24" s="26"/>
      <c r="AQ24" s="26"/>
      <c r="AR24" s="26"/>
      <c r="AS24" s="26" t="str">
        <f t="shared" si="0"/>
        <v/>
      </c>
      <c r="AT24" t="str">
        <f t="shared" si="1"/>
        <v/>
      </c>
      <c r="AU24" t="s">
        <v>200</v>
      </c>
      <c r="AV24" s="3"/>
      <c r="AW24" t="str">
        <f t="shared" si="2"/>
        <v>No scrap rate (No impact);</v>
      </c>
    </row>
    <row r="25" spans="1:49" x14ac:dyDescent="0.3">
      <c r="A25" t="s">
        <v>258</v>
      </c>
      <c r="B25" t="s">
        <v>259</v>
      </c>
      <c r="C25" t="s">
        <v>194</v>
      </c>
      <c r="D25" t="s">
        <v>195</v>
      </c>
      <c r="E25" t="s">
        <v>196</v>
      </c>
      <c r="F25" t="s">
        <v>197</v>
      </c>
      <c r="G25">
        <v>12</v>
      </c>
      <c r="H25">
        <v>0.15</v>
      </c>
      <c r="I25" t="s">
        <v>198</v>
      </c>
      <c r="J25">
        <v>0.3</v>
      </c>
      <c r="K25" t="s">
        <v>198</v>
      </c>
      <c r="L25" t="s">
        <v>199</v>
      </c>
      <c r="M25" s="3"/>
      <c r="R25" t="s">
        <v>200</v>
      </c>
      <c r="S25" s="25"/>
      <c r="T25" s="26"/>
      <c r="U25" s="27"/>
      <c r="V25" t="s">
        <v>25</v>
      </c>
      <c r="W25" t="s">
        <v>201</v>
      </c>
      <c r="X25" s="3"/>
      <c r="AC25" t="s">
        <v>202</v>
      </c>
      <c r="AF25" t="s">
        <v>203</v>
      </c>
      <c r="AK25" t="s">
        <v>200</v>
      </c>
      <c r="AM25" s="25"/>
      <c r="AO25" s="25">
        <v>0</v>
      </c>
      <c r="AP25" s="26"/>
      <c r="AQ25" s="26"/>
      <c r="AR25" s="26"/>
      <c r="AS25" s="26" t="str">
        <f t="shared" si="0"/>
        <v/>
      </c>
      <c r="AT25" t="str">
        <f t="shared" si="1"/>
        <v/>
      </c>
      <c r="AU25" t="s">
        <v>200</v>
      </c>
      <c r="AV25" s="3"/>
      <c r="AW25" t="str">
        <f t="shared" si="2"/>
        <v>No scrap rate (No impact);</v>
      </c>
    </row>
    <row r="26" spans="1:49" x14ac:dyDescent="0.3">
      <c r="A26" t="s">
        <v>260</v>
      </c>
      <c r="B26" t="s">
        <v>261</v>
      </c>
      <c r="C26" t="s">
        <v>194</v>
      </c>
      <c r="D26" t="s">
        <v>195</v>
      </c>
      <c r="E26" t="s">
        <v>196</v>
      </c>
      <c r="F26" t="s">
        <v>197</v>
      </c>
      <c r="G26">
        <v>12</v>
      </c>
      <c r="H26">
        <v>0.15</v>
      </c>
      <c r="I26" t="s">
        <v>198</v>
      </c>
      <c r="J26">
        <v>0.2</v>
      </c>
      <c r="K26" t="s">
        <v>198</v>
      </c>
      <c r="L26" t="s">
        <v>199</v>
      </c>
      <c r="M26" s="3"/>
      <c r="R26" t="s">
        <v>200</v>
      </c>
      <c r="S26" s="25"/>
      <c r="T26" s="26"/>
      <c r="U26" s="27"/>
      <c r="V26" t="s">
        <v>25</v>
      </c>
      <c r="W26" t="s">
        <v>201</v>
      </c>
      <c r="X26" s="3"/>
      <c r="AC26" t="s">
        <v>202</v>
      </c>
      <c r="AF26" t="s">
        <v>203</v>
      </c>
      <c r="AK26" t="s">
        <v>200</v>
      </c>
      <c r="AM26" s="25"/>
      <c r="AO26" s="25">
        <v>0</v>
      </c>
      <c r="AP26" s="26"/>
      <c r="AQ26" s="26"/>
      <c r="AR26" s="26"/>
      <c r="AS26" s="26" t="str">
        <f t="shared" si="0"/>
        <v/>
      </c>
      <c r="AT26" t="str">
        <f t="shared" si="1"/>
        <v/>
      </c>
      <c r="AU26" t="s">
        <v>200</v>
      </c>
      <c r="AV26" s="3"/>
      <c r="AW26" t="str">
        <f t="shared" si="2"/>
        <v>No scrap rate (No impact);</v>
      </c>
    </row>
    <row r="27" spans="1:49" x14ac:dyDescent="0.3">
      <c r="A27" t="s">
        <v>262</v>
      </c>
      <c r="B27" t="s">
        <v>263</v>
      </c>
      <c r="C27" t="s">
        <v>194</v>
      </c>
      <c r="D27" t="s">
        <v>195</v>
      </c>
      <c r="E27" t="s">
        <v>196</v>
      </c>
      <c r="F27" t="s">
        <v>197</v>
      </c>
      <c r="G27">
        <v>12</v>
      </c>
      <c r="H27">
        <v>0.1</v>
      </c>
      <c r="I27" t="s">
        <v>198</v>
      </c>
      <c r="J27">
        <v>0.13100000000000001</v>
      </c>
      <c r="K27" t="s">
        <v>198</v>
      </c>
      <c r="L27" t="s">
        <v>199</v>
      </c>
      <c r="M27" s="3"/>
      <c r="R27" t="s">
        <v>200</v>
      </c>
      <c r="S27" s="25"/>
      <c r="T27" s="26"/>
      <c r="U27" s="27"/>
      <c r="V27" t="s">
        <v>25</v>
      </c>
      <c r="W27" t="s">
        <v>201</v>
      </c>
      <c r="X27" s="3"/>
      <c r="AC27" t="s">
        <v>202</v>
      </c>
      <c r="AF27" t="s">
        <v>203</v>
      </c>
      <c r="AK27" t="s">
        <v>200</v>
      </c>
      <c r="AM27" s="25"/>
      <c r="AO27" s="25">
        <v>0</v>
      </c>
      <c r="AP27" s="26"/>
      <c r="AQ27" s="26"/>
      <c r="AR27" s="26"/>
      <c r="AS27" s="26" t="str">
        <f t="shared" si="0"/>
        <v/>
      </c>
      <c r="AT27" t="str">
        <f t="shared" si="1"/>
        <v/>
      </c>
      <c r="AU27" t="s">
        <v>200</v>
      </c>
      <c r="AV27" s="3"/>
      <c r="AW27" t="str">
        <f t="shared" si="2"/>
        <v>No scrap rate (No impact);</v>
      </c>
    </row>
    <row r="28" spans="1:49" x14ac:dyDescent="0.3">
      <c r="A28" t="s">
        <v>264</v>
      </c>
      <c r="B28" t="s">
        <v>265</v>
      </c>
      <c r="C28" t="s">
        <v>194</v>
      </c>
      <c r="D28" t="s">
        <v>195</v>
      </c>
      <c r="E28" t="s">
        <v>196</v>
      </c>
      <c r="F28" t="s">
        <v>197</v>
      </c>
      <c r="G28">
        <v>12</v>
      </c>
      <c r="H28">
        <v>0.15</v>
      </c>
      <c r="I28" t="s">
        <v>198</v>
      </c>
      <c r="J28">
        <v>0.30099999999999999</v>
      </c>
      <c r="K28" t="s">
        <v>198</v>
      </c>
      <c r="L28" t="s">
        <v>199</v>
      </c>
      <c r="M28" s="3"/>
      <c r="R28" t="s">
        <v>200</v>
      </c>
      <c r="S28" s="25"/>
      <c r="T28" s="26"/>
      <c r="U28" s="27"/>
      <c r="V28" t="s">
        <v>25</v>
      </c>
      <c r="W28" t="s">
        <v>201</v>
      </c>
      <c r="X28" s="3"/>
      <c r="AC28" t="s">
        <v>202</v>
      </c>
      <c r="AF28" t="s">
        <v>203</v>
      </c>
      <c r="AK28" t="s">
        <v>200</v>
      </c>
      <c r="AM28" s="25"/>
      <c r="AO28" s="25">
        <v>0</v>
      </c>
      <c r="AP28" s="26"/>
      <c r="AQ28" s="26"/>
      <c r="AR28" s="26"/>
      <c r="AS28" s="26" t="str">
        <f t="shared" si="0"/>
        <v/>
      </c>
      <c r="AT28" t="str">
        <f t="shared" si="1"/>
        <v/>
      </c>
      <c r="AU28" t="s">
        <v>200</v>
      </c>
      <c r="AV28" s="3"/>
      <c r="AW28" t="str">
        <f t="shared" si="2"/>
        <v>No scrap rate (No impact);</v>
      </c>
    </row>
    <row r="29" spans="1:49" x14ac:dyDescent="0.3">
      <c r="A29" t="s">
        <v>266</v>
      </c>
      <c r="B29" t="s">
        <v>267</v>
      </c>
      <c r="C29" t="s">
        <v>194</v>
      </c>
      <c r="D29" t="s">
        <v>195</v>
      </c>
      <c r="E29" t="s">
        <v>196</v>
      </c>
      <c r="F29" t="s">
        <v>197</v>
      </c>
      <c r="G29">
        <v>12</v>
      </c>
      <c r="H29">
        <v>0.15</v>
      </c>
      <c r="I29" t="s">
        <v>198</v>
      </c>
      <c r="J29">
        <v>0.2</v>
      </c>
      <c r="K29" t="s">
        <v>198</v>
      </c>
      <c r="L29" t="s">
        <v>199</v>
      </c>
      <c r="M29" s="3"/>
      <c r="R29" t="s">
        <v>200</v>
      </c>
      <c r="S29" s="25"/>
      <c r="T29" s="26"/>
      <c r="U29" s="27"/>
      <c r="V29" t="s">
        <v>25</v>
      </c>
      <c r="W29" t="s">
        <v>201</v>
      </c>
      <c r="X29" s="3"/>
      <c r="AC29" t="s">
        <v>202</v>
      </c>
      <c r="AF29" t="s">
        <v>203</v>
      </c>
      <c r="AK29" t="s">
        <v>200</v>
      </c>
      <c r="AM29" s="25"/>
      <c r="AO29" s="25">
        <v>0</v>
      </c>
      <c r="AP29" s="26"/>
      <c r="AQ29" s="26"/>
      <c r="AR29" s="26"/>
      <c r="AS29" s="26" t="str">
        <f t="shared" si="0"/>
        <v/>
      </c>
      <c r="AT29" t="str">
        <f t="shared" si="1"/>
        <v/>
      </c>
      <c r="AU29" t="s">
        <v>200</v>
      </c>
      <c r="AV29" s="3"/>
      <c r="AW29" t="str">
        <f t="shared" si="2"/>
        <v>No scrap rate (No impact);</v>
      </c>
    </row>
    <row r="30" spans="1:49" x14ac:dyDescent="0.3">
      <c r="A30" t="s">
        <v>268</v>
      </c>
      <c r="B30" t="s">
        <v>269</v>
      </c>
      <c r="C30" t="s">
        <v>194</v>
      </c>
      <c r="D30" t="s">
        <v>195</v>
      </c>
      <c r="E30" t="s">
        <v>196</v>
      </c>
      <c r="F30" t="s">
        <v>197</v>
      </c>
      <c r="G30">
        <v>12</v>
      </c>
      <c r="H30">
        <v>0.14000000000000001</v>
      </c>
      <c r="I30" t="s">
        <v>198</v>
      </c>
      <c r="J30">
        <v>0.29199999999999998</v>
      </c>
      <c r="K30" t="s">
        <v>198</v>
      </c>
      <c r="L30" t="s">
        <v>199</v>
      </c>
      <c r="M30" s="3"/>
      <c r="R30" t="s">
        <v>200</v>
      </c>
      <c r="S30" s="25"/>
      <c r="T30" s="26"/>
      <c r="U30" s="27"/>
      <c r="V30" t="s">
        <v>25</v>
      </c>
      <c r="W30" t="s">
        <v>201</v>
      </c>
      <c r="X30" s="3"/>
      <c r="AC30" t="s">
        <v>202</v>
      </c>
      <c r="AF30" t="s">
        <v>203</v>
      </c>
      <c r="AK30" t="s">
        <v>200</v>
      </c>
      <c r="AM30" s="25"/>
      <c r="AO30" s="25">
        <v>0</v>
      </c>
      <c r="AP30" s="26"/>
      <c r="AQ30" s="26"/>
      <c r="AR30" s="26"/>
      <c r="AS30" s="26" t="str">
        <f t="shared" si="0"/>
        <v/>
      </c>
      <c r="AT30" t="str">
        <f t="shared" si="1"/>
        <v/>
      </c>
      <c r="AU30" t="s">
        <v>200</v>
      </c>
      <c r="AV30" s="3"/>
      <c r="AW30" t="str">
        <f t="shared" si="2"/>
        <v>No scrap rate (No impact);</v>
      </c>
    </row>
    <row r="31" spans="1:49" x14ac:dyDescent="0.3">
      <c r="A31" t="s">
        <v>270</v>
      </c>
      <c r="B31" t="s">
        <v>271</v>
      </c>
      <c r="C31" t="s">
        <v>194</v>
      </c>
      <c r="D31" t="s">
        <v>195</v>
      </c>
      <c r="E31" t="s">
        <v>196</v>
      </c>
      <c r="F31" t="s">
        <v>197</v>
      </c>
      <c r="G31">
        <v>12</v>
      </c>
      <c r="H31">
        <v>0.15</v>
      </c>
      <c r="I31" t="s">
        <v>198</v>
      </c>
      <c r="J31">
        <v>0.30099999999999999</v>
      </c>
      <c r="K31" t="s">
        <v>198</v>
      </c>
      <c r="L31" t="s">
        <v>199</v>
      </c>
      <c r="M31" s="3"/>
      <c r="R31" t="s">
        <v>200</v>
      </c>
      <c r="S31" s="25"/>
      <c r="T31" s="26"/>
      <c r="U31" s="27"/>
      <c r="V31" t="s">
        <v>25</v>
      </c>
      <c r="W31" t="s">
        <v>201</v>
      </c>
      <c r="X31" s="3"/>
      <c r="AC31" t="s">
        <v>202</v>
      </c>
      <c r="AF31" t="s">
        <v>203</v>
      </c>
      <c r="AK31" t="s">
        <v>200</v>
      </c>
      <c r="AM31" s="25"/>
      <c r="AO31" s="25">
        <v>0</v>
      </c>
      <c r="AP31" s="26"/>
      <c r="AQ31" s="26"/>
      <c r="AR31" s="26"/>
      <c r="AS31" s="26" t="str">
        <f t="shared" si="0"/>
        <v/>
      </c>
      <c r="AT31" t="str">
        <f t="shared" si="1"/>
        <v/>
      </c>
      <c r="AU31" t="s">
        <v>200</v>
      </c>
      <c r="AV31" s="3"/>
      <c r="AW31" t="str">
        <f t="shared" si="2"/>
        <v>No scrap rate (No impact);</v>
      </c>
    </row>
    <row r="32" spans="1:49" x14ac:dyDescent="0.3">
      <c r="A32" t="s">
        <v>272</v>
      </c>
      <c r="B32" t="s">
        <v>273</v>
      </c>
      <c r="C32" t="s">
        <v>212</v>
      </c>
      <c r="D32" t="s">
        <v>213</v>
      </c>
      <c r="E32" t="s">
        <v>274</v>
      </c>
      <c r="F32" t="s">
        <v>275</v>
      </c>
      <c r="G32">
        <v>12</v>
      </c>
      <c r="H32">
        <v>0.1</v>
      </c>
      <c r="I32" t="s">
        <v>198</v>
      </c>
      <c r="J32">
        <v>0.20499999999999999</v>
      </c>
      <c r="K32" t="s">
        <v>198</v>
      </c>
      <c r="L32" t="s">
        <v>199</v>
      </c>
      <c r="M32" s="3"/>
      <c r="R32" t="s">
        <v>200</v>
      </c>
      <c r="S32" s="25"/>
      <c r="T32" s="26"/>
      <c r="U32" s="27"/>
      <c r="V32" t="s">
        <v>25</v>
      </c>
      <c r="W32" t="s">
        <v>201</v>
      </c>
      <c r="X32" s="3"/>
      <c r="AC32" t="s">
        <v>202</v>
      </c>
      <c r="AF32" t="s">
        <v>203</v>
      </c>
      <c r="AK32" t="s">
        <v>200</v>
      </c>
      <c r="AM32" s="25"/>
      <c r="AO32" s="25">
        <v>0</v>
      </c>
      <c r="AP32" s="26"/>
      <c r="AQ32" s="26"/>
      <c r="AR32" s="26"/>
      <c r="AS32" s="26" t="str">
        <f t="shared" si="0"/>
        <v/>
      </c>
      <c r="AT32" t="str">
        <f t="shared" si="1"/>
        <v/>
      </c>
      <c r="AU32" t="s">
        <v>200</v>
      </c>
      <c r="AV32" s="3"/>
      <c r="AW32" t="str">
        <f t="shared" si="2"/>
        <v>No scrap rate (No impact);</v>
      </c>
    </row>
    <row r="33" spans="1:49" x14ac:dyDescent="0.3">
      <c r="A33" t="s">
        <v>276</v>
      </c>
      <c r="B33" t="s">
        <v>277</v>
      </c>
      <c r="C33" t="s">
        <v>194</v>
      </c>
      <c r="D33" t="s">
        <v>195</v>
      </c>
      <c r="E33" t="s">
        <v>278</v>
      </c>
      <c r="F33" t="s">
        <v>279</v>
      </c>
      <c r="G33">
        <v>1</v>
      </c>
      <c r="H33">
        <v>10</v>
      </c>
      <c r="I33" t="s">
        <v>198</v>
      </c>
      <c r="J33">
        <v>10.045</v>
      </c>
      <c r="K33" t="s">
        <v>198</v>
      </c>
      <c r="L33" t="s">
        <v>199</v>
      </c>
      <c r="M33" s="3"/>
      <c r="R33" t="s">
        <v>200</v>
      </c>
      <c r="S33" s="25"/>
      <c r="T33" s="26"/>
      <c r="U33" s="27"/>
      <c r="V33" t="s">
        <v>25</v>
      </c>
      <c r="W33" t="s">
        <v>201</v>
      </c>
      <c r="X33" s="3"/>
      <c r="AC33" t="s">
        <v>202</v>
      </c>
      <c r="AF33" t="s">
        <v>203</v>
      </c>
      <c r="AK33" t="s">
        <v>200</v>
      </c>
      <c r="AM33" s="25"/>
      <c r="AO33" s="25">
        <v>0</v>
      </c>
      <c r="AP33" s="26"/>
      <c r="AQ33" s="26"/>
      <c r="AR33" s="26"/>
      <c r="AS33" s="26" t="str">
        <f t="shared" si="0"/>
        <v/>
      </c>
      <c r="AT33" t="str">
        <f t="shared" si="1"/>
        <v/>
      </c>
      <c r="AU33" t="s">
        <v>200</v>
      </c>
      <c r="AV33" s="3"/>
      <c r="AW33" t="str">
        <f t="shared" si="2"/>
        <v>No scrap rate (No impact);</v>
      </c>
    </row>
    <row r="34" spans="1:49" x14ac:dyDescent="0.3">
      <c r="A34" t="s">
        <v>280</v>
      </c>
      <c r="B34" t="s">
        <v>281</v>
      </c>
      <c r="C34" t="s">
        <v>194</v>
      </c>
      <c r="D34" t="s">
        <v>195</v>
      </c>
      <c r="E34" t="s">
        <v>196</v>
      </c>
      <c r="F34" t="s">
        <v>197</v>
      </c>
      <c r="G34">
        <v>12</v>
      </c>
      <c r="H34">
        <v>0.75</v>
      </c>
      <c r="I34" t="s">
        <v>198</v>
      </c>
      <c r="J34">
        <v>0.85</v>
      </c>
      <c r="K34" t="s">
        <v>198</v>
      </c>
      <c r="L34" t="s">
        <v>199</v>
      </c>
      <c r="M34" s="3"/>
      <c r="R34" t="s">
        <v>200</v>
      </c>
      <c r="S34" s="25"/>
      <c r="T34" s="26"/>
      <c r="U34" s="27"/>
      <c r="V34" t="s">
        <v>25</v>
      </c>
      <c r="W34" t="s">
        <v>201</v>
      </c>
      <c r="X34" s="3"/>
      <c r="AC34" t="s">
        <v>202</v>
      </c>
      <c r="AF34" t="s">
        <v>203</v>
      </c>
      <c r="AK34" t="s">
        <v>200</v>
      </c>
      <c r="AM34" s="25"/>
      <c r="AO34" s="25">
        <v>0</v>
      </c>
      <c r="AP34" s="26"/>
      <c r="AQ34" s="26"/>
      <c r="AR34" s="26"/>
      <c r="AS34" s="26" t="str">
        <f t="shared" si="0"/>
        <v/>
      </c>
      <c r="AT34" t="str">
        <f t="shared" si="1"/>
        <v/>
      </c>
      <c r="AU34" t="s">
        <v>200</v>
      </c>
      <c r="AV34" s="3"/>
      <c r="AW34" t="str">
        <f t="shared" si="2"/>
        <v>No scrap rate (No impact);</v>
      </c>
    </row>
    <row r="35" spans="1:49" x14ac:dyDescent="0.3">
      <c r="A35" t="s">
        <v>282</v>
      </c>
      <c r="B35" t="s">
        <v>283</v>
      </c>
      <c r="C35" t="s">
        <v>194</v>
      </c>
      <c r="D35" t="s">
        <v>195</v>
      </c>
      <c r="E35" t="s">
        <v>196</v>
      </c>
      <c r="F35" t="s">
        <v>197</v>
      </c>
      <c r="G35">
        <v>12</v>
      </c>
      <c r="H35">
        <v>0.2</v>
      </c>
      <c r="I35" t="s">
        <v>198</v>
      </c>
      <c r="J35">
        <v>0.248</v>
      </c>
      <c r="K35" t="s">
        <v>198</v>
      </c>
      <c r="L35" t="s">
        <v>199</v>
      </c>
      <c r="M35" s="3"/>
      <c r="R35" t="s">
        <v>200</v>
      </c>
      <c r="S35" s="25"/>
      <c r="T35" s="26"/>
      <c r="U35" s="27"/>
      <c r="V35" t="s">
        <v>25</v>
      </c>
      <c r="W35" t="s">
        <v>201</v>
      </c>
      <c r="X35" s="3"/>
      <c r="AC35" t="s">
        <v>202</v>
      </c>
      <c r="AF35" t="s">
        <v>203</v>
      </c>
      <c r="AK35" t="s">
        <v>200</v>
      </c>
      <c r="AM35" s="25"/>
      <c r="AO35" s="25">
        <v>0</v>
      </c>
      <c r="AP35" s="26"/>
      <c r="AQ35" s="26"/>
      <c r="AR35" s="26"/>
      <c r="AS35" s="26" t="str">
        <f t="shared" si="0"/>
        <v/>
      </c>
      <c r="AT35" t="str">
        <f t="shared" si="1"/>
        <v/>
      </c>
      <c r="AU35" t="s">
        <v>200</v>
      </c>
      <c r="AV35" s="3"/>
      <c r="AW35" t="str">
        <f t="shared" si="2"/>
        <v>No scrap rate (No impact);</v>
      </c>
    </row>
    <row r="36" spans="1:49" x14ac:dyDescent="0.3">
      <c r="A36" t="s">
        <v>284</v>
      </c>
      <c r="B36" t="s">
        <v>285</v>
      </c>
      <c r="C36" t="s">
        <v>194</v>
      </c>
      <c r="D36" t="s">
        <v>195</v>
      </c>
      <c r="E36" t="s">
        <v>196</v>
      </c>
      <c r="F36" t="s">
        <v>197</v>
      </c>
      <c r="G36">
        <v>12</v>
      </c>
      <c r="H36">
        <v>0.4</v>
      </c>
      <c r="I36" t="s">
        <v>198</v>
      </c>
      <c r="J36">
        <v>0.4</v>
      </c>
      <c r="K36" t="s">
        <v>198</v>
      </c>
      <c r="L36" t="s">
        <v>199</v>
      </c>
      <c r="M36" s="3"/>
      <c r="R36" t="s">
        <v>200</v>
      </c>
      <c r="S36" s="25"/>
      <c r="T36" s="26"/>
      <c r="U36" s="27"/>
      <c r="V36" t="s">
        <v>25</v>
      </c>
      <c r="W36" t="s">
        <v>201</v>
      </c>
      <c r="X36" s="3"/>
      <c r="AC36" t="s">
        <v>202</v>
      </c>
      <c r="AF36" t="s">
        <v>203</v>
      </c>
      <c r="AK36" t="s">
        <v>200</v>
      </c>
      <c r="AM36" s="25"/>
      <c r="AO36" s="25">
        <v>0</v>
      </c>
      <c r="AP36" s="26"/>
      <c r="AQ36" s="26"/>
      <c r="AR36" s="26"/>
      <c r="AS36" s="26" t="str">
        <f t="shared" si="0"/>
        <v/>
      </c>
      <c r="AT36" t="str">
        <f t="shared" si="1"/>
        <v/>
      </c>
      <c r="AU36" t="s">
        <v>200</v>
      </c>
      <c r="AV36" s="3"/>
      <c r="AW36" t="str">
        <f t="shared" si="2"/>
        <v>No scrap rate (No impact);</v>
      </c>
    </row>
    <row r="37" spans="1:49" x14ac:dyDescent="0.3">
      <c r="A37" t="s">
        <v>286</v>
      </c>
      <c r="B37" t="s">
        <v>287</v>
      </c>
      <c r="C37" t="s">
        <v>212</v>
      </c>
      <c r="D37" t="s">
        <v>213</v>
      </c>
      <c r="E37" t="s">
        <v>288</v>
      </c>
      <c r="F37" t="s">
        <v>289</v>
      </c>
      <c r="G37">
        <v>12</v>
      </c>
      <c r="H37">
        <v>3.6999999999999998E-2</v>
      </c>
      <c r="I37" t="s">
        <v>198</v>
      </c>
      <c r="J37">
        <v>6.6000000000000003E-2</v>
      </c>
      <c r="K37" t="s">
        <v>198</v>
      </c>
      <c r="L37" t="s">
        <v>199</v>
      </c>
      <c r="M37" s="3"/>
      <c r="R37" t="s">
        <v>200</v>
      </c>
      <c r="S37" s="25"/>
      <c r="T37" s="26"/>
      <c r="U37" s="27"/>
      <c r="V37" t="s">
        <v>25</v>
      </c>
      <c r="W37" t="s">
        <v>201</v>
      </c>
      <c r="X37" s="3"/>
      <c r="AC37" t="s">
        <v>202</v>
      </c>
      <c r="AF37" t="s">
        <v>203</v>
      </c>
      <c r="AK37" t="s">
        <v>200</v>
      </c>
      <c r="AM37" s="25"/>
      <c r="AO37" s="25">
        <v>0</v>
      </c>
      <c r="AP37" s="26"/>
      <c r="AQ37" s="26"/>
      <c r="AR37" s="26"/>
      <c r="AS37" s="26" t="str">
        <f t="shared" si="0"/>
        <v/>
      </c>
      <c r="AT37" t="str">
        <f t="shared" si="1"/>
        <v/>
      </c>
      <c r="AU37" t="s">
        <v>200</v>
      </c>
      <c r="AV37" s="3"/>
      <c r="AW37" t="str">
        <f t="shared" si="2"/>
        <v>No scrap rate (No impact);</v>
      </c>
    </row>
    <row r="38" spans="1:49" x14ac:dyDescent="0.3">
      <c r="A38" t="s">
        <v>290</v>
      </c>
      <c r="B38" t="s">
        <v>291</v>
      </c>
      <c r="C38" t="s">
        <v>212</v>
      </c>
      <c r="D38" t="s">
        <v>213</v>
      </c>
      <c r="E38" t="s">
        <v>288</v>
      </c>
      <c r="F38" t="s">
        <v>289</v>
      </c>
      <c r="G38">
        <v>6</v>
      </c>
      <c r="H38">
        <v>0.22</v>
      </c>
      <c r="I38" t="s">
        <v>198</v>
      </c>
      <c r="J38">
        <v>0.27700000000000002</v>
      </c>
      <c r="K38" t="s">
        <v>198</v>
      </c>
      <c r="L38" t="s">
        <v>199</v>
      </c>
      <c r="M38" s="3"/>
      <c r="R38" t="s">
        <v>200</v>
      </c>
      <c r="S38" s="25"/>
      <c r="T38" s="26"/>
      <c r="U38" s="27"/>
      <c r="V38" t="s">
        <v>25</v>
      </c>
      <c r="W38" t="s">
        <v>201</v>
      </c>
      <c r="X38" s="3"/>
      <c r="AC38" t="s">
        <v>202</v>
      </c>
      <c r="AF38" t="s">
        <v>203</v>
      </c>
      <c r="AK38" t="s">
        <v>200</v>
      </c>
      <c r="AM38" s="25"/>
      <c r="AO38" s="25">
        <v>0</v>
      </c>
      <c r="AP38" s="26"/>
      <c r="AQ38" s="26"/>
      <c r="AR38" s="26"/>
      <c r="AS38" s="26" t="str">
        <f t="shared" si="0"/>
        <v/>
      </c>
      <c r="AT38" t="str">
        <f t="shared" si="1"/>
        <v/>
      </c>
      <c r="AU38" t="s">
        <v>200</v>
      </c>
      <c r="AV38" s="3"/>
      <c r="AW38" t="str">
        <f t="shared" si="2"/>
        <v>No scrap rate (No impact);</v>
      </c>
    </row>
    <row r="39" spans="1:49" x14ac:dyDescent="0.3">
      <c r="A39" t="s">
        <v>292</v>
      </c>
      <c r="B39" t="s">
        <v>293</v>
      </c>
      <c r="C39" t="s">
        <v>212</v>
      </c>
      <c r="D39" t="s">
        <v>213</v>
      </c>
      <c r="E39" t="s">
        <v>288</v>
      </c>
      <c r="F39" t="s">
        <v>289</v>
      </c>
      <c r="G39">
        <v>12</v>
      </c>
      <c r="H39">
        <v>0.15</v>
      </c>
      <c r="I39" t="s">
        <v>198</v>
      </c>
      <c r="J39">
        <v>0.17499999999999999</v>
      </c>
      <c r="K39" t="s">
        <v>198</v>
      </c>
      <c r="L39" t="s">
        <v>199</v>
      </c>
      <c r="M39" s="3"/>
      <c r="R39" t="s">
        <v>200</v>
      </c>
      <c r="S39" s="25"/>
      <c r="T39" s="26"/>
      <c r="U39" s="27"/>
      <c r="V39" t="s">
        <v>25</v>
      </c>
      <c r="W39" t="s">
        <v>201</v>
      </c>
      <c r="X39" s="3"/>
      <c r="AC39" t="s">
        <v>202</v>
      </c>
      <c r="AF39" t="s">
        <v>203</v>
      </c>
      <c r="AK39" t="s">
        <v>200</v>
      </c>
      <c r="AM39" s="25"/>
      <c r="AO39" s="25">
        <v>0</v>
      </c>
      <c r="AP39" s="26"/>
      <c r="AQ39" s="26"/>
      <c r="AR39" s="26"/>
      <c r="AS39" s="26" t="str">
        <f t="shared" si="0"/>
        <v/>
      </c>
      <c r="AT39" t="str">
        <f t="shared" si="1"/>
        <v/>
      </c>
      <c r="AU39" t="s">
        <v>200</v>
      </c>
      <c r="AV39" s="3"/>
      <c r="AW39" t="str">
        <f t="shared" si="2"/>
        <v>No scrap rate (No impact);</v>
      </c>
    </row>
    <row r="40" spans="1:49" x14ac:dyDescent="0.3">
      <c r="A40" t="s">
        <v>294</v>
      </c>
      <c r="B40" t="s">
        <v>295</v>
      </c>
      <c r="C40" t="s">
        <v>194</v>
      </c>
      <c r="D40" t="s">
        <v>195</v>
      </c>
      <c r="E40" t="s">
        <v>196</v>
      </c>
      <c r="F40" t="s">
        <v>197</v>
      </c>
      <c r="G40">
        <v>12</v>
      </c>
      <c r="H40">
        <v>0.8</v>
      </c>
      <c r="I40" t="s">
        <v>198</v>
      </c>
      <c r="J40">
        <v>0.89200000000000002</v>
      </c>
      <c r="K40" t="s">
        <v>198</v>
      </c>
      <c r="L40" t="s">
        <v>199</v>
      </c>
      <c r="M40" s="3"/>
      <c r="R40" t="s">
        <v>200</v>
      </c>
      <c r="S40" s="25"/>
      <c r="T40" s="26"/>
      <c r="U40" s="27"/>
      <c r="V40" t="s">
        <v>25</v>
      </c>
      <c r="W40" t="s">
        <v>201</v>
      </c>
      <c r="X40" s="3"/>
      <c r="AC40" t="s">
        <v>202</v>
      </c>
      <c r="AF40" t="s">
        <v>203</v>
      </c>
      <c r="AK40" t="s">
        <v>200</v>
      </c>
      <c r="AM40" s="25"/>
      <c r="AO40" s="25">
        <v>0</v>
      </c>
      <c r="AP40" s="26"/>
      <c r="AQ40" s="26"/>
      <c r="AR40" s="26"/>
      <c r="AS40" s="26" t="str">
        <f t="shared" si="0"/>
        <v/>
      </c>
      <c r="AT40" t="str">
        <f t="shared" si="1"/>
        <v/>
      </c>
      <c r="AU40" t="s">
        <v>200</v>
      </c>
      <c r="AV40" s="3"/>
      <c r="AW40" t="str">
        <f t="shared" si="2"/>
        <v>No scrap rate (No impact);</v>
      </c>
    </row>
    <row r="41" spans="1:49" x14ac:dyDescent="0.3">
      <c r="A41" t="s">
        <v>296</v>
      </c>
      <c r="B41" t="s">
        <v>297</v>
      </c>
      <c r="C41" t="s">
        <v>194</v>
      </c>
      <c r="D41" t="s">
        <v>195</v>
      </c>
      <c r="E41" t="s">
        <v>196</v>
      </c>
      <c r="F41" t="s">
        <v>197</v>
      </c>
      <c r="G41">
        <v>12</v>
      </c>
      <c r="H41">
        <v>0.1</v>
      </c>
      <c r="I41" t="s">
        <v>198</v>
      </c>
      <c r="J41">
        <v>0.13900000000000001</v>
      </c>
      <c r="K41" t="s">
        <v>198</v>
      </c>
      <c r="L41" t="s">
        <v>199</v>
      </c>
      <c r="M41" s="3"/>
      <c r="R41" t="s">
        <v>200</v>
      </c>
      <c r="S41" s="25"/>
      <c r="T41" s="26"/>
      <c r="U41" s="27"/>
      <c r="V41" t="s">
        <v>25</v>
      </c>
      <c r="W41" t="s">
        <v>201</v>
      </c>
      <c r="X41" s="3"/>
      <c r="AC41" t="s">
        <v>202</v>
      </c>
      <c r="AF41" t="s">
        <v>203</v>
      </c>
      <c r="AK41" t="s">
        <v>200</v>
      </c>
      <c r="AM41" s="25"/>
      <c r="AO41" s="25">
        <v>0</v>
      </c>
      <c r="AP41" s="26"/>
      <c r="AQ41" s="26"/>
      <c r="AR41" s="26"/>
      <c r="AS41" s="26" t="str">
        <f t="shared" si="0"/>
        <v/>
      </c>
      <c r="AT41" t="str">
        <f t="shared" si="1"/>
        <v/>
      </c>
      <c r="AU41" t="s">
        <v>200</v>
      </c>
      <c r="AV41" s="3"/>
      <c r="AW41" t="str">
        <f t="shared" si="2"/>
        <v>No scrap rate (No impact);</v>
      </c>
    </row>
    <row r="42" spans="1:49" x14ac:dyDescent="0.3">
      <c r="A42" t="s">
        <v>298</v>
      </c>
      <c r="B42" t="s">
        <v>299</v>
      </c>
      <c r="C42" t="s">
        <v>194</v>
      </c>
      <c r="D42" t="s">
        <v>195</v>
      </c>
      <c r="E42" t="s">
        <v>196</v>
      </c>
      <c r="F42" t="s">
        <v>197</v>
      </c>
      <c r="G42">
        <v>12</v>
      </c>
      <c r="H42">
        <v>0.125</v>
      </c>
      <c r="I42" t="s">
        <v>198</v>
      </c>
      <c r="J42">
        <v>0.16400000000000001</v>
      </c>
      <c r="K42" t="s">
        <v>198</v>
      </c>
      <c r="L42" t="s">
        <v>199</v>
      </c>
      <c r="M42" s="3"/>
      <c r="R42" t="s">
        <v>200</v>
      </c>
      <c r="S42" s="25"/>
      <c r="T42" s="26"/>
      <c r="U42" s="27"/>
      <c r="V42" t="s">
        <v>25</v>
      </c>
      <c r="W42" t="s">
        <v>201</v>
      </c>
      <c r="X42" s="3"/>
      <c r="AC42" t="s">
        <v>202</v>
      </c>
      <c r="AF42" t="s">
        <v>203</v>
      </c>
      <c r="AK42" t="s">
        <v>200</v>
      </c>
      <c r="AM42" s="25"/>
      <c r="AO42" s="25">
        <v>0</v>
      </c>
      <c r="AP42" s="26"/>
      <c r="AQ42" s="26"/>
      <c r="AR42" s="26"/>
      <c r="AS42" s="26" t="str">
        <f t="shared" si="0"/>
        <v/>
      </c>
      <c r="AT42" t="str">
        <f t="shared" si="1"/>
        <v/>
      </c>
      <c r="AU42" t="s">
        <v>200</v>
      </c>
      <c r="AV42" s="3"/>
      <c r="AW42" t="str">
        <f t="shared" si="2"/>
        <v>No scrap rate (No impact);</v>
      </c>
    </row>
    <row r="43" spans="1:49" x14ac:dyDescent="0.3">
      <c r="A43" t="s">
        <v>300</v>
      </c>
      <c r="B43" t="s">
        <v>301</v>
      </c>
      <c r="C43" t="s">
        <v>194</v>
      </c>
      <c r="D43" t="s">
        <v>195</v>
      </c>
      <c r="E43" t="s">
        <v>196</v>
      </c>
      <c r="F43" t="s">
        <v>197</v>
      </c>
      <c r="G43">
        <v>12</v>
      </c>
      <c r="H43">
        <v>0.6</v>
      </c>
      <c r="I43" t="s">
        <v>198</v>
      </c>
      <c r="J43">
        <v>1</v>
      </c>
      <c r="K43" t="s">
        <v>198</v>
      </c>
      <c r="L43" t="s">
        <v>199</v>
      </c>
      <c r="M43" s="3"/>
      <c r="R43" t="s">
        <v>200</v>
      </c>
      <c r="S43" s="25"/>
      <c r="T43" s="26"/>
      <c r="U43" s="27"/>
      <c r="V43" t="s">
        <v>25</v>
      </c>
      <c r="W43" t="s">
        <v>201</v>
      </c>
      <c r="X43" s="3"/>
      <c r="AC43" t="s">
        <v>202</v>
      </c>
      <c r="AF43" t="s">
        <v>203</v>
      </c>
      <c r="AK43" t="s">
        <v>200</v>
      </c>
      <c r="AM43" s="25"/>
      <c r="AO43" s="25">
        <v>0</v>
      </c>
      <c r="AP43" s="26"/>
      <c r="AQ43" s="26"/>
      <c r="AR43" s="26"/>
      <c r="AS43" s="26" t="str">
        <f t="shared" si="0"/>
        <v/>
      </c>
      <c r="AT43" t="str">
        <f t="shared" si="1"/>
        <v/>
      </c>
      <c r="AU43" t="s">
        <v>200</v>
      </c>
      <c r="AV43" s="3"/>
      <c r="AW43" t="str">
        <f t="shared" si="2"/>
        <v>No scrap rate (No impact);</v>
      </c>
    </row>
    <row r="44" spans="1:49" x14ac:dyDescent="0.3">
      <c r="A44" t="s">
        <v>302</v>
      </c>
      <c r="B44" t="s">
        <v>303</v>
      </c>
      <c r="C44" t="s">
        <v>194</v>
      </c>
      <c r="D44" t="s">
        <v>195</v>
      </c>
      <c r="E44" t="s">
        <v>196</v>
      </c>
      <c r="F44" t="s">
        <v>197</v>
      </c>
      <c r="G44">
        <v>12</v>
      </c>
      <c r="H44">
        <v>0.4</v>
      </c>
      <c r="I44" t="s">
        <v>198</v>
      </c>
      <c r="J44">
        <v>0.46200000000000002</v>
      </c>
      <c r="K44" t="s">
        <v>198</v>
      </c>
      <c r="L44" t="s">
        <v>199</v>
      </c>
      <c r="M44" s="3"/>
      <c r="R44" t="s">
        <v>200</v>
      </c>
      <c r="S44" s="25"/>
      <c r="T44" s="26"/>
      <c r="U44" s="27"/>
      <c r="V44" t="s">
        <v>25</v>
      </c>
      <c r="W44" t="s">
        <v>201</v>
      </c>
      <c r="X44" s="3"/>
      <c r="AC44" t="s">
        <v>202</v>
      </c>
      <c r="AF44" t="s">
        <v>203</v>
      </c>
      <c r="AK44" t="s">
        <v>200</v>
      </c>
      <c r="AM44" s="25"/>
      <c r="AO44" s="25">
        <v>0</v>
      </c>
      <c r="AP44" s="26"/>
      <c r="AQ44" s="26"/>
      <c r="AR44" s="26"/>
      <c r="AS44" s="26" t="str">
        <f t="shared" si="0"/>
        <v/>
      </c>
      <c r="AT44" t="str">
        <f t="shared" si="1"/>
        <v/>
      </c>
      <c r="AU44" t="s">
        <v>200</v>
      </c>
      <c r="AV44" s="3"/>
      <c r="AW44" t="str">
        <f t="shared" si="2"/>
        <v>No scrap rate (No impact);</v>
      </c>
    </row>
    <row r="45" spans="1:49" x14ac:dyDescent="0.3">
      <c r="A45" t="s">
        <v>304</v>
      </c>
      <c r="B45" t="s">
        <v>305</v>
      </c>
      <c r="C45" t="s">
        <v>194</v>
      </c>
      <c r="D45" t="s">
        <v>195</v>
      </c>
      <c r="E45" t="s">
        <v>196</v>
      </c>
      <c r="F45" t="s">
        <v>197</v>
      </c>
      <c r="G45">
        <v>4</v>
      </c>
      <c r="H45">
        <v>0.72</v>
      </c>
      <c r="I45" t="s">
        <v>198</v>
      </c>
      <c r="J45">
        <v>0.91</v>
      </c>
      <c r="K45" t="s">
        <v>198</v>
      </c>
      <c r="L45" t="s">
        <v>199</v>
      </c>
      <c r="M45" s="3"/>
      <c r="R45" t="s">
        <v>200</v>
      </c>
      <c r="S45" s="25"/>
      <c r="T45" s="26"/>
      <c r="U45" s="27"/>
      <c r="V45" t="s">
        <v>25</v>
      </c>
      <c r="W45" t="s">
        <v>201</v>
      </c>
      <c r="X45" s="3"/>
      <c r="AC45" t="s">
        <v>202</v>
      </c>
      <c r="AF45" t="s">
        <v>203</v>
      </c>
      <c r="AK45" t="s">
        <v>200</v>
      </c>
      <c r="AM45" s="25"/>
      <c r="AO45" s="25">
        <v>0</v>
      </c>
      <c r="AP45" s="26"/>
      <c r="AQ45" s="26"/>
      <c r="AR45" s="26"/>
      <c r="AS45" s="26" t="str">
        <f t="shared" si="0"/>
        <v/>
      </c>
      <c r="AT45" t="str">
        <f t="shared" si="1"/>
        <v/>
      </c>
      <c r="AU45" t="s">
        <v>200</v>
      </c>
      <c r="AV45" s="3"/>
      <c r="AW45" t="str">
        <f t="shared" si="2"/>
        <v>No scrap rate (No impact);</v>
      </c>
    </row>
    <row r="46" spans="1:49" x14ac:dyDescent="0.3">
      <c r="A46" t="s">
        <v>306</v>
      </c>
      <c r="B46" t="s">
        <v>307</v>
      </c>
      <c r="C46" t="s">
        <v>194</v>
      </c>
      <c r="D46" t="s">
        <v>195</v>
      </c>
      <c r="E46" t="s">
        <v>196</v>
      </c>
      <c r="F46" t="s">
        <v>197</v>
      </c>
      <c r="G46">
        <v>12</v>
      </c>
      <c r="H46">
        <v>0.24</v>
      </c>
      <c r="I46" t="s">
        <v>198</v>
      </c>
      <c r="J46">
        <v>0.34</v>
      </c>
      <c r="K46" t="s">
        <v>198</v>
      </c>
      <c r="L46" t="s">
        <v>199</v>
      </c>
      <c r="M46" s="3"/>
      <c r="R46" t="s">
        <v>200</v>
      </c>
      <c r="S46" s="25"/>
      <c r="T46" s="26"/>
      <c r="U46" s="27"/>
      <c r="V46" t="s">
        <v>25</v>
      </c>
      <c r="W46" t="s">
        <v>201</v>
      </c>
      <c r="X46" s="3"/>
      <c r="AC46" t="s">
        <v>202</v>
      </c>
      <c r="AF46" t="s">
        <v>203</v>
      </c>
      <c r="AK46" t="s">
        <v>200</v>
      </c>
      <c r="AM46" s="25"/>
      <c r="AO46" s="25">
        <v>0</v>
      </c>
      <c r="AP46" s="26"/>
      <c r="AQ46" s="26"/>
      <c r="AR46" s="26"/>
      <c r="AS46" s="26" t="str">
        <f t="shared" si="0"/>
        <v/>
      </c>
      <c r="AT46" t="str">
        <f t="shared" si="1"/>
        <v/>
      </c>
      <c r="AU46" t="s">
        <v>200</v>
      </c>
      <c r="AV46" s="3"/>
      <c r="AW46" t="str">
        <f t="shared" si="2"/>
        <v>No scrap rate (No impact);</v>
      </c>
    </row>
    <row r="47" spans="1:49" x14ac:dyDescent="0.3">
      <c r="A47" t="s">
        <v>308</v>
      </c>
      <c r="B47" t="s">
        <v>309</v>
      </c>
      <c r="C47" t="s">
        <v>194</v>
      </c>
      <c r="D47" t="s">
        <v>195</v>
      </c>
      <c r="E47" t="s">
        <v>196</v>
      </c>
      <c r="F47" t="s">
        <v>197</v>
      </c>
      <c r="G47">
        <v>12</v>
      </c>
      <c r="H47">
        <v>0.52</v>
      </c>
      <c r="I47" t="s">
        <v>198</v>
      </c>
      <c r="J47">
        <v>0.69499999999999995</v>
      </c>
      <c r="K47" t="s">
        <v>198</v>
      </c>
      <c r="L47" t="s">
        <v>199</v>
      </c>
      <c r="M47" s="3"/>
      <c r="R47" t="s">
        <v>200</v>
      </c>
      <c r="S47" s="25"/>
      <c r="T47" s="26"/>
      <c r="U47" s="27"/>
      <c r="V47" t="s">
        <v>25</v>
      </c>
      <c r="W47" t="s">
        <v>201</v>
      </c>
      <c r="X47" s="3"/>
      <c r="AC47" t="s">
        <v>202</v>
      </c>
      <c r="AF47" t="s">
        <v>203</v>
      </c>
      <c r="AK47" t="s">
        <v>200</v>
      </c>
      <c r="AM47" s="25"/>
      <c r="AO47" s="25">
        <v>0</v>
      </c>
      <c r="AP47" s="26"/>
      <c r="AQ47" s="26"/>
      <c r="AR47" s="26"/>
      <c r="AS47" s="26" t="str">
        <f t="shared" si="0"/>
        <v/>
      </c>
      <c r="AT47" t="str">
        <f t="shared" si="1"/>
        <v/>
      </c>
      <c r="AU47" t="s">
        <v>200</v>
      </c>
      <c r="AV47" s="3"/>
      <c r="AW47" t="str">
        <f t="shared" si="2"/>
        <v>No scrap rate (No impact);</v>
      </c>
    </row>
    <row r="48" spans="1:49" x14ac:dyDescent="0.3">
      <c r="A48" t="s">
        <v>310</v>
      </c>
      <c r="B48" t="s">
        <v>311</v>
      </c>
      <c r="C48" t="s">
        <v>194</v>
      </c>
      <c r="D48" t="s">
        <v>195</v>
      </c>
      <c r="E48" t="s">
        <v>312</v>
      </c>
      <c r="F48" t="s">
        <v>313</v>
      </c>
      <c r="G48">
        <v>8</v>
      </c>
      <c r="H48">
        <v>1.5</v>
      </c>
      <c r="I48" t="s">
        <v>198</v>
      </c>
      <c r="J48">
        <v>1.65</v>
      </c>
      <c r="K48" t="s">
        <v>198</v>
      </c>
      <c r="L48" t="s">
        <v>199</v>
      </c>
      <c r="M48" s="3"/>
      <c r="R48" t="s">
        <v>200</v>
      </c>
      <c r="S48" s="25"/>
      <c r="T48" s="26"/>
      <c r="U48" s="27"/>
      <c r="V48" t="s">
        <v>25</v>
      </c>
      <c r="W48" t="s">
        <v>201</v>
      </c>
      <c r="X48" s="3"/>
      <c r="AC48" t="s">
        <v>202</v>
      </c>
      <c r="AF48" t="s">
        <v>203</v>
      </c>
      <c r="AK48" t="s">
        <v>200</v>
      </c>
      <c r="AM48" s="25"/>
      <c r="AO48" s="25">
        <v>0</v>
      </c>
      <c r="AP48" s="26"/>
      <c r="AQ48" s="26"/>
      <c r="AR48" s="26"/>
      <c r="AS48" s="26" t="str">
        <f t="shared" si="0"/>
        <v/>
      </c>
      <c r="AT48" t="str">
        <f t="shared" si="1"/>
        <v/>
      </c>
      <c r="AU48" t="s">
        <v>200</v>
      </c>
      <c r="AV48" s="3"/>
      <c r="AW48" t="str">
        <f t="shared" si="2"/>
        <v>No scrap rate (No impact);</v>
      </c>
    </row>
    <row r="49" spans="1:49" x14ac:dyDescent="0.3">
      <c r="A49" t="s">
        <v>314</v>
      </c>
      <c r="B49" t="s">
        <v>315</v>
      </c>
      <c r="C49" t="s">
        <v>212</v>
      </c>
      <c r="D49" t="s">
        <v>213</v>
      </c>
      <c r="E49" t="s">
        <v>316</v>
      </c>
      <c r="F49" t="s">
        <v>317</v>
      </c>
      <c r="G49">
        <v>12</v>
      </c>
      <c r="H49">
        <v>0.45300000000000001</v>
      </c>
      <c r="I49" t="s">
        <v>198</v>
      </c>
      <c r="J49">
        <v>0.58199999999999996</v>
      </c>
      <c r="K49" t="s">
        <v>198</v>
      </c>
      <c r="L49" t="s">
        <v>199</v>
      </c>
      <c r="M49" s="3"/>
      <c r="R49" t="s">
        <v>200</v>
      </c>
      <c r="S49" s="25"/>
      <c r="T49" s="26"/>
      <c r="U49" s="27"/>
      <c r="V49" t="s">
        <v>25</v>
      </c>
      <c r="W49" t="s">
        <v>201</v>
      </c>
      <c r="X49" s="3"/>
      <c r="AC49" t="s">
        <v>202</v>
      </c>
      <c r="AF49" t="s">
        <v>203</v>
      </c>
      <c r="AK49" t="s">
        <v>200</v>
      </c>
      <c r="AM49" s="25"/>
      <c r="AO49" s="25">
        <v>0</v>
      </c>
      <c r="AP49" s="26"/>
      <c r="AQ49" s="26"/>
      <c r="AR49" s="26"/>
      <c r="AS49" s="26" t="str">
        <f t="shared" si="0"/>
        <v/>
      </c>
      <c r="AT49" t="str">
        <f t="shared" si="1"/>
        <v/>
      </c>
      <c r="AU49" t="s">
        <v>200</v>
      </c>
      <c r="AV49" s="3"/>
      <c r="AW49" t="str">
        <f t="shared" si="2"/>
        <v>No scrap rate (No impact);</v>
      </c>
    </row>
    <row r="50" spans="1:49" x14ac:dyDescent="0.3">
      <c r="A50" t="s">
        <v>318</v>
      </c>
      <c r="B50" t="s">
        <v>319</v>
      </c>
      <c r="C50" t="s">
        <v>194</v>
      </c>
      <c r="D50" t="s">
        <v>195</v>
      </c>
      <c r="E50" t="s">
        <v>196</v>
      </c>
      <c r="F50" t="s">
        <v>197</v>
      </c>
      <c r="G50">
        <v>12</v>
      </c>
      <c r="H50">
        <v>1</v>
      </c>
      <c r="I50" t="s">
        <v>198</v>
      </c>
      <c r="J50">
        <v>1.073</v>
      </c>
      <c r="K50" t="s">
        <v>198</v>
      </c>
      <c r="L50" t="s">
        <v>199</v>
      </c>
      <c r="M50" s="3"/>
      <c r="R50" t="s">
        <v>200</v>
      </c>
      <c r="S50" s="25"/>
      <c r="T50" s="26"/>
      <c r="U50" s="27"/>
      <c r="V50" t="s">
        <v>25</v>
      </c>
      <c r="W50" t="s">
        <v>201</v>
      </c>
      <c r="X50" s="3"/>
      <c r="AC50" t="s">
        <v>202</v>
      </c>
      <c r="AF50" t="s">
        <v>203</v>
      </c>
      <c r="AK50" t="s">
        <v>200</v>
      </c>
      <c r="AM50" s="25"/>
      <c r="AO50" s="25">
        <v>0</v>
      </c>
      <c r="AP50" s="26"/>
      <c r="AQ50" s="26"/>
      <c r="AR50" s="26"/>
      <c r="AS50" s="26" t="str">
        <f t="shared" si="0"/>
        <v/>
      </c>
      <c r="AT50" t="str">
        <f t="shared" si="1"/>
        <v/>
      </c>
      <c r="AU50" t="s">
        <v>200</v>
      </c>
      <c r="AV50" s="3"/>
      <c r="AW50" t="str">
        <f t="shared" si="2"/>
        <v>No scrap rate (No impact);</v>
      </c>
    </row>
    <row r="51" spans="1:49" x14ac:dyDescent="0.3">
      <c r="A51" t="s">
        <v>320</v>
      </c>
      <c r="B51" t="s">
        <v>321</v>
      </c>
      <c r="C51" t="s">
        <v>194</v>
      </c>
      <c r="D51" t="s">
        <v>195</v>
      </c>
      <c r="E51" t="s">
        <v>196</v>
      </c>
      <c r="F51" t="s">
        <v>197</v>
      </c>
      <c r="G51">
        <v>4</v>
      </c>
      <c r="H51">
        <v>5</v>
      </c>
      <c r="I51" t="s">
        <v>198</v>
      </c>
      <c r="J51">
        <v>5.1929999999999996</v>
      </c>
      <c r="K51" t="s">
        <v>198</v>
      </c>
      <c r="L51" t="s">
        <v>199</v>
      </c>
      <c r="M51" s="3"/>
      <c r="R51" t="s">
        <v>200</v>
      </c>
      <c r="S51" s="25"/>
      <c r="T51" s="26"/>
      <c r="U51" s="27"/>
      <c r="V51" t="s">
        <v>25</v>
      </c>
      <c r="W51" t="s">
        <v>201</v>
      </c>
      <c r="X51" s="3"/>
      <c r="AC51" t="s">
        <v>202</v>
      </c>
      <c r="AF51" t="s">
        <v>203</v>
      </c>
      <c r="AK51" t="s">
        <v>200</v>
      </c>
      <c r="AM51" s="25"/>
      <c r="AO51" s="25">
        <v>0</v>
      </c>
      <c r="AP51" s="26"/>
      <c r="AQ51" s="26"/>
      <c r="AR51" s="26"/>
      <c r="AS51" s="26" t="str">
        <f t="shared" si="0"/>
        <v/>
      </c>
      <c r="AT51" t="str">
        <f t="shared" si="1"/>
        <v/>
      </c>
      <c r="AU51" t="s">
        <v>200</v>
      </c>
      <c r="AV51" s="3"/>
      <c r="AW51" t="str">
        <f t="shared" si="2"/>
        <v>No scrap rate (No impact);</v>
      </c>
    </row>
    <row r="52" spans="1:49" x14ac:dyDescent="0.3">
      <c r="A52" t="s">
        <v>322</v>
      </c>
      <c r="B52" t="s">
        <v>323</v>
      </c>
      <c r="C52" t="s">
        <v>194</v>
      </c>
      <c r="D52" t="s">
        <v>195</v>
      </c>
      <c r="E52" t="s">
        <v>196</v>
      </c>
      <c r="F52" t="s">
        <v>197</v>
      </c>
      <c r="G52">
        <v>12</v>
      </c>
      <c r="H52">
        <v>0.75</v>
      </c>
      <c r="I52" t="s">
        <v>198</v>
      </c>
      <c r="J52">
        <v>0.82199999999999995</v>
      </c>
      <c r="K52" t="s">
        <v>198</v>
      </c>
      <c r="L52" t="s">
        <v>199</v>
      </c>
      <c r="M52" s="3"/>
      <c r="R52" t="s">
        <v>200</v>
      </c>
      <c r="S52" s="25"/>
      <c r="T52" s="26"/>
      <c r="U52" s="27"/>
      <c r="V52" t="s">
        <v>25</v>
      </c>
      <c r="W52" t="s">
        <v>201</v>
      </c>
      <c r="X52" s="3"/>
      <c r="AC52" t="s">
        <v>202</v>
      </c>
      <c r="AF52" t="s">
        <v>203</v>
      </c>
      <c r="AK52" t="s">
        <v>200</v>
      </c>
      <c r="AM52" s="25"/>
      <c r="AO52" s="25">
        <v>0</v>
      </c>
      <c r="AP52" s="26"/>
      <c r="AQ52" s="26"/>
      <c r="AR52" s="26"/>
      <c r="AS52" s="26" t="str">
        <f t="shared" si="0"/>
        <v/>
      </c>
      <c r="AT52" t="str">
        <f t="shared" si="1"/>
        <v/>
      </c>
      <c r="AU52" t="s">
        <v>200</v>
      </c>
      <c r="AV52" s="3"/>
      <c r="AW52" t="str">
        <f t="shared" si="2"/>
        <v>No scrap rate (No impact);</v>
      </c>
    </row>
    <row r="53" spans="1:49" x14ac:dyDescent="0.3">
      <c r="A53" t="s">
        <v>324</v>
      </c>
      <c r="B53" t="s">
        <v>325</v>
      </c>
      <c r="C53" t="s">
        <v>194</v>
      </c>
      <c r="D53" t="s">
        <v>195</v>
      </c>
      <c r="E53" t="s">
        <v>196</v>
      </c>
      <c r="F53" t="s">
        <v>197</v>
      </c>
      <c r="G53">
        <v>1</v>
      </c>
      <c r="H53">
        <v>20</v>
      </c>
      <c r="I53" t="s">
        <v>198</v>
      </c>
      <c r="J53">
        <v>20.92</v>
      </c>
      <c r="K53" t="s">
        <v>198</v>
      </c>
      <c r="L53" t="s">
        <v>199</v>
      </c>
      <c r="M53" s="3"/>
      <c r="R53" t="s">
        <v>200</v>
      </c>
      <c r="S53" s="25"/>
      <c r="T53" s="26"/>
      <c r="U53" s="27"/>
      <c r="V53" t="s">
        <v>25</v>
      </c>
      <c r="W53" t="s">
        <v>201</v>
      </c>
      <c r="X53" s="3"/>
      <c r="AC53" t="s">
        <v>202</v>
      </c>
      <c r="AF53" t="s">
        <v>203</v>
      </c>
      <c r="AK53" t="s">
        <v>200</v>
      </c>
      <c r="AM53" s="25"/>
      <c r="AO53" s="25">
        <v>0</v>
      </c>
      <c r="AP53" s="26"/>
      <c r="AQ53" s="26"/>
      <c r="AR53" s="26"/>
      <c r="AS53" s="26" t="str">
        <f t="shared" si="0"/>
        <v/>
      </c>
      <c r="AT53" t="str">
        <f t="shared" si="1"/>
        <v/>
      </c>
      <c r="AU53" t="s">
        <v>200</v>
      </c>
      <c r="AV53" s="3"/>
      <c r="AW53" t="str">
        <f t="shared" si="2"/>
        <v>No scrap rate (No impact);</v>
      </c>
    </row>
    <row r="54" spans="1:49" x14ac:dyDescent="0.3">
      <c r="A54" t="s">
        <v>326</v>
      </c>
      <c r="B54" t="s">
        <v>327</v>
      </c>
      <c r="C54" t="s">
        <v>194</v>
      </c>
      <c r="D54" t="s">
        <v>195</v>
      </c>
      <c r="E54" t="s">
        <v>196</v>
      </c>
      <c r="F54" t="s">
        <v>197</v>
      </c>
      <c r="G54">
        <v>12</v>
      </c>
      <c r="H54">
        <v>1</v>
      </c>
      <c r="I54" t="s">
        <v>198</v>
      </c>
      <c r="J54">
        <v>1.018</v>
      </c>
      <c r="K54" t="s">
        <v>198</v>
      </c>
      <c r="L54" t="s">
        <v>199</v>
      </c>
      <c r="M54" s="3"/>
      <c r="R54" t="s">
        <v>200</v>
      </c>
      <c r="S54" s="25"/>
      <c r="T54" s="26"/>
      <c r="U54" s="27"/>
      <c r="V54" t="s">
        <v>25</v>
      </c>
      <c r="W54" t="s">
        <v>201</v>
      </c>
      <c r="X54" s="3"/>
      <c r="AC54" t="s">
        <v>202</v>
      </c>
      <c r="AF54" t="s">
        <v>203</v>
      </c>
      <c r="AK54" t="s">
        <v>200</v>
      </c>
      <c r="AM54" s="25"/>
      <c r="AO54" s="25">
        <v>0</v>
      </c>
      <c r="AP54" s="26"/>
      <c r="AQ54" s="26"/>
      <c r="AR54" s="26"/>
      <c r="AS54" s="26" t="str">
        <f t="shared" si="0"/>
        <v/>
      </c>
      <c r="AT54" t="str">
        <f t="shared" si="1"/>
        <v/>
      </c>
      <c r="AU54" t="s">
        <v>200</v>
      </c>
      <c r="AV54" s="3"/>
      <c r="AW54" t="str">
        <f t="shared" si="2"/>
        <v>No scrap rate (No impact);</v>
      </c>
    </row>
    <row r="55" spans="1:49" x14ac:dyDescent="0.3">
      <c r="A55" t="s">
        <v>328</v>
      </c>
      <c r="B55" t="s">
        <v>329</v>
      </c>
      <c r="C55" t="s">
        <v>194</v>
      </c>
      <c r="D55" t="s">
        <v>195</v>
      </c>
      <c r="E55" t="s">
        <v>196</v>
      </c>
      <c r="F55" t="s">
        <v>197</v>
      </c>
      <c r="G55">
        <v>4</v>
      </c>
      <c r="H55">
        <v>2.5</v>
      </c>
      <c r="I55" t="s">
        <v>198</v>
      </c>
      <c r="J55">
        <v>2.7120000000000002</v>
      </c>
      <c r="K55" t="s">
        <v>198</v>
      </c>
      <c r="L55" t="s">
        <v>199</v>
      </c>
      <c r="M55" s="3"/>
      <c r="R55" t="s">
        <v>200</v>
      </c>
      <c r="S55" s="25"/>
      <c r="T55" s="26"/>
      <c r="U55" s="27"/>
      <c r="V55" t="s">
        <v>25</v>
      </c>
      <c r="W55" t="s">
        <v>201</v>
      </c>
      <c r="X55" s="3"/>
      <c r="AC55" t="s">
        <v>202</v>
      </c>
      <c r="AF55" t="s">
        <v>203</v>
      </c>
      <c r="AK55" t="s">
        <v>200</v>
      </c>
      <c r="AM55" s="25"/>
      <c r="AO55" s="25">
        <v>0</v>
      </c>
      <c r="AP55" s="26"/>
      <c r="AQ55" s="26"/>
      <c r="AR55" s="26"/>
      <c r="AS55" s="26" t="str">
        <f t="shared" si="0"/>
        <v/>
      </c>
      <c r="AT55" t="str">
        <f t="shared" si="1"/>
        <v/>
      </c>
      <c r="AU55" t="s">
        <v>200</v>
      </c>
      <c r="AV55" s="3"/>
      <c r="AW55" t="str">
        <f t="shared" si="2"/>
        <v>No scrap rate (No impact);</v>
      </c>
    </row>
    <row r="56" spans="1:49" x14ac:dyDescent="0.3">
      <c r="A56" t="s">
        <v>330</v>
      </c>
      <c r="B56" t="s">
        <v>331</v>
      </c>
      <c r="C56" t="s">
        <v>194</v>
      </c>
      <c r="D56" t="s">
        <v>195</v>
      </c>
      <c r="E56" t="s">
        <v>332</v>
      </c>
      <c r="F56" t="s">
        <v>333</v>
      </c>
      <c r="G56">
        <v>12</v>
      </c>
      <c r="H56">
        <v>0.34</v>
      </c>
      <c r="I56" t="s">
        <v>198</v>
      </c>
      <c r="J56">
        <v>0.39</v>
      </c>
      <c r="K56" t="s">
        <v>198</v>
      </c>
      <c r="L56" t="s">
        <v>199</v>
      </c>
      <c r="M56" s="3"/>
      <c r="R56" t="s">
        <v>200</v>
      </c>
      <c r="S56" s="25"/>
      <c r="T56" s="26"/>
      <c r="U56" s="27"/>
      <c r="V56" t="s">
        <v>25</v>
      </c>
      <c r="W56" t="s">
        <v>201</v>
      </c>
      <c r="X56" s="3"/>
      <c r="AC56" t="s">
        <v>202</v>
      </c>
      <c r="AF56" t="s">
        <v>203</v>
      </c>
      <c r="AK56" t="s">
        <v>200</v>
      </c>
      <c r="AM56" s="25"/>
      <c r="AO56" s="25">
        <v>0</v>
      </c>
      <c r="AP56" s="26"/>
      <c r="AQ56" s="26"/>
      <c r="AR56" s="26"/>
      <c r="AS56" s="26" t="str">
        <f t="shared" si="0"/>
        <v/>
      </c>
      <c r="AT56" t="str">
        <f t="shared" si="1"/>
        <v/>
      </c>
      <c r="AU56" t="s">
        <v>200</v>
      </c>
      <c r="AV56" s="3"/>
      <c r="AW56" t="str">
        <f t="shared" si="2"/>
        <v>No scrap rate (No impact);</v>
      </c>
    </row>
    <row r="57" spans="1:49" x14ac:dyDescent="0.3">
      <c r="A57" t="s">
        <v>334</v>
      </c>
      <c r="B57" t="s">
        <v>335</v>
      </c>
      <c r="C57" t="s">
        <v>194</v>
      </c>
      <c r="D57" t="s">
        <v>195</v>
      </c>
      <c r="E57" t="s">
        <v>196</v>
      </c>
      <c r="F57" t="s">
        <v>197</v>
      </c>
      <c r="G57">
        <v>4</v>
      </c>
      <c r="H57">
        <v>2.5</v>
      </c>
      <c r="I57" t="s">
        <v>198</v>
      </c>
      <c r="J57">
        <v>2.7669999999999999</v>
      </c>
      <c r="K57" t="s">
        <v>198</v>
      </c>
      <c r="L57" t="s">
        <v>199</v>
      </c>
      <c r="M57" s="3"/>
      <c r="R57" t="s">
        <v>200</v>
      </c>
      <c r="S57" s="25"/>
      <c r="T57" s="26"/>
      <c r="U57" s="27"/>
      <c r="V57" t="s">
        <v>25</v>
      </c>
      <c r="W57" t="s">
        <v>201</v>
      </c>
      <c r="X57" s="3"/>
      <c r="AC57" t="s">
        <v>202</v>
      </c>
      <c r="AF57" t="s">
        <v>203</v>
      </c>
      <c r="AK57" t="s">
        <v>200</v>
      </c>
      <c r="AM57" s="25"/>
      <c r="AO57" s="25">
        <v>0</v>
      </c>
      <c r="AP57" s="26"/>
      <c r="AQ57" s="26"/>
      <c r="AR57" s="26"/>
      <c r="AS57" s="26" t="str">
        <f t="shared" si="0"/>
        <v/>
      </c>
      <c r="AT57" t="str">
        <f t="shared" si="1"/>
        <v/>
      </c>
      <c r="AU57" t="s">
        <v>200</v>
      </c>
      <c r="AV57" s="3"/>
      <c r="AW57" t="str">
        <f t="shared" si="2"/>
        <v>No scrap rate (No impact);</v>
      </c>
    </row>
    <row r="58" spans="1:49" x14ac:dyDescent="0.3">
      <c r="A58" t="s">
        <v>336</v>
      </c>
      <c r="B58" t="s">
        <v>337</v>
      </c>
      <c r="C58" t="s">
        <v>194</v>
      </c>
      <c r="D58" t="s">
        <v>195</v>
      </c>
      <c r="E58" t="s">
        <v>196</v>
      </c>
      <c r="F58" t="s">
        <v>197</v>
      </c>
      <c r="G58">
        <v>4</v>
      </c>
      <c r="H58">
        <v>2.5</v>
      </c>
      <c r="I58" t="s">
        <v>198</v>
      </c>
      <c r="J58">
        <v>2.7669999999999999</v>
      </c>
      <c r="K58" t="s">
        <v>198</v>
      </c>
      <c r="L58" t="s">
        <v>199</v>
      </c>
      <c r="M58" s="3"/>
      <c r="R58" t="s">
        <v>200</v>
      </c>
      <c r="S58" s="25"/>
      <c r="T58" s="26"/>
      <c r="U58" s="27"/>
      <c r="V58" t="s">
        <v>25</v>
      </c>
      <c r="W58" t="s">
        <v>201</v>
      </c>
      <c r="X58" s="3"/>
      <c r="AC58" t="s">
        <v>202</v>
      </c>
      <c r="AF58" t="s">
        <v>203</v>
      </c>
      <c r="AK58" t="s">
        <v>200</v>
      </c>
      <c r="AM58" s="25"/>
      <c r="AO58" s="25">
        <v>0</v>
      </c>
      <c r="AP58" s="26"/>
      <c r="AQ58" s="26"/>
      <c r="AR58" s="26"/>
      <c r="AS58" s="26" t="str">
        <f t="shared" si="0"/>
        <v/>
      </c>
      <c r="AT58" t="str">
        <f t="shared" si="1"/>
        <v/>
      </c>
      <c r="AU58" t="s">
        <v>200</v>
      </c>
      <c r="AV58" s="3"/>
      <c r="AW58" t="str">
        <f t="shared" si="2"/>
        <v>No scrap rate (No impact);</v>
      </c>
    </row>
    <row r="59" spans="1:49" x14ac:dyDescent="0.3">
      <c r="A59" t="s">
        <v>338</v>
      </c>
      <c r="B59" t="s">
        <v>339</v>
      </c>
      <c r="C59" t="s">
        <v>194</v>
      </c>
      <c r="D59" t="s">
        <v>195</v>
      </c>
      <c r="E59" t="s">
        <v>196</v>
      </c>
      <c r="F59" t="s">
        <v>197</v>
      </c>
      <c r="G59">
        <v>12</v>
      </c>
      <c r="H59">
        <v>1</v>
      </c>
      <c r="I59" t="s">
        <v>198</v>
      </c>
      <c r="J59">
        <v>1.0720000000000001</v>
      </c>
      <c r="K59" t="s">
        <v>198</v>
      </c>
      <c r="L59" t="s">
        <v>199</v>
      </c>
      <c r="M59" s="3"/>
      <c r="R59" t="s">
        <v>200</v>
      </c>
      <c r="S59" s="25"/>
      <c r="T59" s="26"/>
      <c r="U59" s="27"/>
      <c r="V59" t="s">
        <v>25</v>
      </c>
      <c r="W59" t="s">
        <v>201</v>
      </c>
      <c r="X59" s="3"/>
      <c r="AC59" t="s">
        <v>202</v>
      </c>
      <c r="AF59" t="s">
        <v>203</v>
      </c>
      <c r="AK59" t="s">
        <v>200</v>
      </c>
      <c r="AM59" s="25"/>
      <c r="AO59" s="25">
        <v>0</v>
      </c>
      <c r="AP59" s="26"/>
      <c r="AQ59" s="26"/>
      <c r="AR59" s="26"/>
      <c r="AS59" s="26" t="str">
        <f t="shared" si="0"/>
        <v/>
      </c>
      <c r="AT59" t="str">
        <f t="shared" si="1"/>
        <v/>
      </c>
      <c r="AU59" t="s">
        <v>200</v>
      </c>
      <c r="AV59" s="3"/>
      <c r="AW59" t="str">
        <f t="shared" si="2"/>
        <v>No scrap rate (No impact);</v>
      </c>
    </row>
    <row r="60" spans="1:49" x14ac:dyDescent="0.3">
      <c r="A60" t="s">
        <v>340</v>
      </c>
      <c r="B60" t="s">
        <v>341</v>
      </c>
      <c r="C60" t="s">
        <v>194</v>
      </c>
      <c r="D60" t="s">
        <v>195</v>
      </c>
      <c r="E60" t="s">
        <v>196</v>
      </c>
      <c r="F60" t="s">
        <v>197</v>
      </c>
      <c r="G60">
        <v>12</v>
      </c>
      <c r="H60">
        <v>0.75</v>
      </c>
      <c r="I60" t="s">
        <v>198</v>
      </c>
      <c r="J60">
        <v>0.82199999999999995</v>
      </c>
      <c r="K60" t="s">
        <v>198</v>
      </c>
      <c r="L60" t="s">
        <v>199</v>
      </c>
      <c r="M60" s="3"/>
      <c r="R60" t="s">
        <v>200</v>
      </c>
      <c r="S60" s="25"/>
      <c r="T60" s="26"/>
      <c r="U60" s="27"/>
      <c r="V60" t="s">
        <v>25</v>
      </c>
      <c r="W60" t="s">
        <v>201</v>
      </c>
      <c r="X60" s="3"/>
      <c r="AC60" t="s">
        <v>202</v>
      </c>
      <c r="AF60" t="s">
        <v>203</v>
      </c>
      <c r="AK60" t="s">
        <v>200</v>
      </c>
      <c r="AM60" s="25"/>
      <c r="AO60" s="25">
        <v>0</v>
      </c>
      <c r="AP60" s="26"/>
      <c r="AQ60" s="26"/>
      <c r="AR60" s="26"/>
      <c r="AS60" s="26" t="str">
        <f t="shared" si="0"/>
        <v/>
      </c>
      <c r="AT60" t="str">
        <f t="shared" si="1"/>
        <v/>
      </c>
      <c r="AU60" t="s">
        <v>200</v>
      </c>
      <c r="AV60" s="3"/>
      <c r="AW60" t="str">
        <f t="shared" si="2"/>
        <v>No scrap rate (No impact);</v>
      </c>
    </row>
    <row r="61" spans="1:49" x14ac:dyDescent="0.3">
      <c r="A61" t="s">
        <v>342</v>
      </c>
      <c r="B61" t="s">
        <v>343</v>
      </c>
      <c r="C61" t="s">
        <v>194</v>
      </c>
      <c r="D61" t="s">
        <v>195</v>
      </c>
      <c r="E61" t="s">
        <v>196</v>
      </c>
      <c r="F61" t="s">
        <v>197</v>
      </c>
      <c r="G61">
        <v>12</v>
      </c>
      <c r="H61">
        <v>0.75</v>
      </c>
      <c r="I61" t="s">
        <v>198</v>
      </c>
      <c r="J61">
        <v>0.82199999999999995</v>
      </c>
      <c r="K61" t="s">
        <v>198</v>
      </c>
      <c r="L61" t="s">
        <v>199</v>
      </c>
      <c r="M61" s="3"/>
      <c r="R61" t="s">
        <v>200</v>
      </c>
      <c r="S61" s="25"/>
      <c r="T61" s="26"/>
      <c r="U61" s="27"/>
      <c r="V61" t="s">
        <v>25</v>
      </c>
      <c r="W61" t="s">
        <v>201</v>
      </c>
      <c r="X61" s="3"/>
      <c r="AC61" t="s">
        <v>202</v>
      </c>
      <c r="AF61" t="s">
        <v>203</v>
      </c>
      <c r="AK61" t="s">
        <v>200</v>
      </c>
      <c r="AM61" s="25"/>
      <c r="AO61" s="25">
        <v>0</v>
      </c>
      <c r="AP61" s="26"/>
      <c r="AQ61" s="26"/>
      <c r="AR61" s="26"/>
      <c r="AS61" s="26" t="str">
        <f t="shared" si="0"/>
        <v/>
      </c>
      <c r="AT61" t="str">
        <f t="shared" si="1"/>
        <v/>
      </c>
      <c r="AU61" t="s">
        <v>200</v>
      </c>
      <c r="AV61" s="3"/>
      <c r="AW61" t="str">
        <f t="shared" si="2"/>
        <v>No scrap rate (No impact);</v>
      </c>
    </row>
    <row r="62" spans="1:49" x14ac:dyDescent="0.3">
      <c r="A62" t="s">
        <v>344</v>
      </c>
      <c r="B62" t="s">
        <v>345</v>
      </c>
      <c r="C62" t="s">
        <v>194</v>
      </c>
      <c r="D62" t="s">
        <v>195</v>
      </c>
      <c r="E62" t="s">
        <v>346</v>
      </c>
      <c r="F62" t="s">
        <v>347</v>
      </c>
      <c r="G62">
        <v>4</v>
      </c>
      <c r="H62">
        <v>2.5</v>
      </c>
      <c r="I62" t="s">
        <v>198</v>
      </c>
      <c r="J62">
        <v>2.7160000000000002</v>
      </c>
      <c r="K62" t="s">
        <v>198</v>
      </c>
      <c r="L62" t="s">
        <v>199</v>
      </c>
      <c r="M62" s="3"/>
      <c r="R62" t="s">
        <v>200</v>
      </c>
      <c r="S62" s="25"/>
      <c r="T62" s="26"/>
      <c r="U62" s="27"/>
      <c r="V62" t="s">
        <v>25</v>
      </c>
      <c r="W62" t="s">
        <v>201</v>
      </c>
      <c r="X62" s="3"/>
      <c r="AC62" t="s">
        <v>202</v>
      </c>
      <c r="AF62" t="s">
        <v>203</v>
      </c>
      <c r="AK62" t="s">
        <v>200</v>
      </c>
      <c r="AM62" s="25"/>
      <c r="AO62" s="25">
        <v>0</v>
      </c>
      <c r="AP62" s="26"/>
      <c r="AQ62" s="26"/>
      <c r="AR62" s="26"/>
      <c r="AS62" s="26" t="str">
        <f t="shared" si="0"/>
        <v/>
      </c>
      <c r="AT62" t="str">
        <f t="shared" si="1"/>
        <v/>
      </c>
      <c r="AU62" t="s">
        <v>200</v>
      </c>
      <c r="AV62" s="3"/>
      <c r="AW62" t="str">
        <f t="shared" si="2"/>
        <v>No scrap rate (No impact);</v>
      </c>
    </row>
    <row r="63" spans="1:49" x14ac:dyDescent="0.3">
      <c r="A63" t="s">
        <v>348</v>
      </c>
      <c r="B63" t="s">
        <v>349</v>
      </c>
      <c r="C63" t="s">
        <v>194</v>
      </c>
      <c r="D63" t="s">
        <v>195</v>
      </c>
      <c r="E63" t="s">
        <v>346</v>
      </c>
      <c r="F63" t="s">
        <v>347</v>
      </c>
      <c r="G63">
        <v>4</v>
      </c>
      <c r="H63">
        <v>2.5</v>
      </c>
      <c r="I63" t="s">
        <v>198</v>
      </c>
      <c r="J63">
        <v>2.7160000000000002</v>
      </c>
      <c r="K63" t="s">
        <v>198</v>
      </c>
      <c r="L63" t="s">
        <v>199</v>
      </c>
      <c r="M63" s="3"/>
      <c r="R63" t="s">
        <v>200</v>
      </c>
      <c r="S63" s="25"/>
      <c r="T63" s="26"/>
      <c r="U63" s="27"/>
      <c r="V63" t="s">
        <v>25</v>
      </c>
      <c r="W63" t="s">
        <v>201</v>
      </c>
      <c r="X63" s="3"/>
      <c r="AC63" t="s">
        <v>202</v>
      </c>
      <c r="AF63" t="s">
        <v>203</v>
      </c>
      <c r="AK63" t="s">
        <v>200</v>
      </c>
      <c r="AM63" s="25"/>
      <c r="AO63" s="25">
        <v>0</v>
      </c>
      <c r="AP63" s="26"/>
      <c r="AQ63" s="26"/>
      <c r="AR63" s="26"/>
      <c r="AS63" s="26" t="str">
        <f t="shared" si="0"/>
        <v/>
      </c>
      <c r="AT63" t="str">
        <f t="shared" si="1"/>
        <v/>
      </c>
      <c r="AU63" t="s">
        <v>200</v>
      </c>
      <c r="AV63" s="3"/>
      <c r="AW63" t="str">
        <f t="shared" si="2"/>
        <v>No scrap rate (No impact);</v>
      </c>
    </row>
    <row r="64" spans="1:49" x14ac:dyDescent="0.3">
      <c r="A64" t="s">
        <v>350</v>
      </c>
      <c r="B64" t="s">
        <v>351</v>
      </c>
      <c r="C64" t="s">
        <v>194</v>
      </c>
      <c r="D64" t="s">
        <v>195</v>
      </c>
      <c r="E64" t="s">
        <v>196</v>
      </c>
      <c r="F64" t="s">
        <v>197</v>
      </c>
      <c r="G64">
        <v>12</v>
      </c>
      <c r="H64">
        <v>1</v>
      </c>
      <c r="I64" t="s">
        <v>198</v>
      </c>
      <c r="J64">
        <v>1.1000000000000001</v>
      </c>
      <c r="K64" t="s">
        <v>198</v>
      </c>
      <c r="L64" t="s">
        <v>199</v>
      </c>
      <c r="M64" s="3"/>
      <c r="R64" t="s">
        <v>200</v>
      </c>
      <c r="S64" s="25"/>
      <c r="T64" s="26"/>
      <c r="U64" s="27"/>
      <c r="V64" t="s">
        <v>25</v>
      </c>
      <c r="W64" t="s">
        <v>201</v>
      </c>
      <c r="X64" s="3"/>
      <c r="AC64" t="s">
        <v>202</v>
      </c>
      <c r="AF64" t="s">
        <v>203</v>
      </c>
      <c r="AK64" t="s">
        <v>200</v>
      </c>
      <c r="AM64" s="25"/>
      <c r="AO64" s="25">
        <v>0</v>
      </c>
      <c r="AP64" s="26"/>
      <c r="AQ64" s="26"/>
      <c r="AR64" s="26"/>
      <c r="AS64" s="26" t="str">
        <f t="shared" si="0"/>
        <v/>
      </c>
      <c r="AT64" t="str">
        <f t="shared" si="1"/>
        <v/>
      </c>
      <c r="AU64" t="s">
        <v>200</v>
      </c>
      <c r="AV64" s="3"/>
      <c r="AW64" t="str">
        <f t="shared" si="2"/>
        <v>No scrap rate (No impact);</v>
      </c>
    </row>
    <row r="65" spans="1:49" x14ac:dyDescent="0.3">
      <c r="A65" t="s">
        <v>352</v>
      </c>
      <c r="B65" t="s">
        <v>353</v>
      </c>
      <c r="C65" t="s">
        <v>194</v>
      </c>
      <c r="D65" t="s">
        <v>195</v>
      </c>
      <c r="E65" t="s">
        <v>196</v>
      </c>
      <c r="F65" t="s">
        <v>197</v>
      </c>
      <c r="G65">
        <v>12</v>
      </c>
      <c r="H65">
        <v>0.7</v>
      </c>
      <c r="I65" t="s">
        <v>198</v>
      </c>
      <c r="J65">
        <v>0.81699999999999995</v>
      </c>
      <c r="K65" t="s">
        <v>198</v>
      </c>
      <c r="L65" t="s">
        <v>199</v>
      </c>
      <c r="M65" s="3"/>
      <c r="R65" t="s">
        <v>200</v>
      </c>
      <c r="S65" s="25"/>
      <c r="T65" s="26"/>
      <c r="U65" s="27"/>
      <c r="V65" t="s">
        <v>25</v>
      </c>
      <c r="W65" t="s">
        <v>201</v>
      </c>
      <c r="X65" s="3"/>
      <c r="AC65" t="s">
        <v>202</v>
      </c>
      <c r="AF65" t="s">
        <v>203</v>
      </c>
      <c r="AK65" t="s">
        <v>200</v>
      </c>
      <c r="AM65" s="25"/>
      <c r="AO65" s="25">
        <v>0</v>
      </c>
      <c r="AP65" s="26"/>
      <c r="AQ65" s="26"/>
      <c r="AR65" s="26"/>
      <c r="AS65" s="26" t="str">
        <f t="shared" si="0"/>
        <v/>
      </c>
      <c r="AT65" t="str">
        <f t="shared" si="1"/>
        <v/>
      </c>
      <c r="AU65" t="s">
        <v>200</v>
      </c>
      <c r="AV65" s="3"/>
      <c r="AW65" t="str">
        <f t="shared" si="2"/>
        <v>No scrap rate (No impact);</v>
      </c>
    </row>
    <row r="66" spans="1:49" x14ac:dyDescent="0.3">
      <c r="A66" t="s">
        <v>354</v>
      </c>
      <c r="B66" t="s">
        <v>355</v>
      </c>
      <c r="C66" t="s">
        <v>194</v>
      </c>
      <c r="D66" t="s">
        <v>195</v>
      </c>
      <c r="E66" t="s">
        <v>196</v>
      </c>
      <c r="F66" t="s">
        <v>197</v>
      </c>
      <c r="G66">
        <v>12</v>
      </c>
      <c r="H66">
        <v>0.77</v>
      </c>
      <c r="I66" t="s">
        <v>198</v>
      </c>
      <c r="J66">
        <v>0.88700000000000001</v>
      </c>
      <c r="K66" t="s">
        <v>198</v>
      </c>
      <c r="L66" t="s">
        <v>199</v>
      </c>
      <c r="M66" s="3"/>
      <c r="R66" t="s">
        <v>200</v>
      </c>
      <c r="S66" s="25"/>
      <c r="T66" s="26"/>
      <c r="U66" s="27"/>
      <c r="V66" t="s">
        <v>25</v>
      </c>
      <c r="W66" t="s">
        <v>201</v>
      </c>
      <c r="X66" s="3"/>
      <c r="AC66" t="s">
        <v>202</v>
      </c>
      <c r="AF66" t="s">
        <v>203</v>
      </c>
      <c r="AK66" t="s">
        <v>200</v>
      </c>
      <c r="AM66" s="25"/>
      <c r="AO66" s="25">
        <v>0</v>
      </c>
      <c r="AP66" s="26"/>
      <c r="AQ66" s="26"/>
      <c r="AR66" s="26"/>
      <c r="AS66" s="26" t="str">
        <f t="shared" si="0"/>
        <v/>
      </c>
      <c r="AT66" t="str">
        <f t="shared" si="1"/>
        <v/>
      </c>
      <c r="AU66" t="s">
        <v>200</v>
      </c>
      <c r="AV66" s="3"/>
      <c r="AW66" t="str">
        <f t="shared" si="2"/>
        <v>No scrap rate (No impact);</v>
      </c>
    </row>
    <row r="67" spans="1:49" x14ac:dyDescent="0.3">
      <c r="A67" t="s">
        <v>356</v>
      </c>
      <c r="B67" t="s">
        <v>357</v>
      </c>
      <c r="C67" t="s">
        <v>194</v>
      </c>
      <c r="D67" t="s">
        <v>195</v>
      </c>
      <c r="E67" t="s">
        <v>196</v>
      </c>
      <c r="F67" t="s">
        <v>197</v>
      </c>
      <c r="G67">
        <v>12</v>
      </c>
      <c r="H67">
        <v>0.77</v>
      </c>
      <c r="I67" t="s">
        <v>198</v>
      </c>
      <c r="J67">
        <v>0.90500000000000003</v>
      </c>
      <c r="K67" t="s">
        <v>198</v>
      </c>
      <c r="L67" t="s">
        <v>199</v>
      </c>
      <c r="M67" s="3"/>
      <c r="R67" t="s">
        <v>200</v>
      </c>
      <c r="S67" s="25"/>
      <c r="T67" s="26"/>
      <c r="U67" s="27"/>
      <c r="V67" t="s">
        <v>25</v>
      </c>
      <c r="W67" t="s">
        <v>201</v>
      </c>
      <c r="X67" s="3"/>
      <c r="AC67" t="s">
        <v>202</v>
      </c>
      <c r="AF67" t="s">
        <v>203</v>
      </c>
      <c r="AK67" t="s">
        <v>200</v>
      </c>
      <c r="AM67" s="25"/>
      <c r="AO67" s="25">
        <v>0</v>
      </c>
      <c r="AP67" s="26"/>
      <c r="AQ67" s="26"/>
      <c r="AR67" s="26"/>
      <c r="AS67" s="26" t="str">
        <f t="shared" ref="AS67:AS130" si="3">IF(COUNT(AP67,AQ67,AR67)=0,"",ROUND(AVERAGE(AP67,AQ67,AR67),3))</f>
        <v/>
      </c>
      <c r="AT67" t="str">
        <f t="shared" ref="AT67:AT130" si="4">IF(AJ67="","",ROUND(AJ67*IF(H67="",0,H67)*(1+IF(AM67="",0,AM67)),5))</f>
        <v/>
      </c>
      <c r="AU67" t="s">
        <v>200</v>
      </c>
      <c r="AV67" s="3"/>
      <c r="AW67" t="str">
        <f t="shared" ref="AW67:AW130" si="5">IF(AND(A67&lt;&gt;"",E67=""),"Supplier code empty (High);","")&amp;IF(AND(S67&lt;&gt;"",OR(S67&gt;1,S67&lt;0)),"Incorrect PDS value (High);",IF(AND(S67&lt;&gt;"",S67&gt;0.5),"High PDS value (Medium);",""))&amp;IF(AND(T67&lt;&gt;"",OR(T67&gt;5,T67&lt;1)),"Incorrect DQR value (High);",IF(AND(T67&lt;&gt;"",T67&gt;4),"Incorrect DQR value (Medium);",IF(AND(T67&lt;&gt;"",T67&gt;3),"Incorrect DQR value (Low);","")))&amp;IF(AND(Q67&lt;&gt;"",OR(Q67&lt;=0,Q67&gt;100)),"Unusual PCF value might be wrong (High);","")&amp;IF(AND(AO67&lt;&gt;"",OR(AO67&gt;1,AO67&lt;0)),"Incorrect PDS value (High);",IF(AND(AO67&lt;&gt;"",AO67&gt;0.5),"High PDS value (Medium);",""))&amp;IF(AND(AS67&lt;&gt;"",OR(AS67&gt;5,AS67&lt;1)),"Incorrect DQR value (High);",IF(AND(AS67&lt;&gt;"",AS67&gt;4),"Incorrect DQR value (Medium);",IF(AND(AS67&lt;&gt;"",AS67&gt;3),"Incorrect DQR value (Low);","")))&amp;IF(AND(AM67&lt;&gt;"",OR(AM67&gt;1,AM67&lt;0)),"Incorrect scrap rate (High);",IF(AND(A67&lt;&gt;"",AM67=0),"No scrap rate (No impact);",""))&amp;""</f>
        <v>No scrap rate (No impact);</v>
      </c>
    </row>
    <row r="68" spans="1:49" x14ac:dyDescent="0.3">
      <c r="A68" t="s">
        <v>358</v>
      </c>
      <c r="B68" t="s">
        <v>359</v>
      </c>
      <c r="C68" t="s">
        <v>194</v>
      </c>
      <c r="D68" t="s">
        <v>195</v>
      </c>
      <c r="E68" t="s">
        <v>360</v>
      </c>
      <c r="F68" t="s">
        <v>361</v>
      </c>
      <c r="G68">
        <v>12</v>
      </c>
      <c r="H68">
        <v>0.2</v>
      </c>
      <c r="I68" t="s">
        <v>198</v>
      </c>
      <c r="J68">
        <v>0.245</v>
      </c>
      <c r="K68" t="s">
        <v>198</v>
      </c>
      <c r="L68" t="s">
        <v>199</v>
      </c>
      <c r="M68" s="3"/>
      <c r="R68" t="s">
        <v>200</v>
      </c>
      <c r="S68" s="25"/>
      <c r="T68" s="26"/>
      <c r="U68" s="27"/>
      <c r="V68" t="s">
        <v>25</v>
      </c>
      <c r="W68" t="s">
        <v>201</v>
      </c>
      <c r="X68" s="3"/>
      <c r="AC68" t="s">
        <v>202</v>
      </c>
      <c r="AF68" t="s">
        <v>203</v>
      </c>
      <c r="AK68" t="s">
        <v>200</v>
      </c>
      <c r="AM68" s="25"/>
      <c r="AO68" s="25">
        <v>0</v>
      </c>
      <c r="AP68" s="26"/>
      <c r="AQ68" s="26"/>
      <c r="AR68" s="26"/>
      <c r="AS68" s="26" t="str">
        <f t="shared" si="3"/>
        <v/>
      </c>
      <c r="AT68" t="str">
        <f t="shared" si="4"/>
        <v/>
      </c>
      <c r="AU68" t="s">
        <v>200</v>
      </c>
      <c r="AV68" s="3"/>
      <c r="AW68" t="str">
        <f t="shared" si="5"/>
        <v>No scrap rate (No impact);</v>
      </c>
    </row>
    <row r="69" spans="1:49" x14ac:dyDescent="0.3">
      <c r="A69" t="s">
        <v>362</v>
      </c>
      <c r="B69" t="s">
        <v>363</v>
      </c>
      <c r="C69" t="s">
        <v>194</v>
      </c>
      <c r="D69" t="s">
        <v>195</v>
      </c>
      <c r="E69" t="s">
        <v>196</v>
      </c>
      <c r="F69" t="s">
        <v>197</v>
      </c>
      <c r="G69">
        <v>12</v>
      </c>
      <c r="H69">
        <v>0.8</v>
      </c>
      <c r="I69" t="s">
        <v>198</v>
      </c>
      <c r="J69">
        <v>0.90500000000000003</v>
      </c>
      <c r="K69" t="s">
        <v>198</v>
      </c>
      <c r="L69" t="s">
        <v>199</v>
      </c>
      <c r="M69" s="3"/>
      <c r="R69" t="s">
        <v>200</v>
      </c>
      <c r="S69" s="25"/>
      <c r="T69" s="26"/>
      <c r="U69" s="27"/>
      <c r="V69" t="s">
        <v>25</v>
      </c>
      <c r="W69" t="s">
        <v>201</v>
      </c>
      <c r="X69" s="3"/>
      <c r="AC69" t="s">
        <v>202</v>
      </c>
      <c r="AF69" t="s">
        <v>203</v>
      </c>
      <c r="AK69" t="s">
        <v>200</v>
      </c>
      <c r="AM69" s="25"/>
      <c r="AO69" s="25">
        <v>0</v>
      </c>
      <c r="AP69" s="26"/>
      <c r="AQ69" s="26"/>
      <c r="AR69" s="26"/>
      <c r="AS69" s="26" t="str">
        <f t="shared" si="3"/>
        <v/>
      </c>
      <c r="AT69" t="str">
        <f t="shared" si="4"/>
        <v/>
      </c>
      <c r="AU69" t="s">
        <v>200</v>
      </c>
      <c r="AV69" s="3"/>
      <c r="AW69" t="str">
        <f t="shared" si="5"/>
        <v>No scrap rate (No impact);</v>
      </c>
    </row>
    <row r="70" spans="1:49" x14ac:dyDescent="0.3">
      <c r="A70" t="s">
        <v>364</v>
      </c>
      <c r="B70" t="s">
        <v>365</v>
      </c>
      <c r="C70" t="s">
        <v>194</v>
      </c>
      <c r="D70" t="s">
        <v>195</v>
      </c>
      <c r="E70" t="s">
        <v>312</v>
      </c>
      <c r="F70" t="s">
        <v>313</v>
      </c>
      <c r="G70">
        <v>12</v>
      </c>
      <c r="H70">
        <v>0.22500000000000001</v>
      </c>
      <c r="I70" t="s">
        <v>198</v>
      </c>
      <c r="J70">
        <v>0.308</v>
      </c>
      <c r="K70" t="s">
        <v>198</v>
      </c>
      <c r="L70" t="s">
        <v>199</v>
      </c>
      <c r="M70" s="3"/>
      <c r="R70" t="s">
        <v>200</v>
      </c>
      <c r="S70" s="25"/>
      <c r="T70" s="26"/>
      <c r="U70" s="27"/>
      <c r="V70" t="s">
        <v>25</v>
      </c>
      <c r="W70" t="s">
        <v>201</v>
      </c>
      <c r="X70" s="3"/>
      <c r="AC70" t="s">
        <v>202</v>
      </c>
      <c r="AF70" t="s">
        <v>203</v>
      </c>
      <c r="AK70" t="s">
        <v>200</v>
      </c>
      <c r="AM70" s="25"/>
      <c r="AO70" s="25">
        <v>0</v>
      </c>
      <c r="AP70" s="26"/>
      <c r="AQ70" s="26"/>
      <c r="AR70" s="26"/>
      <c r="AS70" s="26" t="str">
        <f t="shared" si="3"/>
        <v/>
      </c>
      <c r="AT70" t="str">
        <f t="shared" si="4"/>
        <v/>
      </c>
      <c r="AU70" t="s">
        <v>200</v>
      </c>
      <c r="AV70" s="3"/>
      <c r="AW70" t="str">
        <f t="shared" si="5"/>
        <v>No scrap rate (No impact);</v>
      </c>
    </row>
    <row r="71" spans="1:49" x14ac:dyDescent="0.3">
      <c r="A71" t="s">
        <v>366</v>
      </c>
      <c r="B71" t="s">
        <v>367</v>
      </c>
      <c r="C71" t="s">
        <v>212</v>
      </c>
      <c r="D71" t="s">
        <v>213</v>
      </c>
      <c r="E71" t="s">
        <v>368</v>
      </c>
      <c r="F71" t="s">
        <v>369</v>
      </c>
      <c r="G71">
        <v>8</v>
      </c>
      <c r="H71">
        <v>1</v>
      </c>
      <c r="I71" t="s">
        <v>198</v>
      </c>
      <c r="J71">
        <v>1.0549999999999999</v>
      </c>
      <c r="K71" t="s">
        <v>198</v>
      </c>
      <c r="L71" t="s">
        <v>199</v>
      </c>
      <c r="M71" s="3"/>
      <c r="R71" t="s">
        <v>200</v>
      </c>
      <c r="S71" s="25"/>
      <c r="T71" s="26"/>
      <c r="U71" s="27"/>
      <c r="V71" t="s">
        <v>25</v>
      </c>
      <c r="W71" t="s">
        <v>201</v>
      </c>
      <c r="X71" s="3"/>
      <c r="AC71" t="s">
        <v>202</v>
      </c>
      <c r="AF71" t="s">
        <v>203</v>
      </c>
      <c r="AK71" t="s">
        <v>200</v>
      </c>
      <c r="AM71" s="25"/>
      <c r="AO71" s="25">
        <v>0</v>
      </c>
      <c r="AP71" s="26"/>
      <c r="AQ71" s="26"/>
      <c r="AR71" s="26"/>
      <c r="AS71" s="26" t="str">
        <f t="shared" si="3"/>
        <v/>
      </c>
      <c r="AT71" t="str">
        <f t="shared" si="4"/>
        <v/>
      </c>
      <c r="AU71" t="s">
        <v>200</v>
      </c>
      <c r="AV71" s="3"/>
      <c r="AW71" t="str">
        <f t="shared" si="5"/>
        <v>No scrap rate (No impact);</v>
      </c>
    </row>
    <row r="72" spans="1:49" x14ac:dyDescent="0.3">
      <c r="A72" t="s">
        <v>370</v>
      </c>
      <c r="B72" t="s">
        <v>371</v>
      </c>
      <c r="C72" t="s">
        <v>212</v>
      </c>
      <c r="D72" t="s">
        <v>213</v>
      </c>
      <c r="E72" t="s">
        <v>368</v>
      </c>
      <c r="F72" t="s">
        <v>369</v>
      </c>
      <c r="G72">
        <v>12</v>
      </c>
      <c r="H72">
        <v>0.4</v>
      </c>
      <c r="I72" t="s">
        <v>198</v>
      </c>
      <c r="J72">
        <v>0.437</v>
      </c>
      <c r="K72" t="s">
        <v>198</v>
      </c>
      <c r="L72" t="s">
        <v>199</v>
      </c>
      <c r="M72" s="3"/>
      <c r="R72" t="s">
        <v>200</v>
      </c>
      <c r="S72" s="25"/>
      <c r="T72" s="26"/>
      <c r="U72" s="27"/>
      <c r="V72" t="s">
        <v>25</v>
      </c>
      <c r="W72" t="s">
        <v>201</v>
      </c>
      <c r="X72" s="3"/>
      <c r="AC72" t="s">
        <v>202</v>
      </c>
      <c r="AF72" t="s">
        <v>203</v>
      </c>
      <c r="AK72" t="s">
        <v>200</v>
      </c>
      <c r="AM72" s="25"/>
      <c r="AO72" s="25">
        <v>0</v>
      </c>
      <c r="AP72" s="26"/>
      <c r="AQ72" s="26"/>
      <c r="AR72" s="26"/>
      <c r="AS72" s="26" t="str">
        <f t="shared" si="3"/>
        <v/>
      </c>
      <c r="AT72" t="str">
        <f t="shared" si="4"/>
        <v/>
      </c>
      <c r="AU72" t="s">
        <v>200</v>
      </c>
      <c r="AV72" s="3"/>
      <c r="AW72" t="str">
        <f t="shared" si="5"/>
        <v>No scrap rate (No impact);</v>
      </c>
    </row>
    <row r="73" spans="1:49" x14ac:dyDescent="0.3">
      <c r="A73" t="s">
        <v>372</v>
      </c>
      <c r="B73" t="s">
        <v>373</v>
      </c>
      <c r="C73" t="s">
        <v>212</v>
      </c>
      <c r="D73" t="s">
        <v>213</v>
      </c>
      <c r="E73" t="s">
        <v>368</v>
      </c>
      <c r="F73" t="s">
        <v>369</v>
      </c>
      <c r="G73">
        <v>12</v>
      </c>
      <c r="H73">
        <v>0.75</v>
      </c>
      <c r="I73" t="s">
        <v>198</v>
      </c>
      <c r="J73">
        <v>0.79600000000000004</v>
      </c>
      <c r="K73" t="s">
        <v>198</v>
      </c>
      <c r="L73" t="s">
        <v>199</v>
      </c>
      <c r="M73" s="3"/>
      <c r="R73" t="s">
        <v>200</v>
      </c>
      <c r="S73" s="25"/>
      <c r="T73" s="26"/>
      <c r="U73" s="27"/>
      <c r="V73" t="s">
        <v>25</v>
      </c>
      <c r="W73" t="s">
        <v>201</v>
      </c>
      <c r="X73" s="3"/>
      <c r="AC73" t="s">
        <v>202</v>
      </c>
      <c r="AF73" t="s">
        <v>203</v>
      </c>
      <c r="AK73" t="s">
        <v>200</v>
      </c>
      <c r="AM73" s="25"/>
      <c r="AO73" s="25">
        <v>0</v>
      </c>
      <c r="AP73" s="26"/>
      <c r="AQ73" s="26"/>
      <c r="AR73" s="26"/>
      <c r="AS73" s="26" t="str">
        <f t="shared" si="3"/>
        <v/>
      </c>
      <c r="AT73" t="str">
        <f t="shared" si="4"/>
        <v/>
      </c>
      <c r="AU73" t="s">
        <v>200</v>
      </c>
      <c r="AV73" s="3"/>
      <c r="AW73" t="str">
        <f t="shared" si="5"/>
        <v>No scrap rate (No impact);</v>
      </c>
    </row>
    <row r="74" spans="1:49" x14ac:dyDescent="0.3">
      <c r="A74" t="s">
        <v>374</v>
      </c>
      <c r="B74" t="s">
        <v>375</v>
      </c>
      <c r="C74" t="s">
        <v>212</v>
      </c>
      <c r="D74" t="s">
        <v>213</v>
      </c>
      <c r="E74" t="s">
        <v>368</v>
      </c>
      <c r="F74" t="s">
        <v>369</v>
      </c>
      <c r="G74">
        <v>8</v>
      </c>
      <c r="H74">
        <v>1.2</v>
      </c>
      <c r="I74" t="s">
        <v>198</v>
      </c>
      <c r="J74">
        <v>1.2609999999999999</v>
      </c>
      <c r="K74" t="s">
        <v>198</v>
      </c>
      <c r="L74" t="s">
        <v>199</v>
      </c>
      <c r="M74" s="3"/>
      <c r="R74" t="s">
        <v>200</v>
      </c>
      <c r="S74" s="25"/>
      <c r="T74" s="26"/>
      <c r="U74" s="27"/>
      <c r="V74" t="s">
        <v>25</v>
      </c>
      <c r="W74" t="s">
        <v>201</v>
      </c>
      <c r="X74" s="3"/>
      <c r="AC74" t="s">
        <v>202</v>
      </c>
      <c r="AF74" t="s">
        <v>203</v>
      </c>
      <c r="AK74" t="s">
        <v>200</v>
      </c>
      <c r="AM74" s="25"/>
      <c r="AO74" s="25">
        <v>0</v>
      </c>
      <c r="AP74" s="26"/>
      <c r="AQ74" s="26"/>
      <c r="AR74" s="26"/>
      <c r="AS74" s="26" t="str">
        <f t="shared" si="3"/>
        <v/>
      </c>
      <c r="AT74" t="str">
        <f t="shared" si="4"/>
        <v/>
      </c>
      <c r="AU74" t="s">
        <v>200</v>
      </c>
      <c r="AV74" s="3"/>
      <c r="AW74" t="str">
        <f t="shared" si="5"/>
        <v>No scrap rate (No impact);</v>
      </c>
    </row>
    <row r="75" spans="1:49" x14ac:dyDescent="0.3">
      <c r="A75" t="s">
        <v>376</v>
      </c>
      <c r="B75" t="s">
        <v>377</v>
      </c>
      <c r="C75" t="s">
        <v>212</v>
      </c>
      <c r="D75" t="s">
        <v>213</v>
      </c>
      <c r="E75" t="s">
        <v>368</v>
      </c>
      <c r="F75" t="s">
        <v>369</v>
      </c>
      <c r="G75">
        <v>12</v>
      </c>
      <c r="H75">
        <v>0.4</v>
      </c>
      <c r="I75" t="s">
        <v>198</v>
      </c>
      <c r="J75">
        <v>0.437</v>
      </c>
      <c r="K75" t="s">
        <v>198</v>
      </c>
      <c r="L75" t="s">
        <v>199</v>
      </c>
      <c r="M75" s="3"/>
      <c r="R75" t="s">
        <v>200</v>
      </c>
      <c r="S75" s="25"/>
      <c r="T75" s="26"/>
      <c r="U75" s="27"/>
      <c r="V75" t="s">
        <v>25</v>
      </c>
      <c r="W75" t="s">
        <v>201</v>
      </c>
      <c r="X75" s="3"/>
      <c r="AC75" t="s">
        <v>202</v>
      </c>
      <c r="AF75" t="s">
        <v>203</v>
      </c>
      <c r="AK75" t="s">
        <v>200</v>
      </c>
      <c r="AM75" s="25"/>
      <c r="AO75" s="25">
        <v>0</v>
      </c>
      <c r="AP75" s="26"/>
      <c r="AQ75" s="26"/>
      <c r="AR75" s="26"/>
      <c r="AS75" s="26" t="str">
        <f t="shared" si="3"/>
        <v/>
      </c>
      <c r="AT75" t="str">
        <f t="shared" si="4"/>
        <v/>
      </c>
      <c r="AU75" t="s">
        <v>200</v>
      </c>
      <c r="AV75" s="3"/>
      <c r="AW75" t="str">
        <f t="shared" si="5"/>
        <v>No scrap rate (No impact);</v>
      </c>
    </row>
    <row r="76" spans="1:49" x14ac:dyDescent="0.3">
      <c r="A76" t="s">
        <v>378</v>
      </c>
      <c r="B76" t="s">
        <v>379</v>
      </c>
      <c r="C76" t="s">
        <v>194</v>
      </c>
      <c r="D76" t="s">
        <v>195</v>
      </c>
      <c r="E76" t="s">
        <v>380</v>
      </c>
      <c r="F76" t="s">
        <v>381</v>
      </c>
      <c r="G76">
        <v>1</v>
      </c>
      <c r="H76">
        <v>8</v>
      </c>
      <c r="I76" t="s">
        <v>198</v>
      </c>
      <c r="J76">
        <v>8.1999999999999993</v>
      </c>
      <c r="K76" t="s">
        <v>198</v>
      </c>
      <c r="L76" t="s">
        <v>199</v>
      </c>
      <c r="M76" s="3"/>
      <c r="R76" t="s">
        <v>200</v>
      </c>
      <c r="S76" s="25"/>
      <c r="T76" s="26"/>
      <c r="U76" s="27"/>
      <c r="V76" t="s">
        <v>25</v>
      </c>
      <c r="W76" t="s">
        <v>201</v>
      </c>
      <c r="X76" s="3"/>
      <c r="AC76" t="s">
        <v>202</v>
      </c>
      <c r="AF76" t="s">
        <v>203</v>
      </c>
      <c r="AK76" t="s">
        <v>200</v>
      </c>
      <c r="AM76" s="25"/>
      <c r="AO76" s="25">
        <v>0</v>
      </c>
      <c r="AP76" s="26"/>
      <c r="AQ76" s="26"/>
      <c r="AR76" s="26"/>
      <c r="AS76" s="26" t="str">
        <f t="shared" si="3"/>
        <v/>
      </c>
      <c r="AT76" t="str">
        <f t="shared" si="4"/>
        <v/>
      </c>
      <c r="AU76" t="s">
        <v>200</v>
      </c>
      <c r="AV76" s="3"/>
      <c r="AW76" t="str">
        <f t="shared" si="5"/>
        <v>No scrap rate (No impact);</v>
      </c>
    </row>
    <row r="77" spans="1:49" x14ac:dyDescent="0.3">
      <c r="A77" t="s">
        <v>382</v>
      </c>
      <c r="B77" t="s">
        <v>383</v>
      </c>
      <c r="C77" t="s">
        <v>194</v>
      </c>
      <c r="D77" t="s">
        <v>195</v>
      </c>
      <c r="E77" t="s">
        <v>196</v>
      </c>
      <c r="F77" t="s">
        <v>197</v>
      </c>
      <c r="G77">
        <v>12</v>
      </c>
      <c r="H77">
        <v>0.3</v>
      </c>
      <c r="I77" t="s">
        <v>198</v>
      </c>
      <c r="J77">
        <v>0.35</v>
      </c>
      <c r="K77" t="s">
        <v>198</v>
      </c>
      <c r="L77" t="s">
        <v>199</v>
      </c>
      <c r="M77" s="3"/>
      <c r="R77" t="s">
        <v>200</v>
      </c>
      <c r="S77" s="25"/>
      <c r="T77" s="26"/>
      <c r="U77" s="27"/>
      <c r="V77" t="s">
        <v>25</v>
      </c>
      <c r="W77" t="s">
        <v>201</v>
      </c>
      <c r="X77" s="3"/>
      <c r="AC77" t="s">
        <v>202</v>
      </c>
      <c r="AF77" t="s">
        <v>203</v>
      </c>
      <c r="AK77" t="s">
        <v>200</v>
      </c>
      <c r="AM77" s="25"/>
      <c r="AO77" s="25">
        <v>0</v>
      </c>
      <c r="AP77" s="26"/>
      <c r="AQ77" s="26"/>
      <c r="AR77" s="26"/>
      <c r="AS77" s="26" t="str">
        <f t="shared" si="3"/>
        <v/>
      </c>
      <c r="AT77" t="str">
        <f t="shared" si="4"/>
        <v/>
      </c>
      <c r="AU77" t="s">
        <v>200</v>
      </c>
      <c r="AV77" s="3"/>
      <c r="AW77" t="str">
        <f t="shared" si="5"/>
        <v>No scrap rate (No impact);</v>
      </c>
    </row>
    <row r="78" spans="1:49" x14ac:dyDescent="0.3">
      <c r="A78" t="s">
        <v>384</v>
      </c>
      <c r="B78" t="s">
        <v>385</v>
      </c>
      <c r="C78" t="s">
        <v>194</v>
      </c>
      <c r="D78" t="s">
        <v>195</v>
      </c>
      <c r="E78" t="s">
        <v>196</v>
      </c>
      <c r="F78" t="s">
        <v>197</v>
      </c>
      <c r="G78">
        <v>12</v>
      </c>
      <c r="H78">
        <v>0.3</v>
      </c>
      <c r="I78" t="s">
        <v>198</v>
      </c>
      <c r="J78">
        <v>0.35</v>
      </c>
      <c r="K78" t="s">
        <v>198</v>
      </c>
      <c r="L78" t="s">
        <v>199</v>
      </c>
      <c r="M78" s="3"/>
      <c r="R78" t="s">
        <v>200</v>
      </c>
      <c r="S78" s="25"/>
      <c r="T78" s="26"/>
      <c r="U78" s="27"/>
      <c r="V78" t="s">
        <v>25</v>
      </c>
      <c r="W78" t="s">
        <v>201</v>
      </c>
      <c r="X78" s="3"/>
      <c r="AC78" t="s">
        <v>202</v>
      </c>
      <c r="AF78" t="s">
        <v>203</v>
      </c>
      <c r="AK78" t="s">
        <v>200</v>
      </c>
      <c r="AM78" s="25"/>
      <c r="AO78" s="25">
        <v>0</v>
      </c>
      <c r="AP78" s="26"/>
      <c r="AQ78" s="26"/>
      <c r="AR78" s="26"/>
      <c r="AS78" s="26" t="str">
        <f t="shared" si="3"/>
        <v/>
      </c>
      <c r="AT78" t="str">
        <f t="shared" si="4"/>
        <v/>
      </c>
      <c r="AU78" t="s">
        <v>200</v>
      </c>
      <c r="AV78" s="3"/>
      <c r="AW78" t="str">
        <f t="shared" si="5"/>
        <v>No scrap rate (No impact);</v>
      </c>
    </row>
    <row r="79" spans="1:49" x14ac:dyDescent="0.3">
      <c r="A79" t="s">
        <v>386</v>
      </c>
      <c r="B79" t="s">
        <v>387</v>
      </c>
      <c r="C79" t="s">
        <v>194</v>
      </c>
      <c r="D79" t="s">
        <v>195</v>
      </c>
      <c r="E79" t="s">
        <v>388</v>
      </c>
      <c r="F79" t="s">
        <v>389</v>
      </c>
      <c r="G79">
        <v>12</v>
      </c>
      <c r="H79">
        <v>1</v>
      </c>
      <c r="I79" t="s">
        <v>198</v>
      </c>
      <c r="J79">
        <v>1.1000000000000001</v>
      </c>
      <c r="K79" t="s">
        <v>198</v>
      </c>
      <c r="L79" t="s">
        <v>199</v>
      </c>
      <c r="M79" s="3"/>
      <c r="R79" t="s">
        <v>200</v>
      </c>
      <c r="S79" s="25"/>
      <c r="T79" s="26"/>
      <c r="U79" s="27"/>
      <c r="V79" t="s">
        <v>25</v>
      </c>
      <c r="W79" t="s">
        <v>201</v>
      </c>
      <c r="X79" s="3"/>
      <c r="AC79" t="s">
        <v>202</v>
      </c>
      <c r="AF79" t="s">
        <v>203</v>
      </c>
      <c r="AK79" t="s">
        <v>200</v>
      </c>
      <c r="AM79" s="25"/>
      <c r="AO79" s="25">
        <v>0</v>
      </c>
      <c r="AP79" s="26"/>
      <c r="AQ79" s="26"/>
      <c r="AR79" s="26"/>
      <c r="AS79" s="26" t="str">
        <f t="shared" si="3"/>
        <v/>
      </c>
      <c r="AT79" t="str">
        <f t="shared" si="4"/>
        <v/>
      </c>
      <c r="AU79" t="s">
        <v>200</v>
      </c>
      <c r="AV79" s="3"/>
      <c r="AW79" t="str">
        <f t="shared" si="5"/>
        <v>No scrap rate (No impact);</v>
      </c>
    </row>
    <row r="80" spans="1:49" x14ac:dyDescent="0.3">
      <c r="A80" t="s">
        <v>390</v>
      </c>
      <c r="B80" t="s">
        <v>391</v>
      </c>
      <c r="C80" t="s">
        <v>212</v>
      </c>
      <c r="D80" t="s">
        <v>213</v>
      </c>
      <c r="E80" t="s">
        <v>392</v>
      </c>
      <c r="F80" t="s">
        <v>393</v>
      </c>
      <c r="G80">
        <v>12</v>
      </c>
      <c r="H80">
        <v>0.2</v>
      </c>
      <c r="I80" t="s">
        <v>198</v>
      </c>
      <c r="J80">
        <v>0.23</v>
      </c>
      <c r="K80" t="s">
        <v>198</v>
      </c>
      <c r="L80" t="s">
        <v>199</v>
      </c>
      <c r="M80" s="3"/>
      <c r="R80" t="s">
        <v>200</v>
      </c>
      <c r="S80" s="25"/>
      <c r="T80" s="26"/>
      <c r="U80" s="27"/>
      <c r="V80" t="s">
        <v>25</v>
      </c>
      <c r="W80" t="s">
        <v>201</v>
      </c>
      <c r="X80" s="3"/>
      <c r="AC80" t="s">
        <v>202</v>
      </c>
      <c r="AF80" t="s">
        <v>203</v>
      </c>
      <c r="AK80" t="s">
        <v>200</v>
      </c>
      <c r="AM80" s="25"/>
      <c r="AO80" s="25">
        <v>0</v>
      </c>
      <c r="AP80" s="26"/>
      <c r="AQ80" s="26"/>
      <c r="AR80" s="26"/>
      <c r="AS80" s="26" t="str">
        <f t="shared" si="3"/>
        <v/>
      </c>
      <c r="AT80" t="str">
        <f t="shared" si="4"/>
        <v/>
      </c>
      <c r="AU80" t="s">
        <v>200</v>
      </c>
      <c r="AV80" s="3"/>
      <c r="AW80" t="str">
        <f t="shared" si="5"/>
        <v>No scrap rate (No impact);</v>
      </c>
    </row>
    <row r="81" spans="1:49" x14ac:dyDescent="0.3">
      <c r="A81" t="s">
        <v>394</v>
      </c>
      <c r="B81" t="s">
        <v>395</v>
      </c>
      <c r="C81" t="s">
        <v>194</v>
      </c>
      <c r="D81" t="s">
        <v>195</v>
      </c>
      <c r="E81" t="s">
        <v>196</v>
      </c>
      <c r="F81" t="s">
        <v>197</v>
      </c>
      <c r="G81">
        <v>10</v>
      </c>
      <c r="H81">
        <v>0.02</v>
      </c>
      <c r="I81" t="s">
        <v>198</v>
      </c>
      <c r="J81">
        <v>0.1</v>
      </c>
      <c r="K81" t="s">
        <v>198</v>
      </c>
      <c r="L81" t="s">
        <v>199</v>
      </c>
      <c r="M81" s="3"/>
      <c r="R81" t="s">
        <v>200</v>
      </c>
      <c r="S81" s="25"/>
      <c r="T81" s="26"/>
      <c r="U81" s="27"/>
      <c r="V81" t="s">
        <v>25</v>
      </c>
      <c r="W81" t="s">
        <v>201</v>
      </c>
      <c r="X81" s="3"/>
      <c r="AC81" t="s">
        <v>202</v>
      </c>
      <c r="AF81" t="s">
        <v>203</v>
      </c>
      <c r="AK81" t="s">
        <v>200</v>
      </c>
      <c r="AM81" s="25"/>
      <c r="AO81" s="25">
        <v>0</v>
      </c>
      <c r="AP81" s="26"/>
      <c r="AQ81" s="26"/>
      <c r="AR81" s="26"/>
      <c r="AS81" s="26" t="str">
        <f t="shared" si="3"/>
        <v/>
      </c>
      <c r="AT81" t="str">
        <f t="shared" si="4"/>
        <v/>
      </c>
      <c r="AU81" t="s">
        <v>200</v>
      </c>
      <c r="AV81" s="3"/>
      <c r="AW81" t="str">
        <f t="shared" si="5"/>
        <v>No scrap rate (No impact);</v>
      </c>
    </row>
    <row r="82" spans="1:49" x14ac:dyDescent="0.3">
      <c r="A82" t="s">
        <v>396</v>
      </c>
      <c r="B82" t="s">
        <v>397</v>
      </c>
      <c r="C82" t="s">
        <v>194</v>
      </c>
      <c r="D82" t="s">
        <v>195</v>
      </c>
      <c r="E82" t="s">
        <v>196</v>
      </c>
      <c r="F82" t="s">
        <v>197</v>
      </c>
      <c r="G82">
        <v>12</v>
      </c>
      <c r="H82">
        <v>4.0000000000000001E-3</v>
      </c>
      <c r="I82" t="s">
        <v>198</v>
      </c>
      <c r="J82">
        <v>5.0999999999999997E-2</v>
      </c>
      <c r="K82" t="s">
        <v>198</v>
      </c>
      <c r="L82" t="s">
        <v>199</v>
      </c>
      <c r="M82" s="3"/>
      <c r="R82" t="s">
        <v>200</v>
      </c>
      <c r="S82" s="25"/>
      <c r="T82" s="26"/>
      <c r="U82" s="27"/>
      <c r="V82" t="s">
        <v>25</v>
      </c>
      <c r="W82" t="s">
        <v>201</v>
      </c>
      <c r="X82" s="3"/>
      <c r="AC82" t="s">
        <v>202</v>
      </c>
      <c r="AF82" t="s">
        <v>203</v>
      </c>
      <c r="AK82" t="s">
        <v>200</v>
      </c>
      <c r="AM82" s="25"/>
      <c r="AO82" s="25">
        <v>0</v>
      </c>
      <c r="AP82" s="26"/>
      <c r="AQ82" s="26"/>
      <c r="AR82" s="26"/>
      <c r="AS82" s="26" t="str">
        <f t="shared" si="3"/>
        <v/>
      </c>
      <c r="AT82" t="str">
        <f t="shared" si="4"/>
        <v/>
      </c>
      <c r="AU82" t="s">
        <v>200</v>
      </c>
      <c r="AV82" s="3"/>
      <c r="AW82" t="str">
        <f t="shared" si="5"/>
        <v>No scrap rate (No impact);</v>
      </c>
    </row>
    <row r="83" spans="1:49" x14ac:dyDescent="0.3">
      <c r="A83" t="s">
        <v>398</v>
      </c>
      <c r="B83" t="s">
        <v>399</v>
      </c>
      <c r="C83" t="s">
        <v>194</v>
      </c>
      <c r="D83" t="s">
        <v>195</v>
      </c>
      <c r="E83" t="s">
        <v>196</v>
      </c>
      <c r="F83" t="s">
        <v>197</v>
      </c>
      <c r="G83">
        <v>10</v>
      </c>
      <c r="H83">
        <v>8.0000000000000002E-3</v>
      </c>
      <c r="I83" t="s">
        <v>198</v>
      </c>
      <c r="J83">
        <v>9.6000000000000002E-2</v>
      </c>
      <c r="K83" t="s">
        <v>198</v>
      </c>
      <c r="L83" t="s">
        <v>199</v>
      </c>
      <c r="M83" s="3"/>
      <c r="R83" t="s">
        <v>200</v>
      </c>
      <c r="S83" s="25"/>
      <c r="T83" s="26"/>
      <c r="U83" s="27"/>
      <c r="V83" t="s">
        <v>25</v>
      </c>
      <c r="W83" t="s">
        <v>201</v>
      </c>
      <c r="X83" s="3"/>
      <c r="AC83" t="s">
        <v>202</v>
      </c>
      <c r="AF83" t="s">
        <v>203</v>
      </c>
      <c r="AK83" t="s">
        <v>200</v>
      </c>
      <c r="AM83" s="25"/>
      <c r="AO83" s="25">
        <v>0</v>
      </c>
      <c r="AP83" s="26"/>
      <c r="AQ83" s="26"/>
      <c r="AR83" s="26"/>
      <c r="AS83" s="26" t="str">
        <f t="shared" si="3"/>
        <v/>
      </c>
      <c r="AT83" t="str">
        <f t="shared" si="4"/>
        <v/>
      </c>
      <c r="AU83" t="s">
        <v>200</v>
      </c>
      <c r="AV83" s="3"/>
      <c r="AW83" t="str">
        <f t="shared" si="5"/>
        <v>No scrap rate (No impact);</v>
      </c>
    </row>
    <row r="84" spans="1:49" x14ac:dyDescent="0.3">
      <c r="A84" t="s">
        <v>400</v>
      </c>
      <c r="B84" t="s">
        <v>401</v>
      </c>
      <c r="C84" t="s">
        <v>194</v>
      </c>
      <c r="D84" t="s">
        <v>195</v>
      </c>
      <c r="E84" t="s">
        <v>402</v>
      </c>
      <c r="F84" t="s">
        <v>403</v>
      </c>
      <c r="G84">
        <v>12</v>
      </c>
      <c r="H84">
        <v>4.0000000000000001E-3</v>
      </c>
      <c r="I84" t="s">
        <v>198</v>
      </c>
      <c r="J84">
        <v>3.4000000000000002E-2</v>
      </c>
      <c r="K84" t="s">
        <v>198</v>
      </c>
      <c r="L84" t="s">
        <v>199</v>
      </c>
      <c r="M84" s="3"/>
      <c r="R84" t="s">
        <v>200</v>
      </c>
      <c r="S84" s="25"/>
      <c r="T84" s="26"/>
      <c r="U84" s="27"/>
      <c r="V84" t="s">
        <v>25</v>
      </c>
      <c r="W84" t="s">
        <v>201</v>
      </c>
      <c r="X84" s="3"/>
      <c r="AC84" t="s">
        <v>202</v>
      </c>
      <c r="AF84" t="s">
        <v>203</v>
      </c>
      <c r="AK84" t="s">
        <v>200</v>
      </c>
      <c r="AM84" s="25"/>
      <c r="AO84" s="25">
        <v>0</v>
      </c>
      <c r="AP84" s="26"/>
      <c r="AQ84" s="26"/>
      <c r="AR84" s="26"/>
      <c r="AS84" s="26" t="str">
        <f t="shared" si="3"/>
        <v/>
      </c>
      <c r="AT84" t="str">
        <f t="shared" si="4"/>
        <v/>
      </c>
      <c r="AU84" t="s">
        <v>200</v>
      </c>
      <c r="AV84" s="3"/>
      <c r="AW84" t="str">
        <f t="shared" si="5"/>
        <v>No scrap rate (No impact);</v>
      </c>
    </row>
    <row r="85" spans="1:49" x14ac:dyDescent="0.3">
      <c r="A85" t="s">
        <v>404</v>
      </c>
      <c r="B85" t="s">
        <v>405</v>
      </c>
      <c r="C85" t="s">
        <v>194</v>
      </c>
      <c r="D85" t="s">
        <v>195</v>
      </c>
      <c r="E85" t="s">
        <v>196</v>
      </c>
      <c r="F85" t="s">
        <v>197</v>
      </c>
      <c r="G85">
        <v>12</v>
      </c>
      <c r="H85">
        <v>0.75</v>
      </c>
      <c r="I85" t="s">
        <v>198</v>
      </c>
      <c r="J85">
        <v>0.82299999999999995</v>
      </c>
      <c r="K85" t="s">
        <v>198</v>
      </c>
      <c r="L85" t="s">
        <v>199</v>
      </c>
      <c r="M85" s="3"/>
      <c r="R85" t="s">
        <v>200</v>
      </c>
      <c r="S85" s="25"/>
      <c r="T85" s="26"/>
      <c r="U85" s="27"/>
      <c r="V85" t="s">
        <v>25</v>
      </c>
      <c r="W85" t="s">
        <v>201</v>
      </c>
      <c r="X85" s="3"/>
      <c r="AC85" t="s">
        <v>202</v>
      </c>
      <c r="AF85" t="s">
        <v>203</v>
      </c>
      <c r="AK85" t="s">
        <v>200</v>
      </c>
      <c r="AM85" s="25"/>
      <c r="AO85" s="25">
        <v>0</v>
      </c>
      <c r="AP85" s="26"/>
      <c r="AQ85" s="26"/>
      <c r="AR85" s="26"/>
      <c r="AS85" s="26" t="str">
        <f t="shared" si="3"/>
        <v/>
      </c>
      <c r="AT85" t="str">
        <f t="shared" si="4"/>
        <v/>
      </c>
      <c r="AU85" t="s">
        <v>200</v>
      </c>
      <c r="AV85" s="3"/>
      <c r="AW85" t="str">
        <f t="shared" si="5"/>
        <v>No scrap rate (No impact);</v>
      </c>
    </row>
    <row r="86" spans="1:49" x14ac:dyDescent="0.3">
      <c r="A86" t="s">
        <v>406</v>
      </c>
      <c r="B86" t="s">
        <v>407</v>
      </c>
      <c r="C86" t="s">
        <v>194</v>
      </c>
      <c r="D86" t="s">
        <v>195</v>
      </c>
      <c r="E86" t="s">
        <v>196</v>
      </c>
      <c r="F86" t="s">
        <v>197</v>
      </c>
      <c r="G86">
        <v>12</v>
      </c>
      <c r="H86">
        <v>1</v>
      </c>
      <c r="I86" t="s">
        <v>198</v>
      </c>
      <c r="J86">
        <v>1.0720000000000001</v>
      </c>
      <c r="K86" t="s">
        <v>198</v>
      </c>
      <c r="L86" t="s">
        <v>199</v>
      </c>
      <c r="M86" s="3"/>
      <c r="R86" t="s">
        <v>200</v>
      </c>
      <c r="S86" s="25"/>
      <c r="T86" s="26"/>
      <c r="U86" s="27"/>
      <c r="V86" t="s">
        <v>25</v>
      </c>
      <c r="W86" t="s">
        <v>201</v>
      </c>
      <c r="X86" s="3"/>
      <c r="AC86" t="s">
        <v>202</v>
      </c>
      <c r="AF86" t="s">
        <v>203</v>
      </c>
      <c r="AK86" t="s">
        <v>200</v>
      </c>
      <c r="AM86" s="25"/>
      <c r="AO86" s="25">
        <v>0</v>
      </c>
      <c r="AP86" s="26"/>
      <c r="AQ86" s="26"/>
      <c r="AR86" s="26"/>
      <c r="AS86" s="26" t="str">
        <f t="shared" si="3"/>
        <v/>
      </c>
      <c r="AT86" t="str">
        <f t="shared" si="4"/>
        <v/>
      </c>
      <c r="AU86" t="s">
        <v>200</v>
      </c>
      <c r="AV86" s="3"/>
      <c r="AW86" t="str">
        <f t="shared" si="5"/>
        <v>No scrap rate (No impact);</v>
      </c>
    </row>
    <row r="87" spans="1:49" x14ac:dyDescent="0.3">
      <c r="A87" t="s">
        <v>408</v>
      </c>
      <c r="B87" t="s">
        <v>409</v>
      </c>
      <c r="C87" t="s">
        <v>194</v>
      </c>
      <c r="D87" t="s">
        <v>195</v>
      </c>
      <c r="E87" t="s">
        <v>196</v>
      </c>
      <c r="F87" t="s">
        <v>197</v>
      </c>
      <c r="G87">
        <v>12</v>
      </c>
      <c r="H87">
        <v>0.8</v>
      </c>
      <c r="I87" t="s">
        <v>198</v>
      </c>
      <c r="J87">
        <v>0.89500000000000002</v>
      </c>
      <c r="K87" t="s">
        <v>198</v>
      </c>
      <c r="L87" t="s">
        <v>199</v>
      </c>
      <c r="M87" s="3"/>
      <c r="R87" t="s">
        <v>200</v>
      </c>
      <c r="S87" s="25"/>
      <c r="T87" s="26"/>
      <c r="U87" s="27"/>
      <c r="V87" t="s">
        <v>25</v>
      </c>
      <c r="W87" t="s">
        <v>201</v>
      </c>
      <c r="X87" s="3"/>
      <c r="AC87" t="s">
        <v>202</v>
      </c>
      <c r="AF87" t="s">
        <v>203</v>
      </c>
      <c r="AK87" t="s">
        <v>200</v>
      </c>
      <c r="AM87" s="25"/>
      <c r="AO87" s="25">
        <v>0</v>
      </c>
      <c r="AP87" s="26"/>
      <c r="AQ87" s="26"/>
      <c r="AR87" s="26"/>
      <c r="AS87" s="26" t="str">
        <f t="shared" si="3"/>
        <v/>
      </c>
      <c r="AT87" t="str">
        <f t="shared" si="4"/>
        <v/>
      </c>
      <c r="AU87" t="s">
        <v>200</v>
      </c>
      <c r="AV87" s="3"/>
      <c r="AW87" t="str">
        <f t="shared" si="5"/>
        <v>No scrap rate (No impact);</v>
      </c>
    </row>
    <row r="88" spans="1:49" x14ac:dyDescent="0.3">
      <c r="A88" t="s">
        <v>410</v>
      </c>
      <c r="B88" t="s">
        <v>411</v>
      </c>
      <c r="C88" t="s">
        <v>212</v>
      </c>
      <c r="D88" t="s">
        <v>213</v>
      </c>
      <c r="E88" t="s">
        <v>412</v>
      </c>
      <c r="F88" t="s">
        <v>413</v>
      </c>
      <c r="G88">
        <v>12</v>
      </c>
      <c r="H88">
        <v>0.1</v>
      </c>
      <c r="I88" t="s">
        <v>198</v>
      </c>
      <c r="J88">
        <v>0.13</v>
      </c>
      <c r="K88" t="s">
        <v>198</v>
      </c>
      <c r="L88" t="s">
        <v>199</v>
      </c>
      <c r="M88" s="3"/>
      <c r="R88" t="s">
        <v>200</v>
      </c>
      <c r="S88" s="25"/>
      <c r="T88" s="26"/>
      <c r="U88" s="27"/>
      <c r="V88" t="s">
        <v>25</v>
      </c>
      <c r="W88" t="s">
        <v>201</v>
      </c>
      <c r="X88" s="3"/>
      <c r="AC88" t="s">
        <v>202</v>
      </c>
      <c r="AF88" t="s">
        <v>203</v>
      </c>
      <c r="AK88" t="s">
        <v>200</v>
      </c>
      <c r="AM88" s="25"/>
      <c r="AO88" s="25">
        <v>0</v>
      </c>
      <c r="AP88" s="26"/>
      <c r="AQ88" s="26"/>
      <c r="AR88" s="26"/>
      <c r="AS88" s="26" t="str">
        <f t="shared" si="3"/>
        <v/>
      </c>
      <c r="AT88" t="str">
        <f t="shared" si="4"/>
        <v/>
      </c>
      <c r="AU88" t="s">
        <v>200</v>
      </c>
      <c r="AV88" s="3"/>
      <c r="AW88" t="str">
        <f t="shared" si="5"/>
        <v>No scrap rate (No impact);</v>
      </c>
    </row>
    <row r="89" spans="1:49" x14ac:dyDescent="0.3">
      <c r="A89" t="s">
        <v>414</v>
      </c>
      <c r="B89" t="s">
        <v>415</v>
      </c>
      <c r="C89" t="s">
        <v>212</v>
      </c>
      <c r="D89" t="s">
        <v>213</v>
      </c>
      <c r="E89" t="s">
        <v>288</v>
      </c>
      <c r="F89" t="s">
        <v>289</v>
      </c>
      <c r="G89">
        <v>12</v>
      </c>
      <c r="H89">
        <v>0.28100000000000003</v>
      </c>
      <c r="I89" t="s">
        <v>198</v>
      </c>
      <c r="J89">
        <v>0.29499999999999998</v>
      </c>
      <c r="K89" t="s">
        <v>198</v>
      </c>
      <c r="L89" t="s">
        <v>199</v>
      </c>
      <c r="M89" s="3"/>
      <c r="R89" t="s">
        <v>200</v>
      </c>
      <c r="S89" s="25"/>
      <c r="T89" s="26"/>
      <c r="U89" s="27"/>
      <c r="V89" t="s">
        <v>25</v>
      </c>
      <c r="W89" t="s">
        <v>201</v>
      </c>
      <c r="X89" s="3"/>
      <c r="AC89" t="s">
        <v>202</v>
      </c>
      <c r="AF89" t="s">
        <v>203</v>
      </c>
      <c r="AK89" t="s">
        <v>200</v>
      </c>
      <c r="AM89" s="25"/>
      <c r="AO89" s="25">
        <v>0</v>
      </c>
      <c r="AP89" s="26"/>
      <c r="AQ89" s="26"/>
      <c r="AR89" s="26"/>
      <c r="AS89" s="26" t="str">
        <f t="shared" si="3"/>
        <v/>
      </c>
      <c r="AT89" t="str">
        <f t="shared" si="4"/>
        <v/>
      </c>
      <c r="AU89" t="s">
        <v>200</v>
      </c>
      <c r="AV89" s="3"/>
      <c r="AW89" t="str">
        <f t="shared" si="5"/>
        <v>No scrap rate (No impact);</v>
      </c>
    </row>
    <row r="90" spans="1:49" x14ac:dyDescent="0.3">
      <c r="A90" t="s">
        <v>416</v>
      </c>
      <c r="B90" t="s">
        <v>417</v>
      </c>
      <c r="C90" t="s">
        <v>212</v>
      </c>
      <c r="D90" t="s">
        <v>213</v>
      </c>
      <c r="E90" t="s">
        <v>288</v>
      </c>
      <c r="F90" t="s">
        <v>289</v>
      </c>
      <c r="G90">
        <v>6</v>
      </c>
      <c r="H90">
        <v>0.02</v>
      </c>
      <c r="I90" t="s">
        <v>198</v>
      </c>
      <c r="J90">
        <v>0.08</v>
      </c>
      <c r="K90" t="s">
        <v>198</v>
      </c>
      <c r="L90" t="s">
        <v>199</v>
      </c>
      <c r="M90" s="3"/>
      <c r="R90" t="s">
        <v>200</v>
      </c>
      <c r="S90" s="25"/>
      <c r="T90" s="26"/>
      <c r="U90" s="27"/>
      <c r="V90" t="s">
        <v>25</v>
      </c>
      <c r="W90" t="s">
        <v>201</v>
      </c>
      <c r="X90" s="3"/>
      <c r="AC90" t="s">
        <v>202</v>
      </c>
      <c r="AF90" t="s">
        <v>203</v>
      </c>
      <c r="AK90" t="s">
        <v>200</v>
      </c>
      <c r="AM90" s="25"/>
      <c r="AO90" s="25">
        <v>0</v>
      </c>
      <c r="AP90" s="26"/>
      <c r="AQ90" s="26"/>
      <c r="AR90" s="26"/>
      <c r="AS90" s="26" t="str">
        <f t="shared" si="3"/>
        <v/>
      </c>
      <c r="AT90" t="str">
        <f t="shared" si="4"/>
        <v/>
      </c>
      <c r="AU90" t="s">
        <v>200</v>
      </c>
      <c r="AV90" s="3"/>
      <c r="AW90" t="str">
        <f t="shared" si="5"/>
        <v>No scrap rate (No impact);</v>
      </c>
    </row>
    <row r="91" spans="1:49" x14ac:dyDescent="0.3">
      <c r="A91" t="s">
        <v>418</v>
      </c>
      <c r="B91" t="s">
        <v>419</v>
      </c>
      <c r="C91" t="s">
        <v>194</v>
      </c>
      <c r="D91" t="s">
        <v>195</v>
      </c>
      <c r="E91" t="s">
        <v>420</v>
      </c>
      <c r="F91" t="s">
        <v>421</v>
      </c>
      <c r="G91">
        <v>8</v>
      </c>
      <c r="H91">
        <v>1.5</v>
      </c>
      <c r="I91" t="s">
        <v>198</v>
      </c>
      <c r="J91">
        <v>1.65</v>
      </c>
      <c r="K91" t="s">
        <v>198</v>
      </c>
      <c r="L91" t="s">
        <v>199</v>
      </c>
      <c r="M91" s="3"/>
      <c r="R91" t="s">
        <v>200</v>
      </c>
      <c r="S91" s="25"/>
      <c r="T91" s="26"/>
      <c r="U91" s="27"/>
      <c r="V91" t="s">
        <v>25</v>
      </c>
      <c r="W91" t="s">
        <v>201</v>
      </c>
      <c r="X91" s="3"/>
      <c r="AC91" t="s">
        <v>202</v>
      </c>
      <c r="AF91" t="s">
        <v>203</v>
      </c>
      <c r="AK91" t="s">
        <v>200</v>
      </c>
      <c r="AM91" s="25"/>
      <c r="AO91" s="25">
        <v>0</v>
      </c>
      <c r="AP91" s="26"/>
      <c r="AQ91" s="26"/>
      <c r="AR91" s="26"/>
      <c r="AS91" s="26" t="str">
        <f t="shared" si="3"/>
        <v/>
      </c>
      <c r="AT91" t="str">
        <f t="shared" si="4"/>
        <v/>
      </c>
      <c r="AU91" t="s">
        <v>200</v>
      </c>
      <c r="AV91" s="3"/>
      <c r="AW91" t="str">
        <f t="shared" si="5"/>
        <v>No scrap rate (No impact);</v>
      </c>
    </row>
    <row r="92" spans="1:49" x14ac:dyDescent="0.3">
      <c r="A92" t="s">
        <v>422</v>
      </c>
      <c r="B92" t="s">
        <v>423</v>
      </c>
      <c r="C92" t="s">
        <v>194</v>
      </c>
      <c r="D92" t="s">
        <v>195</v>
      </c>
      <c r="E92" t="s">
        <v>388</v>
      </c>
      <c r="F92" t="s">
        <v>389</v>
      </c>
      <c r="G92">
        <v>12</v>
      </c>
      <c r="H92">
        <v>1</v>
      </c>
      <c r="I92" t="s">
        <v>198</v>
      </c>
      <c r="J92">
        <v>1.1359999999999999</v>
      </c>
      <c r="K92" t="s">
        <v>198</v>
      </c>
      <c r="L92" t="s">
        <v>199</v>
      </c>
      <c r="M92" s="3"/>
      <c r="R92" t="s">
        <v>200</v>
      </c>
      <c r="S92" s="25"/>
      <c r="T92" s="26"/>
      <c r="U92" s="27"/>
      <c r="V92" t="s">
        <v>25</v>
      </c>
      <c r="W92" t="s">
        <v>201</v>
      </c>
      <c r="X92" s="3"/>
      <c r="AC92" t="s">
        <v>202</v>
      </c>
      <c r="AF92" t="s">
        <v>203</v>
      </c>
      <c r="AK92" t="s">
        <v>200</v>
      </c>
      <c r="AM92" s="25"/>
      <c r="AO92" s="25">
        <v>0</v>
      </c>
      <c r="AP92" s="26"/>
      <c r="AQ92" s="26"/>
      <c r="AR92" s="26"/>
      <c r="AS92" s="26" t="str">
        <f t="shared" si="3"/>
        <v/>
      </c>
      <c r="AT92" t="str">
        <f t="shared" si="4"/>
        <v/>
      </c>
      <c r="AU92" t="s">
        <v>200</v>
      </c>
      <c r="AV92" s="3"/>
      <c r="AW92" t="str">
        <f t="shared" si="5"/>
        <v>No scrap rate (No impact);</v>
      </c>
    </row>
    <row r="93" spans="1:49" x14ac:dyDescent="0.3">
      <c r="A93" t="s">
        <v>424</v>
      </c>
      <c r="B93" t="s">
        <v>423</v>
      </c>
      <c r="C93" t="s">
        <v>194</v>
      </c>
      <c r="D93" t="s">
        <v>195</v>
      </c>
      <c r="E93" t="s">
        <v>388</v>
      </c>
      <c r="F93" t="s">
        <v>389</v>
      </c>
      <c r="G93">
        <v>4</v>
      </c>
      <c r="H93">
        <v>2.5</v>
      </c>
      <c r="I93" t="s">
        <v>198</v>
      </c>
      <c r="J93">
        <v>2.7</v>
      </c>
      <c r="K93" t="s">
        <v>198</v>
      </c>
      <c r="L93" t="s">
        <v>199</v>
      </c>
      <c r="M93" s="3"/>
      <c r="R93" t="s">
        <v>200</v>
      </c>
      <c r="S93" s="25"/>
      <c r="T93" s="26"/>
      <c r="U93" s="27"/>
      <c r="V93" t="s">
        <v>25</v>
      </c>
      <c r="W93" t="s">
        <v>201</v>
      </c>
      <c r="X93" s="3"/>
      <c r="AC93" t="s">
        <v>202</v>
      </c>
      <c r="AF93" t="s">
        <v>203</v>
      </c>
      <c r="AK93" t="s">
        <v>200</v>
      </c>
      <c r="AM93" s="25"/>
      <c r="AO93" s="25">
        <v>0</v>
      </c>
      <c r="AP93" s="26"/>
      <c r="AQ93" s="26"/>
      <c r="AR93" s="26"/>
      <c r="AS93" s="26" t="str">
        <f t="shared" si="3"/>
        <v/>
      </c>
      <c r="AT93" t="str">
        <f t="shared" si="4"/>
        <v/>
      </c>
      <c r="AU93" t="s">
        <v>200</v>
      </c>
      <c r="AV93" s="3"/>
      <c r="AW93" t="str">
        <f t="shared" si="5"/>
        <v>No scrap rate (No impact);</v>
      </c>
    </row>
    <row r="94" spans="1:49" x14ac:dyDescent="0.3">
      <c r="A94" t="s">
        <v>425</v>
      </c>
      <c r="B94" t="s">
        <v>426</v>
      </c>
      <c r="C94" t="s">
        <v>194</v>
      </c>
      <c r="D94" t="s">
        <v>195</v>
      </c>
      <c r="E94" t="s">
        <v>388</v>
      </c>
      <c r="F94" t="s">
        <v>389</v>
      </c>
      <c r="G94">
        <v>12</v>
      </c>
      <c r="H94">
        <v>1</v>
      </c>
      <c r="I94" t="s">
        <v>198</v>
      </c>
      <c r="J94">
        <v>1.073</v>
      </c>
      <c r="K94" t="s">
        <v>198</v>
      </c>
      <c r="L94" t="s">
        <v>199</v>
      </c>
      <c r="M94" s="3"/>
      <c r="R94" t="s">
        <v>200</v>
      </c>
      <c r="S94" s="25"/>
      <c r="T94" s="26"/>
      <c r="U94" s="27"/>
      <c r="V94" t="s">
        <v>25</v>
      </c>
      <c r="W94" t="s">
        <v>201</v>
      </c>
      <c r="X94" s="3"/>
      <c r="AC94" t="s">
        <v>202</v>
      </c>
      <c r="AF94" t="s">
        <v>203</v>
      </c>
      <c r="AK94" t="s">
        <v>200</v>
      </c>
      <c r="AM94" s="25"/>
      <c r="AO94" s="25">
        <v>0</v>
      </c>
      <c r="AP94" s="26"/>
      <c r="AQ94" s="26"/>
      <c r="AR94" s="26"/>
      <c r="AS94" s="26" t="str">
        <f t="shared" si="3"/>
        <v/>
      </c>
      <c r="AT94" t="str">
        <f t="shared" si="4"/>
        <v/>
      </c>
      <c r="AU94" t="s">
        <v>200</v>
      </c>
      <c r="AV94" s="3"/>
      <c r="AW94" t="str">
        <f t="shared" si="5"/>
        <v>No scrap rate (No impact);</v>
      </c>
    </row>
    <row r="95" spans="1:49" x14ac:dyDescent="0.3">
      <c r="A95" t="s">
        <v>427</v>
      </c>
      <c r="B95" t="s">
        <v>428</v>
      </c>
      <c r="C95" t="s">
        <v>194</v>
      </c>
      <c r="D95" t="s">
        <v>195</v>
      </c>
      <c r="E95" t="s">
        <v>312</v>
      </c>
      <c r="F95" t="s">
        <v>313</v>
      </c>
      <c r="G95">
        <v>12</v>
      </c>
      <c r="H95">
        <v>0.4</v>
      </c>
      <c r="I95" t="s">
        <v>198</v>
      </c>
      <c r="J95">
        <v>0.46800000000000003</v>
      </c>
      <c r="K95" t="s">
        <v>198</v>
      </c>
      <c r="L95" t="s">
        <v>199</v>
      </c>
      <c r="M95" s="3"/>
      <c r="R95" t="s">
        <v>200</v>
      </c>
      <c r="S95" s="25"/>
      <c r="T95" s="26"/>
      <c r="U95" s="27"/>
      <c r="V95" t="s">
        <v>25</v>
      </c>
      <c r="W95" t="s">
        <v>201</v>
      </c>
      <c r="X95" s="3"/>
      <c r="AC95" t="s">
        <v>202</v>
      </c>
      <c r="AF95" t="s">
        <v>203</v>
      </c>
      <c r="AK95" t="s">
        <v>200</v>
      </c>
      <c r="AM95" s="25"/>
      <c r="AO95" s="25">
        <v>0</v>
      </c>
      <c r="AP95" s="26"/>
      <c r="AQ95" s="26"/>
      <c r="AR95" s="26"/>
      <c r="AS95" s="26" t="str">
        <f t="shared" si="3"/>
        <v/>
      </c>
      <c r="AT95" t="str">
        <f t="shared" si="4"/>
        <v/>
      </c>
      <c r="AU95" t="s">
        <v>200</v>
      </c>
      <c r="AV95" s="3"/>
      <c r="AW95" t="str">
        <f t="shared" si="5"/>
        <v>No scrap rate (No impact);</v>
      </c>
    </row>
    <row r="96" spans="1:49" x14ac:dyDescent="0.3">
      <c r="A96" t="s">
        <v>429</v>
      </c>
      <c r="B96" t="s">
        <v>430</v>
      </c>
      <c r="C96" t="s">
        <v>212</v>
      </c>
      <c r="D96" t="s">
        <v>213</v>
      </c>
      <c r="E96" t="s">
        <v>288</v>
      </c>
      <c r="F96" t="s">
        <v>289</v>
      </c>
      <c r="G96">
        <v>6</v>
      </c>
      <c r="H96">
        <v>0.183</v>
      </c>
      <c r="I96" t="s">
        <v>198</v>
      </c>
      <c r="J96">
        <v>0.26700000000000002</v>
      </c>
      <c r="K96" t="s">
        <v>198</v>
      </c>
      <c r="L96" t="s">
        <v>199</v>
      </c>
      <c r="M96" s="3"/>
      <c r="R96" t="s">
        <v>200</v>
      </c>
      <c r="S96" s="25"/>
      <c r="T96" s="26"/>
      <c r="U96" s="27"/>
      <c r="V96" t="s">
        <v>25</v>
      </c>
      <c r="W96" t="s">
        <v>201</v>
      </c>
      <c r="X96" s="3"/>
      <c r="AC96" t="s">
        <v>202</v>
      </c>
      <c r="AF96" t="s">
        <v>203</v>
      </c>
      <c r="AK96" t="s">
        <v>200</v>
      </c>
      <c r="AM96" s="25"/>
      <c r="AO96" s="25">
        <v>0</v>
      </c>
      <c r="AP96" s="26"/>
      <c r="AQ96" s="26"/>
      <c r="AR96" s="26"/>
      <c r="AS96" s="26" t="str">
        <f t="shared" si="3"/>
        <v/>
      </c>
      <c r="AT96" t="str">
        <f t="shared" si="4"/>
        <v/>
      </c>
      <c r="AU96" t="s">
        <v>200</v>
      </c>
      <c r="AV96" s="3"/>
      <c r="AW96" t="str">
        <f t="shared" si="5"/>
        <v>No scrap rate (No impact);</v>
      </c>
    </row>
    <row r="97" spans="1:49" x14ac:dyDescent="0.3">
      <c r="A97" t="s">
        <v>431</v>
      </c>
      <c r="B97" t="s">
        <v>432</v>
      </c>
      <c r="C97" t="s">
        <v>212</v>
      </c>
      <c r="D97" t="s">
        <v>213</v>
      </c>
      <c r="E97" t="s">
        <v>433</v>
      </c>
      <c r="F97" t="s">
        <v>434</v>
      </c>
      <c r="G97">
        <v>6</v>
      </c>
      <c r="H97">
        <v>0.25</v>
      </c>
      <c r="I97" t="s">
        <v>198</v>
      </c>
      <c r="J97">
        <v>0.25</v>
      </c>
      <c r="K97" t="s">
        <v>198</v>
      </c>
      <c r="L97" t="s">
        <v>199</v>
      </c>
      <c r="M97" s="3"/>
      <c r="R97" t="s">
        <v>200</v>
      </c>
      <c r="S97" s="25"/>
      <c r="T97" s="26"/>
      <c r="U97" s="27"/>
      <c r="V97" t="s">
        <v>25</v>
      </c>
      <c r="W97" t="s">
        <v>201</v>
      </c>
      <c r="X97" s="3"/>
      <c r="AC97" t="s">
        <v>202</v>
      </c>
      <c r="AF97" t="s">
        <v>203</v>
      </c>
      <c r="AK97" t="s">
        <v>200</v>
      </c>
      <c r="AM97" s="25"/>
      <c r="AO97" s="25">
        <v>0</v>
      </c>
      <c r="AP97" s="26"/>
      <c r="AQ97" s="26"/>
      <c r="AR97" s="26"/>
      <c r="AS97" s="26" t="str">
        <f t="shared" si="3"/>
        <v/>
      </c>
      <c r="AT97" t="str">
        <f t="shared" si="4"/>
        <v/>
      </c>
      <c r="AU97" t="s">
        <v>200</v>
      </c>
      <c r="AV97" s="3"/>
      <c r="AW97" t="str">
        <f t="shared" si="5"/>
        <v>No scrap rate (No impact);</v>
      </c>
    </row>
    <row r="98" spans="1:49" x14ac:dyDescent="0.3">
      <c r="A98" t="s">
        <v>435</v>
      </c>
      <c r="B98" t="s">
        <v>436</v>
      </c>
      <c r="C98" t="s">
        <v>212</v>
      </c>
      <c r="D98" t="s">
        <v>213</v>
      </c>
      <c r="E98" t="s">
        <v>437</v>
      </c>
      <c r="F98" t="s">
        <v>438</v>
      </c>
      <c r="G98">
        <v>12</v>
      </c>
      <c r="H98">
        <v>0.15</v>
      </c>
      <c r="I98" t="s">
        <v>198</v>
      </c>
      <c r="J98">
        <v>0.15</v>
      </c>
      <c r="K98" t="s">
        <v>198</v>
      </c>
      <c r="L98" t="s">
        <v>199</v>
      </c>
      <c r="M98" s="3"/>
      <c r="R98" t="s">
        <v>200</v>
      </c>
      <c r="S98" s="25"/>
      <c r="T98" s="26"/>
      <c r="U98" s="27"/>
      <c r="V98" t="s">
        <v>25</v>
      </c>
      <c r="W98" t="s">
        <v>201</v>
      </c>
      <c r="X98" s="3"/>
      <c r="AC98" t="s">
        <v>202</v>
      </c>
      <c r="AF98" t="s">
        <v>203</v>
      </c>
      <c r="AK98" t="s">
        <v>200</v>
      </c>
      <c r="AM98" s="25"/>
      <c r="AO98" s="25">
        <v>0</v>
      </c>
      <c r="AP98" s="26"/>
      <c r="AQ98" s="26"/>
      <c r="AR98" s="26"/>
      <c r="AS98" s="26" t="str">
        <f t="shared" si="3"/>
        <v/>
      </c>
      <c r="AT98" t="str">
        <f t="shared" si="4"/>
        <v/>
      </c>
      <c r="AU98" t="s">
        <v>200</v>
      </c>
      <c r="AV98" s="3"/>
      <c r="AW98" t="str">
        <f t="shared" si="5"/>
        <v>No scrap rate (No impact);</v>
      </c>
    </row>
    <row r="99" spans="1:49" x14ac:dyDescent="0.3">
      <c r="A99" t="s">
        <v>439</v>
      </c>
      <c r="B99" t="s">
        <v>440</v>
      </c>
      <c r="C99" t="s">
        <v>212</v>
      </c>
      <c r="D99" t="s">
        <v>213</v>
      </c>
      <c r="E99" t="s">
        <v>433</v>
      </c>
      <c r="F99" t="s">
        <v>434</v>
      </c>
      <c r="G99">
        <v>12</v>
      </c>
      <c r="H99">
        <v>0.06</v>
      </c>
      <c r="I99" t="s">
        <v>198</v>
      </c>
      <c r="J99">
        <v>0.06</v>
      </c>
      <c r="K99" t="s">
        <v>198</v>
      </c>
      <c r="L99" t="s">
        <v>199</v>
      </c>
      <c r="M99" s="3"/>
      <c r="R99" t="s">
        <v>200</v>
      </c>
      <c r="S99" s="25"/>
      <c r="T99" s="26"/>
      <c r="U99" s="27"/>
      <c r="V99" t="s">
        <v>25</v>
      </c>
      <c r="W99" t="s">
        <v>201</v>
      </c>
      <c r="X99" s="3"/>
      <c r="AC99" t="s">
        <v>202</v>
      </c>
      <c r="AF99" t="s">
        <v>203</v>
      </c>
      <c r="AK99" t="s">
        <v>200</v>
      </c>
      <c r="AM99" s="25"/>
      <c r="AO99" s="25">
        <v>0</v>
      </c>
      <c r="AP99" s="26"/>
      <c r="AQ99" s="26"/>
      <c r="AR99" s="26"/>
      <c r="AS99" s="26" t="str">
        <f t="shared" si="3"/>
        <v/>
      </c>
      <c r="AT99" t="str">
        <f t="shared" si="4"/>
        <v/>
      </c>
      <c r="AU99" t="s">
        <v>200</v>
      </c>
      <c r="AV99" s="3"/>
      <c r="AW99" t="str">
        <f t="shared" si="5"/>
        <v>No scrap rate (No impact);</v>
      </c>
    </row>
    <row r="100" spans="1:49" x14ac:dyDescent="0.3">
      <c r="A100" t="s">
        <v>441</v>
      </c>
      <c r="B100" t="s">
        <v>442</v>
      </c>
      <c r="C100" t="s">
        <v>212</v>
      </c>
      <c r="D100" t="s">
        <v>213</v>
      </c>
      <c r="E100" t="s">
        <v>443</v>
      </c>
      <c r="F100" t="s">
        <v>444</v>
      </c>
      <c r="G100">
        <v>4</v>
      </c>
      <c r="H100">
        <v>0.245</v>
      </c>
      <c r="I100" t="s">
        <v>198</v>
      </c>
      <c r="J100">
        <v>0.26</v>
      </c>
      <c r="K100" t="s">
        <v>198</v>
      </c>
      <c r="L100" t="s">
        <v>199</v>
      </c>
      <c r="M100" s="3"/>
      <c r="R100" t="s">
        <v>200</v>
      </c>
      <c r="S100" s="25"/>
      <c r="T100" s="26"/>
      <c r="U100" s="27"/>
      <c r="V100" t="s">
        <v>25</v>
      </c>
      <c r="W100" t="s">
        <v>201</v>
      </c>
      <c r="X100" s="3"/>
      <c r="AC100" t="s">
        <v>202</v>
      </c>
      <c r="AF100" t="s">
        <v>203</v>
      </c>
      <c r="AK100" t="s">
        <v>200</v>
      </c>
      <c r="AM100" s="25"/>
      <c r="AO100" s="25">
        <v>0</v>
      </c>
      <c r="AP100" s="26"/>
      <c r="AQ100" s="26"/>
      <c r="AR100" s="26"/>
      <c r="AS100" s="26" t="str">
        <f t="shared" si="3"/>
        <v/>
      </c>
      <c r="AT100" t="str">
        <f t="shared" si="4"/>
        <v/>
      </c>
      <c r="AU100" t="s">
        <v>200</v>
      </c>
      <c r="AV100" s="3"/>
      <c r="AW100" t="str">
        <f t="shared" si="5"/>
        <v>No scrap rate (No impact);</v>
      </c>
    </row>
    <row r="101" spans="1:49" x14ac:dyDescent="0.3">
      <c r="A101" t="s">
        <v>445</v>
      </c>
      <c r="B101" t="s">
        <v>446</v>
      </c>
      <c r="C101" t="s">
        <v>212</v>
      </c>
      <c r="D101" t="s">
        <v>213</v>
      </c>
      <c r="E101" t="s">
        <v>433</v>
      </c>
      <c r="F101" t="s">
        <v>434</v>
      </c>
      <c r="G101">
        <v>12</v>
      </c>
      <c r="H101">
        <v>0.09</v>
      </c>
      <c r="I101" t="s">
        <v>198</v>
      </c>
      <c r="J101">
        <v>0.14000000000000001</v>
      </c>
      <c r="K101" t="s">
        <v>198</v>
      </c>
      <c r="L101" t="s">
        <v>199</v>
      </c>
      <c r="M101" s="3"/>
      <c r="R101" t="s">
        <v>200</v>
      </c>
      <c r="S101" s="25"/>
      <c r="T101" s="26"/>
      <c r="U101" s="27"/>
      <c r="V101" t="s">
        <v>25</v>
      </c>
      <c r="W101" t="s">
        <v>201</v>
      </c>
      <c r="X101" s="3"/>
      <c r="AC101" t="s">
        <v>202</v>
      </c>
      <c r="AF101" t="s">
        <v>203</v>
      </c>
      <c r="AK101" t="s">
        <v>200</v>
      </c>
      <c r="AM101" s="25"/>
      <c r="AO101" s="25">
        <v>0</v>
      </c>
      <c r="AP101" s="26"/>
      <c r="AQ101" s="26"/>
      <c r="AR101" s="26"/>
      <c r="AS101" s="26" t="str">
        <f t="shared" si="3"/>
        <v/>
      </c>
      <c r="AT101" t="str">
        <f t="shared" si="4"/>
        <v/>
      </c>
      <c r="AU101" t="s">
        <v>200</v>
      </c>
      <c r="AV101" s="3"/>
      <c r="AW101" t="str">
        <f t="shared" si="5"/>
        <v>No scrap rate (No impact);</v>
      </c>
    </row>
    <row r="102" spans="1:49" x14ac:dyDescent="0.3">
      <c r="A102" t="s">
        <v>447</v>
      </c>
      <c r="B102" t="s">
        <v>448</v>
      </c>
      <c r="C102" t="s">
        <v>212</v>
      </c>
      <c r="D102" t="s">
        <v>213</v>
      </c>
      <c r="E102" t="s">
        <v>449</v>
      </c>
      <c r="F102" t="s">
        <v>450</v>
      </c>
      <c r="G102">
        <v>12</v>
      </c>
      <c r="H102">
        <v>0.6</v>
      </c>
      <c r="I102" t="s">
        <v>198</v>
      </c>
      <c r="J102">
        <v>0.7</v>
      </c>
      <c r="K102" t="s">
        <v>198</v>
      </c>
      <c r="L102" t="s">
        <v>199</v>
      </c>
      <c r="M102" s="3"/>
      <c r="R102" t="s">
        <v>200</v>
      </c>
      <c r="S102" s="25"/>
      <c r="T102" s="26"/>
      <c r="U102" s="27"/>
      <c r="V102" t="s">
        <v>25</v>
      </c>
      <c r="W102" t="s">
        <v>201</v>
      </c>
      <c r="X102" s="3"/>
      <c r="AC102" t="s">
        <v>202</v>
      </c>
      <c r="AF102" t="s">
        <v>203</v>
      </c>
      <c r="AK102" t="s">
        <v>200</v>
      </c>
      <c r="AM102" s="25"/>
      <c r="AO102" s="25">
        <v>0</v>
      </c>
      <c r="AP102" s="26"/>
      <c r="AQ102" s="26"/>
      <c r="AR102" s="26"/>
      <c r="AS102" s="26" t="str">
        <f t="shared" si="3"/>
        <v/>
      </c>
      <c r="AT102" t="str">
        <f t="shared" si="4"/>
        <v/>
      </c>
      <c r="AU102" t="s">
        <v>200</v>
      </c>
      <c r="AV102" s="3"/>
      <c r="AW102" t="str">
        <f t="shared" si="5"/>
        <v>No scrap rate (No impact);</v>
      </c>
    </row>
    <row r="103" spans="1:49" x14ac:dyDescent="0.3">
      <c r="A103" t="s">
        <v>451</v>
      </c>
      <c r="B103" t="s">
        <v>452</v>
      </c>
      <c r="C103" t="s">
        <v>212</v>
      </c>
      <c r="D103" t="s">
        <v>213</v>
      </c>
      <c r="E103" t="s">
        <v>288</v>
      </c>
      <c r="F103" t="s">
        <v>289</v>
      </c>
      <c r="G103">
        <v>6</v>
      </c>
      <c r="H103">
        <v>0.44900000000000001</v>
      </c>
      <c r="I103" t="s">
        <v>198</v>
      </c>
      <c r="J103">
        <v>0.505</v>
      </c>
      <c r="K103" t="s">
        <v>198</v>
      </c>
      <c r="L103" t="s">
        <v>199</v>
      </c>
      <c r="M103" s="3"/>
      <c r="R103" t="s">
        <v>200</v>
      </c>
      <c r="S103" s="25"/>
      <c r="T103" s="26"/>
      <c r="U103" s="27"/>
      <c r="V103" t="s">
        <v>25</v>
      </c>
      <c r="W103" t="s">
        <v>201</v>
      </c>
      <c r="X103" s="3"/>
      <c r="AC103" t="s">
        <v>202</v>
      </c>
      <c r="AF103" t="s">
        <v>203</v>
      </c>
      <c r="AK103" t="s">
        <v>200</v>
      </c>
      <c r="AM103" s="25"/>
      <c r="AO103" s="25">
        <v>0</v>
      </c>
      <c r="AP103" s="26"/>
      <c r="AQ103" s="26"/>
      <c r="AR103" s="26"/>
      <c r="AS103" s="26" t="str">
        <f t="shared" si="3"/>
        <v/>
      </c>
      <c r="AT103" t="str">
        <f t="shared" si="4"/>
        <v/>
      </c>
      <c r="AU103" t="s">
        <v>200</v>
      </c>
      <c r="AV103" s="3"/>
      <c r="AW103" t="str">
        <f t="shared" si="5"/>
        <v>No scrap rate (No impact);</v>
      </c>
    </row>
    <row r="104" spans="1:49" x14ac:dyDescent="0.3">
      <c r="A104" t="s">
        <v>453</v>
      </c>
      <c r="B104" t="s">
        <v>454</v>
      </c>
      <c r="C104" t="s">
        <v>212</v>
      </c>
      <c r="D104" t="s">
        <v>213</v>
      </c>
      <c r="E104" t="s">
        <v>437</v>
      </c>
      <c r="F104" t="s">
        <v>438</v>
      </c>
      <c r="G104">
        <v>24</v>
      </c>
      <c r="H104">
        <v>0.03</v>
      </c>
      <c r="I104" t="s">
        <v>198</v>
      </c>
      <c r="J104">
        <v>0.04</v>
      </c>
      <c r="K104" t="s">
        <v>198</v>
      </c>
      <c r="L104" t="s">
        <v>199</v>
      </c>
      <c r="M104" s="3"/>
      <c r="R104" t="s">
        <v>200</v>
      </c>
      <c r="S104" s="25"/>
      <c r="T104" s="26"/>
      <c r="U104" s="27"/>
      <c r="V104" t="s">
        <v>25</v>
      </c>
      <c r="W104" t="s">
        <v>201</v>
      </c>
      <c r="X104" s="3"/>
      <c r="AC104" t="s">
        <v>202</v>
      </c>
      <c r="AF104" t="s">
        <v>203</v>
      </c>
      <c r="AK104" t="s">
        <v>200</v>
      </c>
      <c r="AM104" s="25"/>
      <c r="AO104" s="25">
        <v>0</v>
      </c>
      <c r="AP104" s="26"/>
      <c r="AQ104" s="26"/>
      <c r="AR104" s="26"/>
      <c r="AS104" s="26" t="str">
        <f t="shared" si="3"/>
        <v/>
      </c>
      <c r="AT104" t="str">
        <f t="shared" si="4"/>
        <v/>
      </c>
      <c r="AU104" t="s">
        <v>200</v>
      </c>
      <c r="AV104" s="3"/>
      <c r="AW104" t="str">
        <f t="shared" si="5"/>
        <v>No scrap rate (No impact);</v>
      </c>
    </row>
    <row r="105" spans="1:49" x14ac:dyDescent="0.3">
      <c r="A105" t="s">
        <v>455</v>
      </c>
      <c r="B105" t="s">
        <v>456</v>
      </c>
      <c r="C105" t="s">
        <v>194</v>
      </c>
      <c r="D105" t="s">
        <v>195</v>
      </c>
      <c r="E105" t="s">
        <v>332</v>
      </c>
      <c r="F105" t="s">
        <v>333</v>
      </c>
      <c r="G105">
        <v>6</v>
      </c>
      <c r="H105">
        <v>2.4</v>
      </c>
      <c r="I105" t="s">
        <v>198</v>
      </c>
      <c r="J105">
        <v>6.2</v>
      </c>
      <c r="K105" t="s">
        <v>198</v>
      </c>
      <c r="L105" t="s">
        <v>199</v>
      </c>
      <c r="M105" s="3"/>
      <c r="R105" t="s">
        <v>200</v>
      </c>
      <c r="S105" s="25"/>
      <c r="T105" s="26"/>
      <c r="U105" s="27"/>
      <c r="V105" t="s">
        <v>25</v>
      </c>
      <c r="W105" t="s">
        <v>201</v>
      </c>
      <c r="X105" s="3"/>
      <c r="AC105" t="s">
        <v>202</v>
      </c>
      <c r="AF105" t="s">
        <v>203</v>
      </c>
      <c r="AK105" t="s">
        <v>200</v>
      </c>
      <c r="AM105" s="25"/>
      <c r="AO105" s="25">
        <v>0</v>
      </c>
      <c r="AP105" s="26"/>
      <c r="AQ105" s="26"/>
      <c r="AR105" s="26"/>
      <c r="AS105" s="26" t="str">
        <f t="shared" si="3"/>
        <v/>
      </c>
      <c r="AT105" t="str">
        <f t="shared" si="4"/>
        <v/>
      </c>
      <c r="AU105" t="s">
        <v>200</v>
      </c>
      <c r="AV105" s="3"/>
      <c r="AW105" t="str">
        <f t="shared" si="5"/>
        <v>No scrap rate (No impact);</v>
      </c>
    </row>
    <row r="106" spans="1:49" x14ac:dyDescent="0.3">
      <c r="A106" t="s">
        <v>457</v>
      </c>
      <c r="B106" t="s">
        <v>458</v>
      </c>
      <c r="C106" t="s">
        <v>194</v>
      </c>
      <c r="D106" t="s">
        <v>195</v>
      </c>
      <c r="E106" t="s">
        <v>332</v>
      </c>
      <c r="F106" t="s">
        <v>333</v>
      </c>
      <c r="G106">
        <v>6</v>
      </c>
      <c r="H106">
        <v>6.18</v>
      </c>
      <c r="I106" t="s">
        <v>198</v>
      </c>
      <c r="J106">
        <v>6.2</v>
      </c>
      <c r="K106" t="s">
        <v>198</v>
      </c>
      <c r="L106" t="s">
        <v>199</v>
      </c>
      <c r="M106" s="3"/>
      <c r="R106" t="s">
        <v>200</v>
      </c>
      <c r="S106" s="25"/>
      <c r="T106" s="26"/>
      <c r="U106" s="27"/>
      <c r="V106" t="s">
        <v>25</v>
      </c>
      <c r="W106" t="s">
        <v>201</v>
      </c>
      <c r="X106" s="3"/>
      <c r="AC106" t="s">
        <v>202</v>
      </c>
      <c r="AF106" t="s">
        <v>203</v>
      </c>
      <c r="AK106" t="s">
        <v>200</v>
      </c>
      <c r="AM106" s="25"/>
      <c r="AO106" s="25">
        <v>0</v>
      </c>
      <c r="AP106" s="26"/>
      <c r="AQ106" s="26"/>
      <c r="AR106" s="26"/>
      <c r="AS106" s="26" t="str">
        <f t="shared" si="3"/>
        <v/>
      </c>
      <c r="AT106" t="str">
        <f t="shared" si="4"/>
        <v/>
      </c>
      <c r="AU106" t="s">
        <v>200</v>
      </c>
      <c r="AV106" s="3"/>
      <c r="AW106" t="str">
        <f t="shared" si="5"/>
        <v>No scrap rate (No impact);</v>
      </c>
    </row>
    <row r="107" spans="1:49" x14ac:dyDescent="0.3">
      <c r="A107" t="s">
        <v>459</v>
      </c>
      <c r="B107" t="s">
        <v>460</v>
      </c>
      <c r="C107" t="s">
        <v>194</v>
      </c>
      <c r="D107" t="s">
        <v>195</v>
      </c>
      <c r="E107" t="s">
        <v>332</v>
      </c>
      <c r="F107" t="s">
        <v>333</v>
      </c>
      <c r="G107">
        <v>6</v>
      </c>
      <c r="H107">
        <v>1.31</v>
      </c>
      <c r="I107" t="s">
        <v>198</v>
      </c>
      <c r="J107">
        <v>1.33</v>
      </c>
      <c r="K107" t="s">
        <v>198</v>
      </c>
      <c r="L107" t="s">
        <v>199</v>
      </c>
      <c r="M107" s="3"/>
      <c r="R107" t="s">
        <v>200</v>
      </c>
      <c r="S107" s="25"/>
      <c r="T107" s="26"/>
      <c r="U107" s="27"/>
      <c r="V107" t="s">
        <v>25</v>
      </c>
      <c r="W107" t="s">
        <v>201</v>
      </c>
      <c r="X107" s="3"/>
      <c r="AC107" t="s">
        <v>202</v>
      </c>
      <c r="AF107" t="s">
        <v>203</v>
      </c>
      <c r="AK107" t="s">
        <v>200</v>
      </c>
      <c r="AM107" s="25"/>
      <c r="AO107" s="25">
        <v>0</v>
      </c>
      <c r="AP107" s="26"/>
      <c r="AQ107" s="26"/>
      <c r="AR107" s="26"/>
      <c r="AS107" s="26" t="str">
        <f t="shared" si="3"/>
        <v/>
      </c>
      <c r="AT107" t="str">
        <f t="shared" si="4"/>
        <v/>
      </c>
      <c r="AU107" t="s">
        <v>200</v>
      </c>
      <c r="AV107" s="3"/>
      <c r="AW107" t="str">
        <f t="shared" si="5"/>
        <v>No scrap rate (No impact);</v>
      </c>
    </row>
    <row r="108" spans="1:49" x14ac:dyDescent="0.3">
      <c r="A108" t="s">
        <v>461</v>
      </c>
      <c r="B108" t="s">
        <v>462</v>
      </c>
      <c r="C108" t="s">
        <v>212</v>
      </c>
      <c r="D108" t="s">
        <v>213</v>
      </c>
      <c r="E108" t="s">
        <v>463</v>
      </c>
      <c r="F108" t="s">
        <v>464</v>
      </c>
      <c r="G108">
        <v>6</v>
      </c>
      <c r="H108">
        <v>0.23</v>
      </c>
      <c r="I108" t="s">
        <v>198</v>
      </c>
      <c r="J108">
        <v>0.25</v>
      </c>
      <c r="K108" t="s">
        <v>198</v>
      </c>
      <c r="L108" t="s">
        <v>199</v>
      </c>
      <c r="M108" s="3"/>
      <c r="R108" t="s">
        <v>200</v>
      </c>
      <c r="S108" s="25"/>
      <c r="T108" s="26"/>
      <c r="U108" s="27"/>
      <c r="V108" t="s">
        <v>25</v>
      </c>
      <c r="W108" t="s">
        <v>201</v>
      </c>
      <c r="X108" s="3"/>
      <c r="AC108" t="s">
        <v>202</v>
      </c>
      <c r="AF108" t="s">
        <v>203</v>
      </c>
      <c r="AK108" t="s">
        <v>200</v>
      </c>
      <c r="AM108" s="25"/>
      <c r="AO108" s="25">
        <v>0</v>
      </c>
      <c r="AP108" s="26"/>
      <c r="AQ108" s="26"/>
      <c r="AR108" s="26"/>
      <c r="AS108" s="26" t="str">
        <f t="shared" si="3"/>
        <v/>
      </c>
      <c r="AT108" t="str">
        <f t="shared" si="4"/>
        <v/>
      </c>
      <c r="AU108" t="s">
        <v>200</v>
      </c>
      <c r="AV108" s="3"/>
      <c r="AW108" t="str">
        <f t="shared" si="5"/>
        <v>No scrap rate (No impact);</v>
      </c>
    </row>
    <row r="109" spans="1:49" x14ac:dyDescent="0.3">
      <c r="A109" t="s">
        <v>465</v>
      </c>
      <c r="B109" t="s">
        <v>466</v>
      </c>
      <c r="C109" t="s">
        <v>212</v>
      </c>
      <c r="D109" t="s">
        <v>213</v>
      </c>
      <c r="E109" t="s">
        <v>443</v>
      </c>
      <c r="F109" t="s">
        <v>444</v>
      </c>
      <c r="G109">
        <v>4</v>
      </c>
      <c r="H109">
        <v>0.27800000000000002</v>
      </c>
      <c r="I109" t="s">
        <v>198</v>
      </c>
      <c r="J109">
        <v>0.39400000000000002</v>
      </c>
      <c r="K109" t="s">
        <v>198</v>
      </c>
      <c r="L109" t="s">
        <v>199</v>
      </c>
      <c r="M109" s="3"/>
      <c r="R109" t="s">
        <v>200</v>
      </c>
      <c r="S109" s="25"/>
      <c r="T109" s="26"/>
      <c r="U109" s="27"/>
      <c r="V109" t="s">
        <v>25</v>
      </c>
      <c r="W109" t="s">
        <v>201</v>
      </c>
      <c r="X109" s="3"/>
      <c r="AC109" t="s">
        <v>202</v>
      </c>
      <c r="AF109" t="s">
        <v>203</v>
      </c>
      <c r="AK109" t="s">
        <v>200</v>
      </c>
      <c r="AM109" s="25"/>
      <c r="AO109" s="25">
        <v>0</v>
      </c>
      <c r="AP109" s="26"/>
      <c r="AQ109" s="26"/>
      <c r="AR109" s="26"/>
      <c r="AS109" s="26" t="str">
        <f t="shared" si="3"/>
        <v/>
      </c>
      <c r="AT109" t="str">
        <f t="shared" si="4"/>
        <v/>
      </c>
      <c r="AU109" t="s">
        <v>200</v>
      </c>
      <c r="AV109" s="3"/>
      <c r="AW109" t="str">
        <f t="shared" si="5"/>
        <v>No scrap rate (No impact);</v>
      </c>
    </row>
    <row r="110" spans="1:49" x14ac:dyDescent="0.3">
      <c r="A110" t="s">
        <v>467</v>
      </c>
      <c r="B110" t="s">
        <v>468</v>
      </c>
      <c r="C110" t="s">
        <v>212</v>
      </c>
      <c r="D110" t="s">
        <v>213</v>
      </c>
      <c r="E110" t="s">
        <v>443</v>
      </c>
      <c r="F110" t="s">
        <v>444</v>
      </c>
      <c r="G110">
        <v>12</v>
      </c>
      <c r="H110">
        <v>0.13500000000000001</v>
      </c>
      <c r="I110" t="s">
        <v>198</v>
      </c>
      <c r="J110">
        <v>0.14000000000000001</v>
      </c>
      <c r="K110" t="s">
        <v>198</v>
      </c>
      <c r="L110" t="s">
        <v>199</v>
      </c>
      <c r="M110" s="3"/>
      <c r="R110" t="s">
        <v>200</v>
      </c>
      <c r="S110" s="25"/>
      <c r="T110" s="26"/>
      <c r="U110" s="27"/>
      <c r="V110" t="s">
        <v>25</v>
      </c>
      <c r="W110" t="s">
        <v>201</v>
      </c>
      <c r="X110" s="3"/>
      <c r="AC110" t="s">
        <v>202</v>
      </c>
      <c r="AF110" t="s">
        <v>203</v>
      </c>
      <c r="AK110" t="s">
        <v>200</v>
      </c>
      <c r="AM110" s="25"/>
      <c r="AO110" s="25">
        <v>0</v>
      </c>
      <c r="AP110" s="26"/>
      <c r="AQ110" s="26"/>
      <c r="AR110" s="26"/>
      <c r="AS110" s="26" t="str">
        <f t="shared" si="3"/>
        <v/>
      </c>
      <c r="AT110" t="str">
        <f t="shared" si="4"/>
        <v/>
      </c>
      <c r="AU110" t="s">
        <v>200</v>
      </c>
      <c r="AV110" s="3"/>
      <c r="AW110" t="str">
        <f t="shared" si="5"/>
        <v>No scrap rate (No impact);</v>
      </c>
    </row>
    <row r="111" spans="1:49" x14ac:dyDescent="0.3">
      <c r="A111" t="s">
        <v>469</v>
      </c>
      <c r="B111" t="s">
        <v>470</v>
      </c>
      <c r="C111" t="s">
        <v>212</v>
      </c>
      <c r="D111" t="s">
        <v>213</v>
      </c>
      <c r="E111" t="s">
        <v>443</v>
      </c>
      <c r="F111" t="s">
        <v>444</v>
      </c>
      <c r="G111">
        <v>6</v>
      </c>
      <c r="H111">
        <v>0.22500000000000001</v>
      </c>
      <c r="I111" t="s">
        <v>198</v>
      </c>
      <c r="J111">
        <v>0.25</v>
      </c>
      <c r="K111" t="s">
        <v>198</v>
      </c>
      <c r="L111" t="s">
        <v>199</v>
      </c>
      <c r="M111" s="3"/>
      <c r="R111" t="s">
        <v>200</v>
      </c>
      <c r="S111" s="25"/>
      <c r="T111" s="26"/>
      <c r="U111" s="27"/>
      <c r="V111" t="s">
        <v>25</v>
      </c>
      <c r="W111" t="s">
        <v>201</v>
      </c>
      <c r="X111" s="3"/>
      <c r="AC111" t="s">
        <v>202</v>
      </c>
      <c r="AF111" t="s">
        <v>203</v>
      </c>
      <c r="AK111" t="s">
        <v>200</v>
      </c>
      <c r="AM111" s="25"/>
      <c r="AO111" s="25">
        <v>0</v>
      </c>
      <c r="AP111" s="26"/>
      <c r="AQ111" s="26"/>
      <c r="AR111" s="26"/>
      <c r="AS111" s="26" t="str">
        <f t="shared" si="3"/>
        <v/>
      </c>
      <c r="AT111" t="str">
        <f t="shared" si="4"/>
        <v/>
      </c>
      <c r="AU111" t="s">
        <v>200</v>
      </c>
      <c r="AV111" s="3"/>
      <c r="AW111" t="str">
        <f t="shared" si="5"/>
        <v>No scrap rate (No impact);</v>
      </c>
    </row>
    <row r="112" spans="1:49" x14ac:dyDescent="0.3">
      <c r="A112" t="s">
        <v>471</v>
      </c>
      <c r="B112" t="s">
        <v>472</v>
      </c>
      <c r="C112" t="s">
        <v>212</v>
      </c>
      <c r="D112" t="s">
        <v>213</v>
      </c>
      <c r="E112" t="s">
        <v>443</v>
      </c>
      <c r="F112" t="s">
        <v>444</v>
      </c>
      <c r="G112">
        <v>36</v>
      </c>
      <c r="H112">
        <v>5.2999999999999999E-2</v>
      </c>
      <c r="I112" t="s">
        <v>198</v>
      </c>
      <c r="J112">
        <v>5.5E-2</v>
      </c>
      <c r="K112" t="s">
        <v>198</v>
      </c>
      <c r="L112" t="s">
        <v>199</v>
      </c>
      <c r="M112" s="3"/>
      <c r="R112" t="s">
        <v>200</v>
      </c>
      <c r="S112" s="25"/>
      <c r="T112" s="26"/>
      <c r="U112" s="27"/>
      <c r="V112" t="s">
        <v>25</v>
      </c>
      <c r="W112" t="s">
        <v>201</v>
      </c>
      <c r="X112" s="3"/>
      <c r="AC112" t="s">
        <v>202</v>
      </c>
      <c r="AF112" t="s">
        <v>203</v>
      </c>
      <c r="AK112" t="s">
        <v>200</v>
      </c>
      <c r="AM112" s="25"/>
      <c r="AO112" s="25">
        <v>0</v>
      </c>
      <c r="AP112" s="26"/>
      <c r="AQ112" s="26"/>
      <c r="AR112" s="26"/>
      <c r="AS112" s="26" t="str">
        <f t="shared" si="3"/>
        <v/>
      </c>
      <c r="AT112" t="str">
        <f t="shared" si="4"/>
        <v/>
      </c>
      <c r="AU112" t="s">
        <v>200</v>
      </c>
      <c r="AV112" s="3"/>
      <c r="AW112" t="str">
        <f t="shared" si="5"/>
        <v>No scrap rate (No impact);</v>
      </c>
    </row>
    <row r="113" spans="1:49" x14ac:dyDescent="0.3">
      <c r="A113" t="s">
        <v>473</v>
      </c>
      <c r="B113" t="s">
        <v>474</v>
      </c>
      <c r="C113" t="s">
        <v>212</v>
      </c>
      <c r="D113" t="s">
        <v>213</v>
      </c>
      <c r="E113" t="s">
        <v>443</v>
      </c>
      <c r="F113" t="s">
        <v>444</v>
      </c>
      <c r="G113">
        <v>6</v>
      </c>
      <c r="H113">
        <v>0.17199999999999999</v>
      </c>
      <c r="I113" t="s">
        <v>198</v>
      </c>
      <c r="J113">
        <v>0.25</v>
      </c>
      <c r="K113" t="s">
        <v>198</v>
      </c>
      <c r="L113" t="s">
        <v>199</v>
      </c>
      <c r="M113" s="3"/>
      <c r="R113" t="s">
        <v>200</v>
      </c>
      <c r="S113" s="25"/>
      <c r="T113" s="26"/>
      <c r="U113" s="27"/>
      <c r="V113" t="s">
        <v>25</v>
      </c>
      <c r="W113" t="s">
        <v>201</v>
      </c>
      <c r="X113" s="3"/>
      <c r="AC113" t="s">
        <v>202</v>
      </c>
      <c r="AF113" t="s">
        <v>203</v>
      </c>
      <c r="AK113" t="s">
        <v>200</v>
      </c>
      <c r="AM113" s="25"/>
      <c r="AO113" s="25">
        <v>0</v>
      </c>
      <c r="AP113" s="26"/>
      <c r="AQ113" s="26"/>
      <c r="AR113" s="26"/>
      <c r="AS113" s="26" t="str">
        <f t="shared" si="3"/>
        <v/>
      </c>
      <c r="AT113" t="str">
        <f t="shared" si="4"/>
        <v/>
      </c>
      <c r="AU113" t="s">
        <v>200</v>
      </c>
      <c r="AV113" s="3"/>
      <c r="AW113" t="str">
        <f t="shared" si="5"/>
        <v>No scrap rate (No impact);</v>
      </c>
    </row>
    <row r="114" spans="1:49" x14ac:dyDescent="0.3">
      <c r="A114" t="s">
        <v>475</v>
      </c>
      <c r="B114" t="s">
        <v>476</v>
      </c>
      <c r="C114" t="s">
        <v>212</v>
      </c>
      <c r="D114" t="s">
        <v>213</v>
      </c>
      <c r="E114" t="s">
        <v>443</v>
      </c>
      <c r="F114" t="s">
        <v>444</v>
      </c>
      <c r="G114">
        <v>6</v>
      </c>
      <c r="H114">
        <v>0.114</v>
      </c>
      <c r="I114" t="s">
        <v>198</v>
      </c>
      <c r="J114">
        <v>0.222</v>
      </c>
      <c r="K114" t="s">
        <v>198</v>
      </c>
      <c r="L114" t="s">
        <v>199</v>
      </c>
      <c r="M114" s="3"/>
      <c r="R114" t="s">
        <v>200</v>
      </c>
      <c r="S114" s="25"/>
      <c r="T114" s="26"/>
      <c r="U114" s="27"/>
      <c r="V114" t="s">
        <v>25</v>
      </c>
      <c r="W114" t="s">
        <v>201</v>
      </c>
      <c r="X114" s="3"/>
      <c r="AC114" t="s">
        <v>202</v>
      </c>
      <c r="AF114" t="s">
        <v>203</v>
      </c>
      <c r="AK114" t="s">
        <v>200</v>
      </c>
      <c r="AM114" s="25"/>
      <c r="AO114" s="25">
        <v>0</v>
      </c>
      <c r="AP114" s="26"/>
      <c r="AQ114" s="26"/>
      <c r="AR114" s="26"/>
      <c r="AS114" s="26" t="str">
        <f t="shared" si="3"/>
        <v/>
      </c>
      <c r="AT114" t="str">
        <f t="shared" si="4"/>
        <v/>
      </c>
      <c r="AU114" t="s">
        <v>200</v>
      </c>
      <c r="AV114" s="3"/>
      <c r="AW114" t="str">
        <f t="shared" si="5"/>
        <v>No scrap rate (No impact);</v>
      </c>
    </row>
    <row r="115" spans="1:49" x14ac:dyDescent="0.3">
      <c r="A115" t="s">
        <v>477</v>
      </c>
      <c r="B115" t="s">
        <v>478</v>
      </c>
      <c r="C115" t="s">
        <v>212</v>
      </c>
      <c r="D115" t="s">
        <v>213</v>
      </c>
      <c r="E115" t="s">
        <v>433</v>
      </c>
      <c r="F115" t="s">
        <v>434</v>
      </c>
      <c r="G115">
        <v>12</v>
      </c>
      <c r="H115">
        <v>0.14000000000000001</v>
      </c>
      <c r="I115" t="s">
        <v>198</v>
      </c>
      <c r="J115">
        <v>0.18</v>
      </c>
      <c r="K115" t="s">
        <v>198</v>
      </c>
      <c r="L115" t="s">
        <v>199</v>
      </c>
      <c r="M115" s="3"/>
      <c r="R115" t="s">
        <v>200</v>
      </c>
      <c r="S115" s="25"/>
      <c r="T115" s="26"/>
      <c r="U115" s="27"/>
      <c r="V115" t="s">
        <v>25</v>
      </c>
      <c r="W115" t="s">
        <v>201</v>
      </c>
      <c r="X115" s="3"/>
      <c r="AC115" t="s">
        <v>202</v>
      </c>
      <c r="AF115" t="s">
        <v>203</v>
      </c>
      <c r="AK115" t="s">
        <v>200</v>
      </c>
      <c r="AM115" s="25"/>
      <c r="AO115" s="25">
        <v>0</v>
      </c>
      <c r="AP115" s="26"/>
      <c r="AQ115" s="26"/>
      <c r="AR115" s="26"/>
      <c r="AS115" s="26" t="str">
        <f t="shared" si="3"/>
        <v/>
      </c>
      <c r="AT115" t="str">
        <f t="shared" si="4"/>
        <v/>
      </c>
      <c r="AU115" t="s">
        <v>200</v>
      </c>
      <c r="AV115" s="3"/>
      <c r="AW115" t="str">
        <f t="shared" si="5"/>
        <v>No scrap rate (No impact);</v>
      </c>
    </row>
    <row r="116" spans="1:49" x14ac:dyDescent="0.3">
      <c r="A116" t="s">
        <v>479</v>
      </c>
      <c r="B116" t="s">
        <v>480</v>
      </c>
      <c r="C116" t="s">
        <v>212</v>
      </c>
      <c r="D116" t="s">
        <v>213</v>
      </c>
      <c r="E116" t="s">
        <v>481</v>
      </c>
      <c r="F116" t="s">
        <v>482</v>
      </c>
      <c r="G116">
        <v>20</v>
      </c>
      <c r="H116">
        <v>2.4E-2</v>
      </c>
      <c r="I116" t="s">
        <v>198</v>
      </c>
      <c r="J116">
        <v>3.5999999999999997E-2</v>
      </c>
      <c r="K116" t="s">
        <v>198</v>
      </c>
      <c r="L116" t="s">
        <v>199</v>
      </c>
      <c r="M116" s="3"/>
      <c r="R116" t="s">
        <v>200</v>
      </c>
      <c r="S116" s="25"/>
      <c r="T116" s="26"/>
      <c r="U116" s="27"/>
      <c r="V116" t="s">
        <v>25</v>
      </c>
      <c r="W116" t="s">
        <v>201</v>
      </c>
      <c r="X116" s="3"/>
      <c r="AC116" t="s">
        <v>202</v>
      </c>
      <c r="AF116" t="s">
        <v>203</v>
      </c>
      <c r="AK116" t="s">
        <v>200</v>
      </c>
      <c r="AM116" s="25"/>
      <c r="AO116" s="25">
        <v>0</v>
      </c>
      <c r="AP116" s="26"/>
      <c r="AQ116" s="26"/>
      <c r="AR116" s="26"/>
      <c r="AS116" s="26" t="str">
        <f t="shared" si="3"/>
        <v/>
      </c>
      <c r="AT116" t="str">
        <f t="shared" si="4"/>
        <v/>
      </c>
      <c r="AU116" t="s">
        <v>200</v>
      </c>
      <c r="AV116" s="3"/>
      <c r="AW116" t="str">
        <f t="shared" si="5"/>
        <v>No scrap rate (No impact);</v>
      </c>
    </row>
    <row r="117" spans="1:49" x14ac:dyDescent="0.3">
      <c r="A117" t="s">
        <v>483</v>
      </c>
      <c r="B117" t="s">
        <v>484</v>
      </c>
      <c r="C117" t="s">
        <v>212</v>
      </c>
      <c r="D117" t="s">
        <v>213</v>
      </c>
      <c r="E117" t="s">
        <v>481</v>
      </c>
      <c r="F117" t="s">
        <v>482</v>
      </c>
      <c r="G117">
        <v>20</v>
      </c>
      <c r="H117">
        <v>0.06</v>
      </c>
      <c r="I117" t="s">
        <v>198</v>
      </c>
      <c r="J117">
        <v>7.1999999999999995E-2</v>
      </c>
      <c r="K117" t="s">
        <v>198</v>
      </c>
      <c r="L117" t="s">
        <v>199</v>
      </c>
      <c r="M117" s="3"/>
      <c r="R117" t="s">
        <v>200</v>
      </c>
      <c r="S117" s="25"/>
      <c r="T117" s="26"/>
      <c r="U117" s="27"/>
      <c r="V117" t="s">
        <v>25</v>
      </c>
      <c r="W117" t="s">
        <v>201</v>
      </c>
      <c r="X117" s="3"/>
      <c r="AC117" t="s">
        <v>202</v>
      </c>
      <c r="AF117" t="s">
        <v>203</v>
      </c>
      <c r="AK117" t="s">
        <v>200</v>
      </c>
      <c r="AM117" s="25"/>
      <c r="AO117" s="25">
        <v>0</v>
      </c>
      <c r="AP117" s="26"/>
      <c r="AQ117" s="26"/>
      <c r="AR117" s="26"/>
      <c r="AS117" s="26" t="str">
        <f t="shared" si="3"/>
        <v/>
      </c>
      <c r="AT117" t="str">
        <f t="shared" si="4"/>
        <v/>
      </c>
      <c r="AU117" t="s">
        <v>200</v>
      </c>
      <c r="AV117" s="3"/>
      <c r="AW117" t="str">
        <f t="shared" si="5"/>
        <v>No scrap rate (No impact);</v>
      </c>
    </row>
    <row r="118" spans="1:49" x14ac:dyDescent="0.3">
      <c r="A118" t="s">
        <v>485</v>
      </c>
      <c r="B118" t="s">
        <v>486</v>
      </c>
      <c r="C118" t="s">
        <v>194</v>
      </c>
      <c r="D118" t="s">
        <v>195</v>
      </c>
      <c r="E118" t="s">
        <v>380</v>
      </c>
      <c r="F118" t="s">
        <v>381</v>
      </c>
      <c r="G118">
        <v>1</v>
      </c>
      <c r="H118">
        <v>8</v>
      </c>
      <c r="I118" t="s">
        <v>198</v>
      </c>
      <c r="J118">
        <v>8.1999999999999993</v>
      </c>
      <c r="K118" t="s">
        <v>198</v>
      </c>
      <c r="L118" t="s">
        <v>199</v>
      </c>
      <c r="M118" s="3"/>
      <c r="R118" t="s">
        <v>200</v>
      </c>
      <c r="S118" s="25"/>
      <c r="T118" s="26"/>
      <c r="U118" s="27"/>
      <c r="V118" t="s">
        <v>25</v>
      </c>
      <c r="W118" t="s">
        <v>201</v>
      </c>
      <c r="X118" s="3"/>
      <c r="AC118" t="s">
        <v>202</v>
      </c>
      <c r="AF118" t="s">
        <v>203</v>
      </c>
      <c r="AK118" t="s">
        <v>200</v>
      </c>
      <c r="AM118" s="25"/>
      <c r="AO118" s="25">
        <v>0</v>
      </c>
      <c r="AP118" s="26"/>
      <c r="AQ118" s="26"/>
      <c r="AR118" s="26"/>
      <c r="AS118" s="26" t="str">
        <f t="shared" si="3"/>
        <v/>
      </c>
      <c r="AT118" t="str">
        <f t="shared" si="4"/>
        <v/>
      </c>
      <c r="AU118" t="s">
        <v>200</v>
      </c>
      <c r="AV118" s="3"/>
      <c r="AW118" t="str">
        <f t="shared" si="5"/>
        <v>No scrap rate (No impact);</v>
      </c>
    </row>
    <row r="119" spans="1:49" x14ac:dyDescent="0.3">
      <c r="A119" t="s">
        <v>487</v>
      </c>
      <c r="B119" t="s">
        <v>488</v>
      </c>
      <c r="C119" t="s">
        <v>194</v>
      </c>
      <c r="D119" t="s">
        <v>195</v>
      </c>
      <c r="E119" t="s">
        <v>380</v>
      </c>
      <c r="F119" t="s">
        <v>381</v>
      </c>
      <c r="G119">
        <v>1</v>
      </c>
      <c r="H119">
        <v>7.5</v>
      </c>
      <c r="I119" t="s">
        <v>198</v>
      </c>
      <c r="J119">
        <v>7.6</v>
      </c>
      <c r="K119" t="s">
        <v>198</v>
      </c>
      <c r="L119" t="s">
        <v>199</v>
      </c>
      <c r="M119" s="3"/>
      <c r="R119" t="s">
        <v>200</v>
      </c>
      <c r="S119" s="25"/>
      <c r="T119" s="26"/>
      <c r="U119" s="27"/>
      <c r="V119" t="s">
        <v>25</v>
      </c>
      <c r="W119" t="s">
        <v>201</v>
      </c>
      <c r="X119" s="3"/>
      <c r="AC119" t="s">
        <v>202</v>
      </c>
      <c r="AF119" t="s">
        <v>203</v>
      </c>
      <c r="AK119" t="s">
        <v>200</v>
      </c>
      <c r="AM119" s="25"/>
      <c r="AO119" s="25">
        <v>0</v>
      </c>
      <c r="AP119" s="26"/>
      <c r="AQ119" s="26"/>
      <c r="AR119" s="26"/>
      <c r="AS119" s="26" t="str">
        <f t="shared" si="3"/>
        <v/>
      </c>
      <c r="AT119" t="str">
        <f t="shared" si="4"/>
        <v/>
      </c>
      <c r="AU119" t="s">
        <v>200</v>
      </c>
      <c r="AV119" s="3"/>
      <c r="AW119" t="str">
        <f t="shared" si="5"/>
        <v>No scrap rate (No impact);</v>
      </c>
    </row>
    <row r="120" spans="1:49" x14ac:dyDescent="0.3">
      <c r="A120" t="s">
        <v>489</v>
      </c>
      <c r="B120" t="s">
        <v>490</v>
      </c>
      <c r="C120" t="s">
        <v>212</v>
      </c>
      <c r="D120" t="s">
        <v>213</v>
      </c>
      <c r="E120" t="s">
        <v>443</v>
      </c>
      <c r="F120" t="s">
        <v>444</v>
      </c>
      <c r="G120">
        <v>6</v>
      </c>
      <c r="H120">
        <v>0.25800000000000001</v>
      </c>
      <c r="I120" t="s">
        <v>198</v>
      </c>
      <c r="J120">
        <v>0.28799999999999998</v>
      </c>
      <c r="K120" t="s">
        <v>198</v>
      </c>
      <c r="L120" t="s">
        <v>199</v>
      </c>
      <c r="M120" s="3"/>
      <c r="R120" t="s">
        <v>200</v>
      </c>
      <c r="S120" s="25"/>
      <c r="T120" s="26"/>
      <c r="U120" s="27"/>
      <c r="V120" t="s">
        <v>25</v>
      </c>
      <c r="W120" t="s">
        <v>201</v>
      </c>
      <c r="X120" s="3"/>
      <c r="AC120" t="s">
        <v>202</v>
      </c>
      <c r="AF120" t="s">
        <v>203</v>
      </c>
      <c r="AK120" t="s">
        <v>200</v>
      </c>
      <c r="AM120" s="25"/>
      <c r="AO120" s="25">
        <v>0</v>
      </c>
      <c r="AP120" s="26"/>
      <c r="AQ120" s="26"/>
      <c r="AR120" s="26"/>
      <c r="AS120" s="26" t="str">
        <f t="shared" si="3"/>
        <v/>
      </c>
      <c r="AT120" t="str">
        <f t="shared" si="4"/>
        <v/>
      </c>
      <c r="AU120" t="s">
        <v>200</v>
      </c>
      <c r="AV120" s="3"/>
      <c r="AW120" t="str">
        <f t="shared" si="5"/>
        <v>No scrap rate (No impact);</v>
      </c>
    </row>
    <row r="121" spans="1:49" x14ac:dyDescent="0.3">
      <c r="A121" t="s">
        <v>491</v>
      </c>
      <c r="B121" t="s">
        <v>492</v>
      </c>
      <c r="C121" t="s">
        <v>212</v>
      </c>
      <c r="D121" t="s">
        <v>213</v>
      </c>
      <c r="E121" t="s">
        <v>493</v>
      </c>
      <c r="F121" t="s">
        <v>494</v>
      </c>
      <c r="G121">
        <v>5</v>
      </c>
      <c r="H121">
        <v>0.06</v>
      </c>
      <c r="I121" t="s">
        <v>198</v>
      </c>
      <c r="J121">
        <v>0.06</v>
      </c>
      <c r="K121" t="s">
        <v>198</v>
      </c>
      <c r="L121" t="s">
        <v>199</v>
      </c>
      <c r="M121" s="3"/>
      <c r="R121" t="s">
        <v>200</v>
      </c>
      <c r="S121" s="25"/>
      <c r="T121" s="26"/>
      <c r="U121" s="27"/>
      <c r="V121" t="s">
        <v>25</v>
      </c>
      <c r="W121" t="s">
        <v>201</v>
      </c>
      <c r="X121" s="3"/>
      <c r="AC121" t="s">
        <v>202</v>
      </c>
      <c r="AF121" t="s">
        <v>203</v>
      </c>
      <c r="AK121" t="s">
        <v>200</v>
      </c>
      <c r="AM121" s="25"/>
      <c r="AO121" s="25">
        <v>0</v>
      </c>
      <c r="AP121" s="26"/>
      <c r="AQ121" s="26"/>
      <c r="AR121" s="26"/>
      <c r="AS121" s="26" t="str">
        <f t="shared" si="3"/>
        <v/>
      </c>
      <c r="AT121" t="str">
        <f t="shared" si="4"/>
        <v/>
      </c>
      <c r="AU121" t="s">
        <v>200</v>
      </c>
      <c r="AV121" s="3"/>
      <c r="AW121" t="str">
        <f t="shared" si="5"/>
        <v>No scrap rate (No impact);</v>
      </c>
    </row>
    <row r="122" spans="1:49" x14ac:dyDescent="0.3">
      <c r="A122" t="s">
        <v>495</v>
      </c>
      <c r="B122" t="s">
        <v>496</v>
      </c>
      <c r="C122" t="s">
        <v>194</v>
      </c>
      <c r="D122" t="s">
        <v>195</v>
      </c>
      <c r="E122" t="s">
        <v>380</v>
      </c>
      <c r="F122" t="s">
        <v>381</v>
      </c>
      <c r="G122">
        <v>1</v>
      </c>
      <c r="H122">
        <v>16.2</v>
      </c>
      <c r="I122" t="s">
        <v>198</v>
      </c>
      <c r="J122">
        <v>16.5</v>
      </c>
      <c r="K122" t="s">
        <v>198</v>
      </c>
      <c r="L122" t="s">
        <v>199</v>
      </c>
      <c r="M122" s="3"/>
      <c r="R122" t="s">
        <v>200</v>
      </c>
      <c r="S122" s="25"/>
      <c r="T122" s="26"/>
      <c r="U122" s="27"/>
      <c r="V122" t="s">
        <v>25</v>
      </c>
      <c r="W122" t="s">
        <v>201</v>
      </c>
      <c r="X122" s="3"/>
      <c r="AC122" t="s">
        <v>202</v>
      </c>
      <c r="AF122" t="s">
        <v>203</v>
      </c>
      <c r="AK122" t="s">
        <v>200</v>
      </c>
      <c r="AM122" s="25"/>
      <c r="AO122" s="25">
        <v>0</v>
      </c>
      <c r="AP122" s="26"/>
      <c r="AQ122" s="26"/>
      <c r="AR122" s="26"/>
      <c r="AS122" s="26" t="str">
        <f t="shared" si="3"/>
        <v/>
      </c>
      <c r="AT122" t="str">
        <f t="shared" si="4"/>
        <v/>
      </c>
      <c r="AU122" t="s">
        <v>200</v>
      </c>
      <c r="AV122" s="3"/>
      <c r="AW122" t="str">
        <f t="shared" si="5"/>
        <v>No scrap rate (No impact);</v>
      </c>
    </row>
    <row r="123" spans="1:49" x14ac:dyDescent="0.3">
      <c r="A123" t="s">
        <v>497</v>
      </c>
      <c r="B123" t="s">
        <v>498</v>
      </c>
      <c r="C123" t="s">
        <v>194</v>
      </c>
      <c r="D123" t="s">
        <v>195</v>
      </c>
      <c r="E123" t="s">
        <v>380</v>
      </c>
      <c r="F123" t="s">
        <v>381</v>
      </c>
      <c r="G123">
        <v>1</v>
      </c>
      <c r="H123">
        <v>10</v>
      </c>
      <c r="I123" t="s">
        <v>198</v>
      </c>
      <c r="J123">
        <v>10.1</v>
      </c>
      <c r="K123" t="s">
        <v>198</v>
      </c>
      <c r="L123" t="s">
        <v>199</v>
      </c>
      <c r="M123" s="3"/>
      <c r="R123" t="s">
        <v>200</v>
      </c>
      <c r="S123" s="25"/>
      <c r="T123" s="26"/>
      <c r="U123" s="27"/>
      <c r="V123" t="s">
        <v>25</v>
      </c>
      <c r="W123" t="s">
        <v>201</v>
      </c>
      <c r="X123" s="3"/>
      <c r="AC123" t="s">
        <v>202</v>
      </c>
      <c r="AF123" t="s">
        <v>203</v>
      </c>
      <c r="AK123" t="s">
        <v>200</v>
      </c>
      <c r="AM123" s="25"/>
      <c r="AO123" s="25">
        <v>0</v>
      </c>
      <c r="AP123" s="26"/>
      <c r="AQ123" s="26"/>
      <c r="AR123" s="26"/>
      <c r="AS123" s="26" t="str">
        <f t="shared" si="3"/>
        <v/>
      </c>
      <c r="AT123" t="str">
        <f t="shared" si="4"/>
        <v/>
      </c>
      <c r="AU123" t="s">
        <v>200</v>
      </c>
      <c r="AV123" s="3"/>
      <c r="AW123" t="str">
        <f t="shared" si="5"/>
        <v>No scrap rate (No impact);</v>
      </c>
    </row>
    <row r="124" spans="1:49" x14ac:dyDescent="0.3">
      <c r="A124" t="s">
        <v>499</v>
      </c>
      <c r="B124" t="s">
        <v>500</v>
      </c>
      <c r="C124" t="s">
        <v>194</v>
      </c>
      <c r="D124" t="s">
        <v>195</v>
      </c>
      <c r="E124" t="s">
        <v>380</v>
      </c>
      <c r="F124" t="s">
        <v>381</v>
      </c>
      <c r="G124">
        <v>1</v>
      </c>
      <c r="H124">
        <v>9.1999999999999993</v>
      </c>
      <c r="I124" t="s">
        <v>198</v>
      </c>
      <c r="J124">
        <v>9.5</v>
      </c>
      <c r="K124" t="s">
        <v>198</v>
      </c>
      <c r="L124" t="s">
        <v>199</v>
      </c>
      <c r="M124" s="3"/>
      <c r="R124" t="s">
        <v>200</v>
      </c>
      <c r="S124" s="25"/>
      <c r="T124" s="26"/>
      <c r="U124" s="27"/>
      <c r="V124" t="s">
        <v>25</v>
      </c>
      <c r="W124" t="s">
        <v>201</v>
      </c>
      <c r="X124" s="3"/>
      <c r="AC124" t="s">
        <v>202</v>
      </c>
      <c r="AF124" t="s">
        <v>203</v>
      </c>
      <c r="AK124" t="s">
        <v>200</v>
      </c>
      <c r="AM124" s="25"/>
      <c r="AO124" s="25">
        <v>0</v>
      </c>
      <c r="AP124" s="26"/>
      <c r="AQ124" s="26"/>
      <c r="AR124" s="26"/>
      <c r="AS124" s="26" t="str">
        <f t="shared" si="3"/>
        <v/>
      </c>
      <c r="AT124" t="str">
        <f t="shared" si="4"/>
        <v/>
      </c>
      <c r="AU124" t="s">
        <v>200</v>
      </c>
      <c r="AV124" s="3"/>
      <c r="AW124" t="str">
        <f t="shared" si="5"/>
        <v>No scrap rate (No impact);</v>
      </c>
    </row>
    <row r="125" spans="1:49" x14ac:dyDescent="0.3">
      <c r="A125" t="s">
        <v>501</v>
      </c>
      <c r="B125" t="s">
        <v>502</v>
      </c>
      <c r="C125" t="s">
        <v>212</v>
      </c>
      <c r="D125" t="s">
        <v>213</v>
      </c>
      <c r="E125" t="s">
        <v>433</v>
      </c>
      <c r="F125" t="s">
        <v>434</v>
      </c>
      <c r="G125">
        <v>6</v>
      </c>
      <c r="H125">
        <v>0.373</v>
      </c>
      <c r="I125" t="s">
        <v>198</v>
      </c>
      <c r="J125">
        <v>0.65500000000000003</v>
      </c>
      <c r="K125" t="s">
        <v>198</v>
      </c>
      <c r="L125" t="s">
        <v>199</v>
      </c>
      <c r="M125" s="3"/>
      <c r="R125" t="s">
        <v>200</v>
      </c>
      <c r="S125" s="25"/>
      <c r="T125" s="26"/>
      <c r="U125" s="27"/>
      <c r="V125" t="s">
        <v>25</v>
      </c>
      <c r="W125" t="s">
        <v>201</v>
      </c>
      <c r="X125" s="3"/>
      <c r="AC125" t="s">
        <v>202</v>
      </c>
      <c r="AF125" t="s">
        <v>203</v>
      </c>
      <c r="AK125" t="s">
        <v>200</v>
      </c>
      <c r="AM125" s="25"/>
      <c r="AO125" s="25">
        <v>0</v>
      </c>
      <c r="AP125" s="26"/>
      <c r="AQ125" s="26"/>
      <c r="AR125" s="26"/>
      <c r="AS125" s="26" t="str">
        <f t="shared" si="3"/>
        <v/>
      </c>
      <c r="AT125" t="str">
        <f t="shared" si="4"/>
        <v/>
      </c>
      <c r="AU125" t="s">
        <v>200</v>
      </c>
      <c r="AV125" s="3"/>
      <c r="AW125" t="str">
        <f t="shared" si="5"/>
        <v>No scrap rate (No impact);</v>
      </c>
    </row>
    <row r="126" spans="1:49" x14ac:dyDescent="0.3">
      <c r="A126" t="s">
        <v>503</v>
      </c>
      <c r="B126" t="s">
        <v>504</v>
      </c>
      <c r="C126" t="s">
        <v>194</v>
      </c>
      <c r="D126" t="s">
        <v>195</v>
      </c>
      <c r="E126" t="s">
        <v>380</v>
      </c>
      <c r="F126" t="s">
        <v>381</v>
      </c>
      <c r="G126">
        <v>1</v>
      </c>
      <c r="H126">
        <v>17.3</v>
      </c>
      <c r="I126" t="s">
        <v>198</v>
      </c>
      <c r="J126">
        <v>17.600000000000001</v>
      </c>
      <c r="K126" t="s">
        <v>198</v>
      </c>
      <c r="L126" t="s">
        <v>199</v>
      </c>
      <c r="M126" s="3"/>
      <c r="R126" t="s">
        <v>200</v>
      </c>
      <c r="S126" s="25"/>
      <c r="T126" s="26"/>
      <c r="U126" s="27"/>
      <c r="V126" t="s">
        <v>25</v>
      </c>
      <c r="W126" t="s">
        <v>201</v>
      </c>
      <c r="X126" s="3"/>
      <c r="AC126" t="s">
        <v>202</v>
      </c>
      <c r="AF126" t="s">
        <v>203</v>
      </c>
      <c r="AK126" t="s">
        <v>200</v>
      </c>
      <c r="AM126" s="25"/>
      <c r="AO126" s="25">
        <v>0</v>
      </c>
      <c r="AP126" s="26"/>
      <c r="AQ126" s="26"/>
      <c r="AR126" s="26"/>
      <c r="AS126" s="26" t="str">
        <f t="shared" si="3"/>
        <v/>
      </c>
      <c r="AT126" t="str">
        <f t="shared" si="4"/>
        <v/>
      </c>
      <c r="AU126" t="s">
        <v>200</v>
      </c>
      <c r="AV126" s="3"/>
      <c r="AW126" t="str">
        <f t="shared" si="5"/>
        <v>No scrap rate (No impact);</v>
      </c>
    </row>
    <row r="127" spans="1:49" x14ac:dyDescent="0.3">
      <c r="A127" t="s">
        <v>505</v>
      </c>
      <c r="B127" t="s">
        <v>506</v>
      </c>
      <c r="C127" t="s">
        <v>212</v>
      </c>
      <c r="D127" t="s">
        <v>213</v>
      </c>
      <c r="E127" t="s">
        <v>507</v>
      </c>
      <c r="F127" t="s">
        <v>508</v>
      </c>
      <c r="G127">
        <v>30</v>
      </c>
      <c r="H127">
        <v>1.7000000000000001E-2</v>
      </c>
      <c r="I127" t="s">
        <v>198</v>
      </c>
      <c r="J127">
        <v>2.1000000000000001E-2</v>
      </c>
      <c r="K127" t="s">
        <v>198</v>
      </c>
      <c r="L127" t="s">
        <v>199</v>
      </c>
      <c r="M127" s="3"/>
      <c r="R127" t="s">
        <v>200</v>
      </c>
      <c r="S127" s="25"/>
      <c r="T127" s="26"/>
      <c r="U127" s="27"/>
      <c r="V127" t="s">
        <v>25</v>
      </c>
      <c r="W127" t="s">
        <v>201</v>
      </c>
      <c r="X127" s="3"/>
      <c r="AC127" t="s">
        <v>202</v>
      </c>
      <c r="AF127" t="s">
        <v>203</v>
      </c>
      <c r="AK127" t="s">
        <v>200</v>
      </c>
      <c r="AM127" s="25"/>
      <c r="AO127" s="25">
        <v>0</v>
      </c>
      <c r="AP127" s="26"/>
      <c r="AQ127" s="26"/>
      <c r="AR127" s="26"/>
      <c r="AS127" s="26" t="str">
        <f t="shared" si="3"/>
        <v/>
      </c>
      <c r="AT127" t="str">
        <f t="shared" si="4"/>
        <v/>
      </c>
      <c r="AU127" t="s">
        <v>200</v>
      </c>
      <c r="AV127" s="3"/>
      <c r="AW127" t="str">
        <f t="shared" si="5"/>
        <v>No scrap rate (No impact);</v>
      </c>
    </row>
    <row r="128" spans="1:49" x14ac:dyDescent="0.3">
      <c r="A128" t="s">
        <v>509</v>
      </c>
      <c r="B128" t="s">
        <v>510</v>
      </c>
      <c r="C128" t="s">
        <v>212</v>
      </c>
      <c r="D128" t="s">
        <v>213</v>
      </c>
      <c r="E128" t="s">
        <v>507</v>
      </c>
      <c r="F128" t="s">
        <v>508</v>
      </c>
      <c r="G128">
        <v>6</v>
      </c>
      <c r="H128">
        <v>0.06</v>
      </c>
      <c r="I128" t="s">
        <v>198</v>
      </c>
      <c r="J128">
        <v>0.109</v>
      </c>
      <c r="K128" t="s">
        <v>198</v>
      </c>
      <c r="L128" t="s">
        <v>199</v>
      </c>
      <c r="M128" s="3"/>
      <c r="R128" t="s">
        <v>200</v>
      </c>
      <c r="S128" s="25"/>
      <c r="T128" s="26"/>
      <c r="U128" s="27"/>
      <c r="V128" t="s">
        <v>25</v>
      </c>
      <c r="W128" t="s">
        <v>201</v>
      </c>
      <c r="X128" s="3"/>
      <c r="AC128" t="s">
        <v>202</v>
      </c>
      <c r="AF128" t="s">
        <v>203</v>
      </c>
      <c r="AK128" t="s">
        <v>200</v>
      </c>
      <c r="AM128" s="25"/>
      <c r="AO128" s="25">
        <v>0</v>
      </c>
      <c r="AP128" s="26"/>
      <c r="AQ128" s="26"/>
      <c r="AR128" s="26"/>
      <c r="AS128" s="26" t="str">
        <f t="shared" si="3"/>
        <v/>
      </c>
      <c r="AT128" t="str">
        <f t="shared" si="4"/>
        <v/>
      </c>
      <c r="AU128" t="s">
        <v>200</v>
      </c>
      <c r="AV128" s="3"/>
      <c r="AW128" t="str">
        <f t="shared" si="5"/>
        <v>No scrap rate (No impact);</v>
      </c>
    </row>
    <row r="129" spans="1:49" x14ac:dyDescent="0.3">
      <c r="A129" t="s">
        <v>511</v>
      </c>
      <c r="B129" t="s">
        <v>512</v>
      </c>
      <c r="C129" t="s">
        <v>212</v>
      </c>
      <c r="D129" t="s">
        <v>213</v>
      </c>
      <c r="E129" t="s">
        <v>513</v>
      </c>
      <c r="F129" t="s">
        <v>514</v>
      </c>
      <c r="G129">
        <v>4</v>
      </c>
      <c r="H129">
        <v>0.5</v>
      </c>
      <c r="I129" t="s">
        <v>198</v>
      </c>
      <c r="J129">
        <v>0.60499999999999998</v>
      </c>
      <c r="K129" t="s">
        <v>198</v>
      </c>
      <c r="L129" t="s">
        <v>199</v>
      </c>
      <c r="M129" s="3"/>
      <c r="R129" t="s">
        <v>200</v>
      </c>
      <c r="S129" s="25"/>
      <c r="T129" s="26"/>
      <c r="U129" s="27"/>
      <c r="V129" t="s">
        <v>25</v>
      </c>
      <c r="W129" t="s">
        <v>201</v>
      </c>
      <c r="X129" s="3"/>
      <c r="AC129" t="s">
        <v>202</v>
      </c>
      <c r="AF129" t="s">
        <v>203</v>
      </c>
      <c r="AK129" t="s">
        <v>200</v>
      </c>
      <c r="AM129" s="25"/>
      <c r="AO129" s="25">
        <v>0</v>
      </c>
      <c r="AP129" s="26"/>
      <c r="AQ129" s="26"/>
      <c r="AR129" s="26"/>
      <c r="AS129" s="26" t="str">
        <f t="shared" si="3"/>
        <v/>
      </c>
      <c r="AT129" t="str">
        <f t="shared" si="4"/>
        <v/>
      </c>
      <c r="AU129" t="s">
        <v>200</v>
      </c>
      <c r="AV129" s="3"/>
      <c r="AW129" t="str">
        <f t="shared" si="5"/>
        <v>No scrap rate (No impact);</v>
      </c>
    </row>
    <row r="130" spans="1:49" x14ac:dyDescent="0.3">
      <c r="A130" t="s">
        <v>515</v>
      </c>
      <c r="B130" t="s">
        <v>516</v>
      </c>
      <c r="C130" t="s">
        <v>194</v>
      </c>
      <c r="D130" t="s">
        <v>195</v>
      </c>
      <c r="E130" t="s">
        <v>517</v>
      </c>
      <c r="F130" t="s">
        <v>518</v>
      </c>
      <c r="G130">
        <v>5</v>
      </c>
      <c r="H130">
        <v>10</v>
      </c>
      <c r="I130" t="s">
        <v>198</v>
      </c>
      <c r="J130">
        <v>10.050000000000001</v>
      </c>
      <c r="K130" t="s">
        <v>198</v>
      </c>
      <c r="L130" t="s">
        <v>199</v>
      </c>
      <c r="M130" s="3"/>
      <c r="R130" t="s">
        <v>200</v>
      </c>
      <c r="S130" s="25"/>
      <c r="T130" s="26"/>
      <c r="U130" s="27"/>
      <c r="V130" t="s">
        <v>25</v>
      </c>
      <c r="W130" t="s">
        <v>201</v>
      </c>
      <c r="X130" s="3"/>
      <c r="AC130" t="s">
        <v>202</v>
      </c>
      <c r="AF130" t="s">
        <v>203</v>
      </c>
      <c r="AK130" t="s">
        <v>200</v>
      </c>
      <c r="AM130" s="25"/>
      <c r="AO130" s="25">
        <v>0</v>
      </c>
      <c r="AP130" s="26"/>
      <c r="AQ130" s="26"/>
      <c r="AR130" s="26"/>
      <c r="AS130" s="26" t="str">
        <f t="shared" si="3"/>
        <v/>
      </c>
      <c r="AT130" t="str">
        <f t="shared" si="4"/>
        <v/>
      </c>
      <c r="AU130" t="s">
        <v>200</v>
      </c>
      <c r="AV130" s="3"/>
      <c r="AW130" t="str">
        <f t="shared" si="5"/>
        <v>No scrap rate (No impact);</v>
      </c>
    </row>
    <row r="131" spans="1:49" x14ac:dyDescent="0.3">
      <c r="A131" t="s">
        <v>519</v>
      </c>
      <c r="B131" t="s">
        <v>520</v>
      </c>
      <c r="C131" t="s">
        <v>194</v>
      </c>
      <c r="D131" t="s">
        <v>195</v>
      </c>
      <c r="E131" t="s">
        <v>196</v>
      </c>
      <c r="F131" t="s">
        <v>197</v>
      </c>
      <c r="G131">
        <v>12</v>
      </c>
      <c r="H131">
        <v>0.9</v>
      </c>
      <c r="I131" t="s">
        <v>198</v>
      </c>
      <c r="J131">
        <v>1</v>
      </c>
      <c r="K131" t="s">
        <v>198</v>
      </c>
      <c r="L131" t="s">
        <v>199</v>
      </c>
      <c r="M131" s="3"/>
      <c r="R131" t="s">
        <v>200</v>
      </c>
      <c r="S131" s="25"/>
      <c r="T131" s="26"/>
      <c r="U131" s="27"/>
      <c r="V131" t="s">
        <v>25</v>
      </c>
      <c r="W131" t="s">
        <v>201</v>
      </c>
      <c r="X131" s="3"/>
      <c r="AC131" t="s">
        <v>202</v>
      </c>
      <c r="AF131" t="s">
        <v>203</v>
      </c>
      <c r="AK131" t="s">
        <v>200</v>
      </c>
      <c r="AM131" s="25"/>
      <c r="AO131" s="25">
        <v>0</v>
      </c>
      <c r="AP131" s="26"/>
      <c r="AQ131" s="26"/>
      <c r="AR131" s="26"/>
      <c r="AS131" s="26" t="str">
        <f t="shared" ref="AS131:AS194" si="6">IF(COUNT(AP131,AQ131,AR131)=0,"",ROUND(AVERAGE(AP131,AQ131,AR131),3))</f>
        <v/>
      </c>
      <c r="AT131" t="str">
        <f t="shared" ref="AT131:AT194" si="7">IF(AJ131="","",ROUND(AJ131*IF(H131="",0,H131)*(1+IF(AM131="",0,AM131)),5))</f>
        <v/>
      </c>
      <c r="AU131" t="s">
        <v>200</v>
      </c>
      <c r="AV131" s="3"/>
      <c r="AW131" t="str">
        <f t="shared" ref="AW131:AW194" si="8">IF(AND(A131&lt;&gt;"",E131=""),"Supplier code empty (High);","")&amp;IF(AND(S131&lt;&gt;"",OR(S131&gt;1,S131&lt;0)),"Incorrect PDS value (High);",IF(AND(S131&lt;&gt;"",S131&gt;0.5),"High PDS value (Medium);",""))&amp;IF(AND(T131&lt;&gt;"",OR(T131&gt;5,T131&lt;1)),"Incorrect DQR value (High);",IF(AND(T131&lt;&gt;"",T131&gt;4),"Incorrect DQR value (Medium);",IF(AND(T131&lt;&gt;"",T131&gt;3),"Incorrect DQR value (Low);","")))&amp;IF(AND(Q131&lt;&gt;"",OR(Q131&lt;=0,Q131&gt;100)),"Unusual PCF value might be wrong (High);","")&amp;IF(AND(AO131&lt;&gt;"",OR(AO131&gt;1,AO131&lt;0)),"Incorrect PDS value (High);",IF(AND(AO131&lt;&gt;"",AO131&gt;0.5),"High PDS value (Medium);",""))&amp;IF(AND(AS131&lt;&gt;"",OR(AS131&gt;5,AS131&lt;1)),"Incorrect DQR value (High);",IF(AND(AS131&lt;&gt;"",AS131&gt;4),"Incorrect DQR value (Medium);",IF(AND(AS131&lt;&gt;"",AS131&gt;3),"Incorrect DQR value (Low);","")))&amp;IF(AND(AM131&lt;&gt;"",OR(AM131&gt;1,AM131&lt;0)),"Incorrect scrap rate (High);",IF(AND(A131&lt;&gt;"",AM131=0),"No scrap rate (No impact);",""))&amp;""</f>
        <v>No scrap rate (No impact);</v>
      </c>
    </row>
    <row r="132" spans="1:49" x14ac:dyDescent="0.3">
      <c r="A132" t="s">
        <v>521</v>
      </c>
      <c r="B132" t="s">
        <v>522</v>
      </c>
      <c r="C132" t="s">
        <v>194</v>
      </c>
      <c r="D132" t="s">
        <v>195</v>
      </c>
      <c r="E132" t="s">
        <v>312</v>
      </c>
      <c r="F132" t="s">
        <v>313</v>
      </c>
      <c r="G132">
        <v>12</v>
      </c>
      <c r="H132">
        <v>1</v>
      </c>
      <c r="I132" t="s">
        <v>198</v>
      </c>
      <c r="J132">
        <v>1.0820000000000001</v>
      </c>
      <c r="K132" t="s">
        <v>198</v>
      </c>
      <c r="L132" t="s">
        <v>199</v>
      </c>
      <c r="M132" s="3"/>
      <c r="R132" t="s">
        <v>200</v>
      </c>
      <c r="S132" s="25"/>
      <c r="T132" s="26"/>
      <c r="U132" s="27"/>
      <c r="V132" t="s">
        <v>25</v>
      </c>
      <c r="W132" t="s">
        <v>201</v>
      </c>
      <c r="X132" s="3"/>
      <c r="AC132" t="s">
        <v>202</v>
      </c>
      <c r="AF132" t="s">
        <v>203</v>
      </c>
      <c r="AK132" t="s">
        <v>200</v>
      </c>
      <c r="AM132" s="25"/>
      <c r="AO132" s="25">
        <v>0</v>
      </c>
      <c r="AP132" s="26"/>
      <c r="AQ132" s="26"/>
      <c r="AR132" s="26"/>
      <c r="AS132" s="26" t="str">
        <f t="shared" si="6"/>
        <v/>
      </c>
      <c r="AT132" t="str">
        <f t="shared" si="7"/>
        <v/>
      </c>
      <c r="AU132" t="s">
        <v>200</v>
      </c>
      <c r="AV132" s="3"/>
      <c r="AW132" t="str">
        <f t="shared" si="8"/>
        <v>No scrap rate (No impact);</v>
      </c>
    </row>
    <row r="133" spans="1:49" x14ac:dyDescent="0.3">
      <c r="A133" t="s">
        <v>523</v>
      </c>
      <c r="B133" t="s">
        <v>524</v>
      </c>
      <c r="C133" t="s">
        <v>194</v>
      </c>
      <c r="D133" t="s">
        <v>195</v>
      </c>
      <c r="E133" t="s">
        <v>525</v>
      </c>
      <c r="F133" t="s">
        <v>526</v>
      </c>
      <c r="G133">
        <v>1</v>
      </c>
      <c r="H133">
        <v>5</v>
      </c>
      <c r="I133" t="s">
        <v>198</v>
      </c>
      <c r="J133">
        <v>5.37</v>
      </c>
      <c r="K133" t="s">
        <v>198</v>
      </c>
      <c r="L133" t="s">
        <v>199</v>
      </c>
      <c r="M133" s="3"/>
      <c r="R133" t="s">
        <v>200</v>
      </c>
      <c r="S133" s="25"/>
      <c r="T133" s="26"/>
      <c r="U133" s="27"/>
      <c r="V133" t="s">
        <v>25</v>
      </c>
      <c r="W133" t="s">
        <v>201</v>
      </c>
      <c r="X133" s="3"/>
      <c r="AC133" t="s">
        <v>202</v>
      </c>
      <c r="AF133" t="s">
        <v>203</v>
      </c>
      <c r="AK133" t="s">
        <v>200</v>
      </c>
      <c r="AM133" s="25"/>
      <c r="AO133" s="25">
        <v>0</v>
      </c>
      <c r="AP133" s="26"/>
      <c r="AQ133" s="26"/>
      <c r="AR133" s="26"/>
      <c r="AS133" s="26" t="str">
        <f t="shared" si="6"/>
        <v/>
      </c>
      <c r="AT133" t="str">
        <f t="shared" si="7"/>
        <v/>
      </c>
      <c r="AU133" t="s">
        <v>200</v>
      </c>
      <c r="AV133" s="3"/>
      <c r="AW133" t="str">
        <f t="shared" si="8"/>
        <v>No scrap rate (No impact);</v>
      </c>
    </row>
    <row r="134" spans="1:49" x14ac:dyDescent="0.3">
      <c r="A134" t="s">
        <v>527</v>
      </c>
      <c r="B134" t="s">
        <v>528</v>
      </c>
      <c r="C134" t="s">
        <v>212</v>
      </c>
      <c r="D134" t="s">
        <v>213</v>
      </c>
      <c r="E134" t="s">
        <v>529</v>
      </c>
      <c r="F134" t="s">
        <v>530</v>
      </c>
      <c r="G134">
        <v>10</v>
      </c>
      <c r="H134">
        <v>1</v>
      </c>
      <c r="I134" t="s">
        <v>198</v>
      </c>
      <c r="J134">
        <v>1.1499999999999999</v>
      </c>
      <c r="K134" t="s">
        <v>198</v>
      </c>
      <c r="L134" t="s">
        <v>199</v>
      </c>
      <c r="M134" s="3"/>
      <c r="R134" t="s">
        <v>200</v>
      </c>
      <c r="S134" s="25"/>
      <c r="T134" s="26"/>
      <c r="U134" s="27"/>
      <c r="V134" t="s">
        <v>25</v>
      </c>
      <c r="W134" t="s">
        <v>201</v>
      </c>
      <c r="X134" s="3"/>
      <c r="AC134" t="s">
        <v>202</v>
      </c>
      <c r="AF134" t="s">
        <v>203</v>
      </c>
      <c r="AK134" t="s">
        <v>200</v>
      </c>
      <c r="AM134" s="25"/>
      <c r="AO134" s="25">
        <v>0</v>
      </c>
      <c r="AP134" s="26"/>
      <c r="AQ134" s="26"/>
      <c r="AR134" s="26"/>
      <c r="AS134" s="26" t="str">
        <f t="shared" si="6"/>
        <v/>
      </c>
      <c r="AT134" t="str">
        <f t="shared" si="7"/>
        <v/>
      </c>
      <c r="AU134" t="s">
        <v>200</v>
      </c>
      <c r="AV134" s="3"/>
      <c r="AW134" t="str">
        <f t="shared" si="8"/>
        <v>No scrap rate (No impact);</v>
      </c>
    </row>
    <row r="135" spans="1:49" x14ac:dyDescent="0.3">
      <c r="A135" t="s">
        <v>531</v>
      </c>
      <c r="B135" t="s">
        <v>532</v>
      </c>
      <c r="C135" t="s">
        <v>194</v>
      </c>
      <c r="D135" t="s">
        <v>195</v>
      </c>
      <c r="E135" t="s">
        <v>525</v>
      </c>
      <c r="F135" t="s">
        <v>526</v>
      </c>
      <c r="G135">
        <v>5</v>
      </c>
      <c r="H135">
        <v>12</v>
      </c>
      <c r="I135" t="s">
        <v>198</v>
      </c>
      <c r="J135">
        <v>12.057</v>
      </c>
      <c r="K135" t="s">
        <v>198</v>
      </c>
      <c r="L135" t="s">
        <v>199</v>
      </c>
      <c r="M135" s="3"/>
      <c r="R135" t="s">
        <v>200</v>
      </c>
      <c r="S135" s="25"/>
      <c r="T135" s="26"/>
      <c r="U135" s="27"/>
      <c r="V135" t="s">
        <v>25</v>
      </c>
      <c r="W135" t="s">
        <v>201</v>
      </c>
      <c r="X135" s="3"/>
      <c r="AC135" t="s">
        <v>202</v>
      </c>
      <c r="AF135" t="s">
        <v>203</v>
      </c>
      <c r="AK135" t="s">
        <v>200</v>
      </c>
      <c r="AM135" s="25"/>
      <c r="AO135" s="25">
        <v>0</v>
      </c>
      <c r="AP135" s="26"/>
      <c r="AQ135" s="26"/>
      <c r="AR135" s="26"/>
      <c r="AS135" s="26" t="str">
        <f t="shared" si="6"/>
        <v/>
      </c>
      <c r="AT135" t="str">
        <f t="shared" si="7"/>
        <v/>
      </c>
      <c r="AU135" t="s">
        <v>200</v>
      </c>
      <c r="AV135" s="3"/>
      <c r="AW135" t="str">
        <f t="shared" si="8"/>
        <v>No scrap rate (No impact);</v>
      </c>
    </row>
    <row r="136" spans="1:49" x14ac:dyDescent="0.3">
      <c r="A136" t="s">
        <v>533</v>
      </c>
      <c r="B136" t="s">
        <v>534</v>
      </c>
      <c r="C136" t="s">
        <v>194</v>
      </c>
      <c r="D136" t="s">
        <v>195</v>
      </c>
      <c r="E136" t="s">
        <v>525</v>
      </c>
      <c r="F136" t="s">
        <v>526</v>
      </c>
      <c r="G136">
        <v>1</v>
      </c>
      <c r="H136">
        <v>7</v>
      </c>
      <c r="I136" t="s">
        <v>198</v>
      </c>
      <c r="J136">
        <v>7.2919999999999998</v>
      </c>
      <c r="K136" t="s">
        <v>198</v>
      </c>
      <c r="L136" t="s">
        <v>199</v>
      </c>
      <c r="M136" s="3"/>
      <c r="R136" t="s">
        <v>200</v>
      </c>
      <c r="S136" s="25"/>
      <c r="T136" s="26"/>
      <c r="U136" s="27"/>
      <c r="V136" t="s">
        <v>25</v>
      </c>
      <c r="W136" t="s">
        <v>201</v>
      </c>
      <c r="X136" s="3"/>
      <c r="AC136" t="s">
        <v>202</v>
      </c>
      <c r="AF136" t="s">
        <v>203</v>
      </c>
      <c r="AK136" t="s">
        <v>200</v>
      </c>
      <c r="AM136" s="25"/>
      <c r="AO136" s="25">
        <v>0</v>
      </c>
      <c r="AP136" s="26"/>
      <c r="AQ136" s="26"/>
      <c r="AR136" s="26"/>
      <c r="AS136" s="26" t="str">
        <f t="shared" si="6"/>
        <v/>
      </c>
      <c r="AT136" t="str">
        <f t="shared" si="7"/>
        <v/>
      </c>
      <c r="AU136" t="s">
        <v>200</v>
      </c>
      <c r="AV136" s="3"/>
      <c r="AW136" t="str">
        <f t="shared" si="8"/>
        <v>No scrap rate (No impact);</v>
      </c>
    </row>
    <row r="137" spans="1:49" x14ac:dyDescent="0.3">
      <c r="A137" t="s">
        <v>535</v>
      </c>
      <c r="B137" t="s">
        <v>536</v>
      </c>
      <c r="C137" t="s">
        <v>212</v>
      </c>
      <c r="D137" t="s">
        <v>213</v>
      </c>
      <c r="E137" t="s">
        <v>529</v>
      </c>
      <c r="F137" t="s">
        <v>530</v>
      </c>
      <c r="G137">
        <v>10</v>
      </c>
      <c r="H137">
        <v>1.5</v>
      </c>
      <c r="I137" t="s">
        <v>198</v>
      </c>
      <c r="J137">
        <v>1.65</v>
      </c>
      <c r="K137" t="s">
        <v>198</v>
      </c>
      <c r="L137" t="s">
        <v>199</v>
      </c>
      <c r="M137" s="3"/>
      <c r="R137" t="s">
        <v>200</v>
      </c>
      <c r="S137" s="25"/>
      <c r="T137" s="26"/>
      <c r="U137" s="27"/>
      <c r="V137" t="s">
        <v>25</v>
      </c>
      <c r="W137" t="s">
        <v>201</v>
      </c>
      <c r="X137" s="3"/>
      <c r="AC137" t="s">
        <v>202</v>
      </c>
      <c r="AF137" t="s">
        <v>203</v>
      </c>
      <c r="AK137" t="s">
        <v>200</v>
      </c>
      <c r="AM137" s="25"/>
      <c r="AO137" s="25">
        <v>0</v>
      </c>
      <c r="AP137" s="26"/>
      <c r="AQ137" s="26"/>
      <c r="AR137" s="26"/>
      <c r="AS137" s="26" t="str">
        <f t="shared" si="6"/>
        <v/>
      </c>
      <c r="AT137" t="str">
        <f t="shared" si="7"/>
        <v/>
      </c>
      <c r="AU137" t="s">
        <v>200</v>
      </c>
      <c r="AV137" s="3"/>
      <c r="AW137" t="str">
        <f t="shared" si="8"/>
        <v>No scrap rate (No impact);</v>
      </c>
    </row>
    <row r="138" spans="1:49" x14ac:dyDescent="0.3">
      <c r="A138" t="s">
        <v>537</v>
      </c>
      <c r="B138" t="s">
        <v>538</v>
      </c>
      <c r="C138" t="s">
        <v>194</v>
      </c>
      <c r="D138" t="s">
        <v>195</v>
      </c>
      <c r="E138" t="s">
        <v>196</v>
      </c>
      <c r="F138" t="s">
        <v>197</v>
      </c>
      <c r="G138">
        <v>8</v>
      </c>
      <c r="H138">
        <v>1.5</v>
      </c>
      <c r="I138" t="s">
        <v>198</v>
      </c>
      <c r="J138">
        <v>1.65</v>
      </c>
      <c r="K138" t="s">
        <v>198</v>
      </c>
      <c r="L138" t="s">
        <v>199</v>
      </c>
      <c r="M138" s="3"/>
      <c r="R138" t="s">
        <v>200</v>
      </c>
      <c r="S138" s="25"/>
      <c r="T138" s="26"/>
      <c r="U138" s="27"/>
      <c r="V138" t="s">
        <v>25</v>
      </c>
      <c r="W138" t="s">
        <v>201</v>
      </c>
      <c r="X138" s="3"/>
      <c r="AC138" t="s">
        <v>202</v>
      </c>
      <c r="AF138" t="s">
        <v>203</v>
      </c>
      <c r="AK138" t="s">
        <v>200</v>
      </c>
      <c r="AM138" s="25"/>
      <c r="AO138" s="25">
        <v>0</v>
      </c>
      <c r="AP138" s="26"/>
      <c r="AQ138" s="26"/>
      <c r="AR138" s="26"/>
      <c r="AS138" s="26" t="str">
        <f t="shared" si="6"/>
        <v/>
      </c>
      <c r="AT138" t="str">
        <f t="shared" si="7"/>
        <v/>
      </c>
      <c r="AU138" t="s">
        <v>200</v>
      </c>
      <c r="AV138" s="3"/>
      <c r="AW138" t="str">
        <f t="shared" si="8"/>
        <v>No scrap rate (No impact);</v>
      </c>
    </row>
    <row r="139" spans="1:49" x14ac:dyDescent="0.3">
      <c r="A139" t="s">
        <v>539</v>
      </c>
      <c r="B139" t="s">
        <v>540</v>
      </c>
      <c r="C139" t="s">
        <v>194</v>
      </c>
      <c r="D139" t="s">
        <v>195</v>
      </c>
      <c r="E139" t="s">
        <v>196</v>
      </c>
      <c r="F139" t="s">
        <v>197</v>
      </c>
      <c r="G139">
        <v>12</v>
      </c>
      <c r="H139">
        <v>0.75</v>
      </c>
      <c r="I139" t="s">
        <v>198</v>
      </c>
      <c r="J139">
        <v>0.85</v>
      </c>
      <c r="K139" t="s">
        <v>198</v>
      </c>
      <c r="L139" t="s">
        <v>199</v>
      </c>
      <c r="M139" s="3"/>
      <c r="R139" t="s">
        <v>200</v>
      </c>
      <c r="S139" s="25"/>
      <c r="T139" s="26"/>
      <c r="U139" s="27"/>
      <c r="V139" t="s">
        <v>25</v>
      </c>
      <c r="W139" t="s">
        <v>201</v>
      </c>
      <c r="X139" s="3"/>
      <c r="AC139" t="s">
        <v>202</v>
      </c>
      <c r="AF139" t="s">
        <v>203</v>
      </c>
      <c r="AK139" t="s">
        <v>200</v>
      </c>
      <c r="AM139" s="25"/>
      <c r="AO139" s="25">
        <v>0</v>
      </c>
      <c r="AP139" s="26"/>
      <c r="AQ139" s="26"/>
      <c r="AR139" s="26"/>
      <c r="AS139" s="26" t="str">
        <f t="shared" si="6"/>
        <v/>
      </c>
      <c r="AT139" t="str">
        <f t="shared" si="7"/>
        <v/>
      </c>
      <c r="AU139" t="s">
        <v>200</v>
      </c>
      <c r="AV139" s="3"/>
      <c r="AW139" t="str">
        <f t="shared" si="8"/>
        <v>No scrap rate (No impact);</v>
      </c>
    </row>
    <row r="140" spans="1:49" x14ac:dyDescent="0.3">
      <c r="A140" t="s">
        <v>541</v>
      </c>
      <c r="B140" t="s">
        <v>542</v>
      </c>
      <c r="C140" t="s">
        <v>194</v>
      </c>
      <c r="D140" t="s">
        <v>195</v>
      </c>
      <c r="E140" t="s">
        <v>196</v>
      </c>
      <c r="F140" t="s">
        <v>197</v>
      </c>
      <c r="G140">
        <v>12</v>
      </c>
      <c r="H140">
        <v>0.75</v>
      </c>
      <c r="I140" t="s">
        <v>198</v>
      </c>
      <c r="J140">
        <v>0.85</v>
      </c>
      <c r="K140" t="s">
        <v>198</v>
      </c>
      <c r="L140" t="s">
        <v>199</v>
      </c>
      <c r="M140" s="3"/>
      <c r="R140" t="s">
        <v>200</v>
      </c>
      <c r="S140" s="25"/>
      <c r="T140" s="26"/>
      <c r="U140" s="27"/>
      <c r="V140" t="s">
        <v>25</v>
      </c>
      <c r="W140" t="s">
        <v>201</v>
      </c>
      <c r="X140" s="3"/>
      <c r="AC140" t="s">
        <v>202</v>
      </c>
      <c r="AF140" t="s">
        <v>203</v>
      </c>
      <c r="AK140" t="s">
        <v>200</v>
      </c>
      <c r="AM140" s="25"/>
      <c r="AO140" s="25">
        <v>0</v>
      </c>
      <c r="AP140" s="26"/>
      <c r="AQ140" s="26"/>
      <c r="AR140" s="26"/>
      <c r="AS140" s="26" t="str">
        <f t="shared" si="6"/>
        <v/>
      </c>
      <c r="AT140" t="str">
        <f t="shared" si="7"/>
        <v/>
      </c>
      <c r="AU140" t="s">
        <v>200</v>
      </c>
      <c r="AV140" s="3"/>
      <c r="AW140" t="str">
        <f t="shared" si="8"/>
        <v>No scrap rate (No impact);</v>
      </c>
    </row>
    <row r="141" spans="1:49" x14ac:dyDescent="0.3">
      <c r="A141" t="s">
        <v>543</v>
      </c>
      <c r="B141" t="s">
        <v>544</v>
      </c>
      <c r="C141" t="s">
        <v>194</v>
      </c>
      <c r="D141" t="s">
        <v>195</v>
      </c>
      <c r="E141" t="s">
        <v>196</v>
      </c>
      <c r="F141" t="s">
        <v>197</v>
      </c>
      <c r="G141">
        <v>12</v>
      </c>
      <c r="H141">
        <v>0.75</v>
      </c>
      <c r="I141" t="s">
        <v>198</v>
      </c>
      <c r="J141">
        <v>0.85</v>
      </c>
      <c r="K141" t="s">
        <v>198</v>
      </c>
      <c r="L141" t="s">
        <v>199</v>
      </c>
      <c r="M141" s="3"/>
      <c r="R141" t="s">
        <v>200</v>
      </c>
      <c r="S141" s="25"/>
      <c r="T141" s="26"/>
      <c r="U141" s="27"/>
      <c r="V141" t="s">
        <v>25</v>
      </c>
      <c r="W141" t="s">
        <v>201</v>
      </c>
      <c r="X141" s="3"/>
      <c r="AC141" t="s">
        <v>202</v>
      </c>
      <c r="AF141" t="s">
        <v>203</v>
      </c>
      <c r="AK141" t="s">
        <v>200</v>
      </c>
      <c r="AM141" s="25"/>
      <c r="AO141" s="25">
        <v>0</v>
      </c>
      <c r="AP141" s="26"/>
      <c r="AQ141" s="26"/>
      <c r="AR141" s="26"/>
      <c r="AS141" s="26" t="str">
        <f t="shared" si="6"/>
        <v/>
      </c>
      <c r="AT141" t="str">
        <f t="shared" si="7"/>
        <v/>
      </c>
      <c r="AU141" t="s">
        <v>200</v>
      </c>
      <c r="AV141" s="3"/>
      <c r="AW141" t="str">
        <f t="shared" si="8"/>
        <v>No scrap rate (No impact);</v>
      </c>
    </row>
    <row r="142" spans="1:49" x14ac:dyDescent="0.3">
      <c r="A142" t="s">
        <v>545</v>
      </c>
      <c r="B142" t="s">
        <v>546</v>
      </c>
      <c r="C142" t="s">
        <v>194</v>
      </c>
      <c r="D142" t="s">
        <v>195</v>
      </c>
      <c r="E142" t="s">
        <v>517</v>
      </c>
      <c r="F142" t="s">
        <v>518</v>
      </c>
      <c r="G142">
        <v>5</v>
      </c>
      <c r="H142">
        <v>10</v>
      </c>
      <c r="I142" t="s">
        <v>198</v>
      </c>
      <c r="J142">
        <v>10.050000000000001</v>
      </c>
      <c r="K142" t="s">
        <v>198</v>
      </c>
      <c r="L142" t="s">
        <v>199</v>
      </c>
      <c r="M142" s="3"/>
      <c r="R142" t="s">
        <v>200</v>
      </c>
      <c r="S142" s="25"/>
      <c r="T142" s="26"/>
      <c r="U142" s="27"/>
      <c r="V142" t="s">
        <v>25</v>
      </c>
      <c r="W142" t="s">
        <v>201</v>
      </c>
      <c r="X142" s="3"/>
      <c r="AC142" t="s">
        <v>202</v>
      </c>
      <c r="AF142" t="s">
        <v>203</v>
      </c>
      <c r="AK142" t="s">
        <v>200</v>
      </c>
      <c r="AM142" s="25"/>
      <c r="AO142" s="25">
        <v>0</v>
      </c>
      <c r="AP142" s="26"/>
      <c r="AQ142" s="26"/>
      <c r="AR142" s="26"/>
      <c r="AS142" s="26" t="str">
        <f t="shared" si="6"/>
        <v/>
      </c>
      <c r="AT142" t="str">
        <f t="shared" si="7"/>
        <v/>
      </c>
      <c r="AU142" t="s">
        <v>200</v>
      </c>
      <c r="AV142" s="3"/>
      <c r="AW142" t="str">
        <f t="shared" si="8"/>
        <v>No scrap rate (No impact);</v>
      </c>
    </row>
    <row r="143" spans="1:49" x14ac:dyDescent="0.3">
      <c r="A143" t="s">
        <v>547</v>
      </c>
      <c r="B143" t="s">
        <v>548</v>
      </c>
      <c r="C143" t="s">
        <v>194</v>
      </c>
      <c r="D143" t="s">
        <v>195</v>
      </c>
      <c r="E143" t="s">
        <v>196</v>
      </c>
      <c r="F143" t="s">
        <v>197</v>
      </c>
      <c r="G143">
        <v>8</v>
      </c>
      <c r="H143">
        <v>1.5</v>
      </c>
      <c r="I143" t="s">
        <v>198</v>
      </c>
      <c r="J143">
        <v>1.65</v>
      </c>
      <c r="K143" t="s">
        <v>198</v>
      </c>
      <c r="L143" t="s">
        <v>199</v>
      </c>
      <c r="M143" s="3"/>
      <c r="R143" t="s">
        <v>200</v>
      </c>
      <c r="S143" s="25"/>
      <c r="T143" s="26"/>
      <c r="U143" s="27"/>
      <c r="V143" t="s">
        <v>25</v>
      </c>
      <c r="W143" t="s">
        <v>201</v>
      </c>
      <c r="X143" s="3"/>
      <c r="AC143" t="s">
        <v>202</v>
      </c>
      <c r="AF143" t="s">
        <v>203</v>
      </c>
      <c r="AK143" t="s">
        <v>200</v>
      </c>
      <c r="AM143" s="25"/>
      <c r="AO143" s="25">
        <v>0</v>
      </c>
      <c r="AP143" s="26"/>
      <c r="AQ143" s="26"/>
      <c r="AR143" s="26"/>
      <c r="AS143" s="26" t="str">
        <f t="shared" si="6"/>
        <v/>
      </c>
      <c r="AT143" t="str">
        <f t="shared" si="7"/>
        <v/>
      </c>
      <c r="AU143" t="s">
        <v>200</v>
      </c>
      <c r="AV143" s="3"/>
      <c r="AW143" t="str">
        <f t="shared" si="8"/>
        <v>No scrap rate (No impact);</v>
      </c>
    </row>
    <row r="144" spans="1:49" x14ac:dyDescent="0.3">
      <c r="A144" t="s">
        <v>549</v>
      </c>
      <c r="B144" t="s">
        <v>550</v>
      </c>
      <c r="C144" t="s">
        <v>194</v>
      </c>
      <c r="D144" t="s">
        <v>195</v>
      </c>
      <c r="E144" t="s">
        <v>196</v>
      </c>
      <c r="F144" t="s">
        <v>197</v>
      </c>
      <c r="G144">
        <v>8</v>
      </c>
      <c r="H144">
        <v>1.5</v>
      </c>
      <c r="I144" t="s">
        <v>198</v>
      </c>
      <c r="J144">
        <v>1.65</v>
      </c>
      <c r="K144" t="s">
        <v>198</v>
      </c>
      <c r="L144" t="s">
        <v>199</v>
      </c>
      <c r="M144" s="3"/>
      <c r="R144" t="s">
        <v>200</v>
      </c>
      <c r="S144" s="25"/>
      <c r="T144" s="26"/>
      <c r="U144" s="27"/>
      <c r="V144" t="s">
        <v>25</v>
      </c>
      <c r="W144" t="s">
        <v>201</v>
      </c>
      <c r="X144" s="3"/>
      <c r="AC144" t="s">
        <v>202</v>
      </c>
      <c r="AF144" t="s">
        <v>203</v>
      </c>
      <c r="AK144" t="s">
        <v>200</v>
      </c>
      <c r="AM144" s="25"/>
      <c r="AO144" s="25">
        <v>0</v>
      </c>
      <c r="AP144" s="26"/>
      <c r="AQ144" s="26"/>
      <c r="AR144" s="26"/>
      <c r="AS144" s="26" t="str">
        <f t="shared" si="6"/>
        <v/>
      </c>
      <c r="AT144" t="str">
        <f t="shared" si="7"/>
        <v/>
      </c>
      <c r="AU144" t="s">
        <v>200</v>
      </c>
      <c r="AV144" s="3"/>
      <c r="AW144" t="str">
        <f t="shared" si="8"/>
        <v>No scrap rate (No impact);</v>
      </c>
    </row>
    <row r="145" spans="1:49" x14ac:dyDescent="0.3">
      <c r="A145" t="s">
        <v>551</v>
      </c>
      <c r="B145" t="s">
        <v>552</v>
      </c>
      <c r="C145" t="s">
        <v>194</v>
      </c>
      <c r="D145" t="s">
        <v>195</v>
      </c>
      <c r="E145" t="s">
        <v>196</v>
      </c>
      <c r="F145" t="s">
        <v>197</v>
      </c>
      <c r="G145">
        <v>8</v>
      </c>
      <c r="H145">
        <v>1.5</v>
      </c>
      <c r="I145" t="s">
        <v>198</v>
      </c>
      <c r="J145">
        <v>1.65</v>
      </c>
      <c r="K145" t="s">
        <v>198</v>
      </c>
      <c r="L145" t="s">
        <v>199</v>
      </c>
      <c r="M145" s="3"/>
      <c r="R145" t="s">
        <v>200</v>
      </c>
      <c r="S145" s="25"/>
      <c r="T145" s="26"/>
      <c r="U145" s="27"/>
      <c r="V145" t="s">
        <v>25</v>
      </c>
      <c r="W145" t="s">
        <v>201</v>
      </c>
      <c r="X145" s="3"/>
      <c r="AC145" t="s">
        <v>202</v>
      </c>
      <c r="AF145" t="s">
        <v>203</v>
      </c>
      <c r="AK145" t="s">
        <v>200</v>
      </c>
      <c r="AM145" s="25"/>
      <c r="AO145" s="25">
        <v>0</v>
      </c>
      <c r="AP145" s="26"/>
      <c r="AQ145" s="26"/>
      <c r="AR145" s="26"/>
      <c r="AS145" s="26" t="str">
        <f t="shared" si="6"/>
        <v/>
      </c>
      <c r="AT145" t="str">
        <f t="shared" si="7"/>
        <v/>
      </c>
      <c r="AU145" t="s">
        <v>200</v>
      </c>
      <c r="AV145" s="3"/>
      <c r="AW145" t="str">
        <f t="shared" si="8"/>
        <v>No scrap rate (No impact);</v>
      </c>
    </row>
    <row r="146" spans="1:49" x14ac:dyDescent="0.3">
      <c r="A146" t="s">
        <v>553</v>
      </c>
      <c r="B146" t="s">
        <v>554</v>
      </c>
      <c r="C146" t="s">
        <v>194</v>
      </c>
      <c r="D146" t="s">
        <v>195</v>
      </c>
      <c r="E146" t="s">
        <v>360</v>
      </c>
      <c r="F146" t="s">
        <v>361</v>
      </c>
      <c r="G146">
        <v>12</v>
      </c>
      <c r="H146">
        <v>0.13</v>
      </c>
      <c r="I146" t="s">
        <v>198</v>
      </c>
      <c r="J146">
        <v>0.15</v>
      </c>
      <c r="K146" t="s">
        <v>198</v>
      </c>
      <c r="L146" t="s">
        <v>199</v>
      </c>
      <c r="M146" s="3"/>
      <c r="R146" t="s">
        <v>200</v>
      </c>
      <c r="S146" s="25"/>
      <c r="T146" s="26"/>
      <c r="U146" s="27"/>
      <c r="V146" t="s">
        <v>25</v>
      </c>
      <c r="W146" t="s">
        <v>201</v>
      </c>
      <c r="X146" s="3"/>
      <c r="AC146" t="s">
        <v>202</v>
      </c>
      <c r="AF146" t="s">
        <v>203</v>
      </c>
      <c r="AK146" t="s">
        <v>200</v>
      </c>
      <c r="AM146" s="25"/>
      <c r="AO146" s="25">
        <v>0</v>
      </c>
      <c r="AP146" s="26"/>
      <c r="AQ146" s="26"/>
      <c r="AR146" s="26"/>
      <c r="AS146" s="26" t="str">
        <f t="shared" si="6"/>
        <v/>
      </c>
      <c r="AT146" t="str">
        <f t="shared" si="7"/>
        <v/>
      </c>
      <c r="AU146" t="s">
        <v>200</v>
      </c>
      <c r="AV146" s="3"/>
      <c r="AW146" t="str">
        <f t="shared" si="8"/>
        <v>No scrap rate (No impact);</v>
      </c>
    </row>
    <row r="147" spans="1:49" x14ac:dyDescent="0.3">
      <c r="A147" t="s">
        <v>555</v>
      </c>
      <c r="B147" t="s">
        <v>556</v>
      </c>
      <c r="C147" t="s">
        <v>194</v>
      </c>
      <c r="D147" t="s">
        <v>195</v>
      </c>
      <c r="E147" t="s">
        <v>360</v>
      </c>
      <c r="F147" t="s">
        <v>361</v>
      </c>
      <c r="G147">
        <v>12</v>
      </c>
      <c r="H147">
        <v>0.13</v>
      </c>
      <c r="I147" t="s">
        <v>198</v>
      </c>
      <c r="J147">
        <v>0.15</v>
      </c>
      <c r="K147" t="s">
        <v>198</v>
      </c>
      <c r="L147" t="s">
        <v>199</v>
      </c>
      <c r="M147" s="3"/>
      <c r="R147" t="s">
        <v>200</v>
      </c>
      <c r="S147" s="25"/>
      <c r="T147" s="26"/>
      <c r="U147" s="27"/>
      <c r="V147" t="s">
        <v>25</v>
      </c>
      <c r="W147" t="s">
        <v>201</v>
      </c>
      <c r="X147" s="3"/>
      <c r="AC147" t="s">
        <v>202</v>
      </c>
      <c r="AF147" t="s">
        <v>203</v>
      </c>
      <c r="AK147" t="s">
        <v>200</v>
      </c>
      <c r="AM147" s="25"/>
      <c r="AO147" s="25">
        <v>0</v>
      </c>
      <c r="AP147" s="26"/>
      <c r="AQ147" s="26"/>
      <c r="AR147" s="26"/>
      <c r="AS147" s="26" t="str">
        <f t="shared" si="6"/>
        <v/>
      </c>
      <c r="AT147" t="str">
        <f t="shared" si="7"/>
        <v/>
      </c>
      <c r="AU147" t="s">
        <v>200</v>
      </c>
      <c r="AV147" s="3"/>
      <c r="AW147" t="str">
        <f t="shared" si="8"/>
        <v>No scrap rate (No impact);</v>
      </c>
    </row>
    <row r="148" spans="1:49" x14ac:dyDescent="0.3">
      <c r="A148" t="s">
        <v>557</v>
      </c>
      <c r="B148" t="s">
        <v>558</v>
      </c>
      <c r="C148" t="s">
        <v>194</v>
      </c>
      <c r="D148" t="s">
        <v>195</v>
      </c>
      <c r="E148" t="s">
        <v>360</v>
      </c>
      <c r="F148" t="s">
        <v>361</v>
      </c>
      <c r="G148">
        <v>12</v>
      </c>
      <c r="H148">
        <v>0.1</v>
      </c>
      <c r="I148" t="s">
        <v>198</v>
      </c>
      <c r="J148">
        <v>0.12</v>
      </c>
      <c r="K148" t="s">
        <v>198</v>
      </c>
      <c r="L148" t="s">
        <v>199</v>
      </c>
      <c r="M148" s="3"/>
      <c r="R148" t="s">
        <v>200</v>
      </c>
      <c r="S148" s="25"/>
      <c r="T148" s="26"/>
      <c r="U148" s="27"/>
      <c r="V148" t="s">
        <v>25</v>
      </c>
      <c r="W148" t="s">
        <v>201</v>
      </c>
      <c r="X148" s="3"/>
      <c r="AC148" t="s">
        <v>202</v>
      </c>
      <c r="AF148" t="s">
        <v>203</v>
      </c>
      <c r="AK148" t="s">
        <v>200</v>
      </c>
      <c r="AM148" s="25"/>
      <c r="AO148" s="25">
        <v>0</v>
      </c>
      <c r="AP148" s="26"/>
      <c r="AQ148" s="26"/>
      <c r="AR148" s="26"/>
      <c r="AS148" s="26" t="str">
        <f t="shared" si="6"/>
        <v/>
      </c>
      <c r="AT148" t="str">
        <f t="shared" si="7"/>
        <v/>
      </c>
      <c r="AU148" t="s">
        <v>200</v>
      </c>
      <c r="AV148" s="3"/>
      <c r="AW148" t="str">
        <f t="shared" si="8"/>
        <v>No scrap rate (No impact);</v>
      </c>
    </row>
    <row r="149" spans="1:49" x14ac:dyDescent="0.3">
      <c r="A149" t="s">
        <v>559</v>
      </c>
      <c r="B149" t="s">
        <v>560</v>
      </c>
      <c r="C149" t="s">
        <v>194</v>
      </c>
      <c r="D149" t="s">
        <v>195</v>
      </c>
      <c r="E149" t="s">
        <v>360</v>
      </c>
      <c r="F149" t="s">
        <v>361</v>
      </c>
      <c r="G149">
        <v>12</v>
      </c>
      <c r="H149">
        <v>0.1</v>
      </c>
      <c r="I149" t="s">
        <v>198</v>
      </c>
      <c r="J149">
        <v>0.14199999999999999</v>
      </c>
      <c r="K149" t="s">
        <v>198</v>
      </c>
      <c r="L149" t="s">
        <v>199</v>
      </c>
      <c r="M149" s="3"/>
      <c r="R149" t="s">
        <v>200</v>
      </c>
      <c r="S149" s="25"/>
      <c r="T149" s="26"/>
      <c r="U149" s="27"/>
      <c r="V149" t="s">
        <v>25</v>
      </c>
      <c r="W149" t="s">
        <v>201</v>
      </c>
      <c r="X149" s="3"/>
      <c r="AC149" t="s">
        <v>202</v>
      </c>
      <c r="AF149" t="s">
        <v>203</v>
      </c>
      <c r="AK149" t="s">
        <v>200</v>
      </c>
      <c r="AM149" s="25"/>
      <c r="AO149" s="25">
        <v>0</v>
      </c>
      <c r="AP149" s="26"/>
      <c r="AQ149" s="26"/>
      <c r="AR149" s="26"/>
      <c r="AS149" s="26" t="str">
        <f t="shared" si="6"/>
        <v/>
      </c>
      <c r="AT149" t="str">
        <f t="shared" si="7"/>
        <v/>
      </c>
      <c r="AU149" t="s">
        <v>200</v>
      </c>
      <c r="AV149" s="3"/>
      <c r="AW149" t="str">
        <f t="shared" si="8"/>
        <v>No scrap rate (No impact);</v>
      </c>
    </row>
    <row r="150" spans="1:49" x14ac:dyDescent="0.3">
      <c r="A150" t="s">
        <v>561</v>
      </c>
      <c r="B150" t="s">
        <v>562</v>
      </c>
      <c r="C150" t="s">
        <v>194</v>
      </c>
      <c r="D150" t="s">
        <v>195</v>
      </c>
      <c r="E150" t="s">
        <v>360</v>
      </c>
      <c r="F150" t="s">
        <v>361</v>
      </c>
      <c r="G150">
        <v>12</v>
      </c>
      <c r="H150">
        <v>0.12</v>
      </c>
      <c r="I150" t="s">
        <v>198</v>
      </c>
      <c r="J150">
        <v>0.13800000000000001</v>
      </c>
      <c r="K150" t="s">
        <v>198</v>
      </c>
      <c r="L150" t="s">
        <v>199</v>
      </c>
      <c r="M150" s="3"/>
      <c r="R150" t="s">
        <v>200</v>
      </c>
      <c r="S150" s="25"/>
      <c r="T150" s="26"/>
      <c r="U150" s="27"/>
      <c r="V150" t="s">
        <v>25</v>
      </c>
      <c r="W150" t="s">
        <v>201</v>
      </c>
      <c r="X150" s="3"/>
      <c r="AC150" t="s">
        <v>202</v>
      </c>
      <c r="AF150" t="s">
        <v>203</v>
      </c>
      <c r="AK150" t="s">
        <v>200</v>
      </c>
      <c r="AM150" s="25"/>
      <c r="AO150" s="25">
        <v>0</v>
      </c>
      <c r="AP150" s="26"/>
      <c r="AQ150" s="26"/>
      <c r="AR150" s="26"/>
      <c r="AS150" s="26" t="str">
        <f t="shared" si="6"/>
        <v/>
      </c>
      <c r="AT150" t="str">
        <f t="shared" si="7"/>
        <v/>
      </c>
      <c r="AU150" t="s">
        <v>200</v>
      </c>
      <c r="AV150" s="3"/>
      <c r="AW150" t="str">
        <f t="shared" si="8"/>
        <v>No scrap rate (No impact);</v>
      </c>
    </row>
    <row r="151" spans="1:49" x14ac:dyDescent="0.3">
      <c r="A151" t="s">
        <v>563</v>
      </c>
      <c r="B151" t="s">
        <v>564</v>
      </c>
      <c r="C151" t="s">
        <v>194</v>
      </c>
      <c r="D151" t="s">
        <v>195</v>
      </c>
      <c r="E151" t="s">
        <v>196</v>
      </c>
      <c r="F151" t="s">
        <v>197</v>
      </c>
      <c r="G151">
        <v>12</v>
      </c>
      <c r="H151">
        <v>0.04</v>
      </c>
      <c r="I151" t="s">
        <v>198</v>
      </c>
      <c r="J151">
        <v>0.11</v>
      </c>
      <c r="K151" t="s">
        <v>198</v>
      </c>
      <c r="L151" t="s">
        <v>199</v>
      </c>
      <c r="M151" s="3"/>
      <c r="R151" t="s">
        <v>200</v>
      </c>
      <c r="S151" s="25"/>
      <c r="T151" s="26"/>
      <c r="U151" s="27"/>
      <c r="V151" t="s">
        <v>25</v>
      </c>
      <c r="W151" t="s">
        <v>201</v>
      </c>
      <c r="X151" s="3"/>
      <c r="AC151" t="s">
        <v>202</v>
      </c>
      <c r="AF151" t="s">
        <v>203</v>
      </c>
      <c r="AK151" t="s">
        <v>200</v>
      </c>
      <c r="AM151" s="25"/>
      <c r="AO151" s="25">
        <v>0</v>
      </c>
      <c r="AP151" s="26"/>
      <c r="AQ151" s="26"/>
      <c r="AR151" s="26"/>
      <c r="AS151" s="26" t="str">
        <f t="shared" si="6"/>
        <v/>
      </c>
      <c r="AT151" t="str">
        <f t="shared" si="7"/>
        <v/>
      </c>
      <c r="AU151" t="s">
        <v>200</v>
      </c>
      <c r="AV151" s="3"/>
      <c r="AW151" t="str">
        <f t="shared" si="8"/>
        <v>No scrap rate (No impact);</v>
      </c>
    </row>
    <row r="152" spans="1:49" x14ac:dyDescent="0.3">
      <c r="A152" t="s">
        <v>565</v>
      </c>
      <c r="B152" t="s">
        <v>566</v>
      </c>
      <c r="C152" t="s">
        <v>194</v>
      </c>
      <c r="D152" t="s">
        <v>195</v>
      </c>
      <c r="E152" t="s">
        <v>312</v>
      </c>
      <c r="F152" t="s">
        <v>313</v>
      </c>
      <c r="G152">
        <v>12</v>
      </c>
      <c r="H152">
        <v>0.1</v>
      </c>
      <c r="I152" t="s">
        <v>198</v>
      </c>
      <c r="J152">
        <v>0.123</v>
      </c>
      <c r="K152" t="s">
        <v>198</v>
      </c>
      <c r="L152" t="s">
        <v>199</v>
      </c>
      <c r="M152" s="3"/>
      <c r="R152" t="s">
        <v>200</v>
      </c>
      <c r="S152" s="25"/>
      <c r="T152" s="26"/>
      <c r="U152" s="27"/>
      <c r="V152" t="s">
        <v>25</v>
      </c>
      <c r="W152" t="s">
        <v>201</v>
      </c>
      <c r="X152" s="3"/>
      <c r="AC152" t="s">
        <v>202</v>
      </c>
      <c r="AF152" t="s">
        <v>203</v>
      </c>
      <c r="AK152" t="s">
        <v>200</v>
      </c>
      <c r="AM152" s="25"/>
      <c r="AO152" s="25">
        <v>0</v>
      </c>
      <c r="AP152" s="26"/>
      <c r="AQ152" s="26"/>
      <c r="AR152" s="26"/>
      <c r="AS152" s="26" t="str">
        <f t="shared" si="6"/>
        <v/>
      </c>
      <c r="AT152" t="str">
        <f t="shared" si="7"/>
        <v/>
      </c>
      <c r="AU152" t="s">
        <v>200</v>
      </c>
      <c r="AV152" s="3"/>
      <c r="AW152" t="str">
        <f t="shared" si="8"/>
        <v>No scrap rate (No impact);</v>
      </c>
    </row>
    <row r="153" spans="1:49" x14ac:dyDescent="0.3">
      <c r="A153" t="s">
        <v>567</v>
      </c>
      <c r="B153" t="s">
        <v>568</v>
      </c>
      <c r="C153" t="s">
        <v>194</v>
      </c>
      <c r="D153" t="s">
        <v>195</v>
      </c>
      <c r="E153" t="s">
        <v>312</v>
      </c>
      <c r="F153" t="s">
        <v>313</v>
      </c>
      <c r="G153">
        <v>8</v>
      </c>
      <c r="H153">
        <v>1.5</v>
      </c>
      <c r="I153" t="s">
        <v>198</v>
      </c>
      <c r="J153">
        <v>1.65</v>
      </c>
      <c r="K153" t="s">
        <v>198</v>
      </c>
      <c r="L153" t="s">
        <v>199</v>
      </c>
      <c r="M153" s="3"/>
      <c r="R153" t="s">
        <v>200</v>
      </c>
      <c r="S153" s="25"/>
      <c r="T153" s="26"/>
      <c r="U153" s="27"/>
      <c r="V153" t="s">
        <v>25</v>
      </c>
      <c r="W153" t="s">
        <v>201</v>
      </c>
      <c r="X153" s="3"/>
      <c r="AC153" t="s">
        <v>202</v>
      </c>
      <c r="AF153" t="s">
        <v>203</v>
      </c>
      <c r="AK153" t="s">
        <v>200</v>
      </c>
      <c r="AM153" s="25"/>
      <c r="AO153" s="25">
        <v>0</v>
      </c>
      <c r="AP153" s="26"/>
      <c r="AQ153" s="26"/>
      <c r="AR153" s="26"/>
      <c r="AS153" s="26" t="str">
        <f t="shared" si="6"/>
        <v/>
      </c>
      <c r="AT153" t="str">
        <f t="shared" si="7"/>
        <v/>
      </c>
      <c r="AU153" t="s">
        <v>200</v>
      </c>
      <c r="AV153" s="3"/>
      <c r="AW153" t="str">
        <f t="shared" si="8"/>
        <v>No scrap rate (No impact);</v>
      </c>
    </row>
    <row r="154" spans="1:49" x14ac:dyDescent="0.3">
      <c r="A154" t="s">
        <v>569</v>
      </c>
      <c r="B154" t="s">
        <v>570</v>
      </c>
      <c r="C154" t="s">
        <v>212</v>
      </c>
      <c r="D154" t="s">
        <v>213</v>
      </c>
      <c r="E154" t="s">
        <v>463</v>
      </c>
      <c r="F154" t="s">
        <v>464</v>
      </c>
      <c r="G154">
        <v>12</v>
      </c>
      <c r="H154">
        <v>0.6</v>
      </c>
      <c r="I154" t="s">
        <v>198</v>
      </c>
      <c r="J154">
        <v>0.72199999999999998</v>
      </c>
      <c r="K154" t="s">
        <v>198</v>
      </c>
      <c r="L154" t="s">
        <v>199</v>
      </c>
      <c r="M154" s="3"/>
      <c r="R154" t="s">
        <v>200</v>
      </c>
      <c r="S154" s="25"/>
      <c r="T154" s="26"/>
      <c r="U154" s="27"/>
      <c r="V154" t="s">
        <v>25</v>
      </c>
      <c r="W154" t="s">
        <v>201</v>
      </c>
      <c r="X154" s="3"/>
      <c r="AC154" t="s">
        <v>202</v>
      </c>
      <c r="AF154" t="s">
        <v>203</v>
      </c>
      <c r="AK154" t="s">
        <v>200</v>
      </c>
      <c r="AM154" s="25"/>
      <c r="AO154" s="25">
        <v>0</v>
      </c>
      <c r="AP154" s="26"/>
      <c r="AQ154" s="26"/>
      <c r="AR154" s="26"/>
      <c r="AS154" s="26" t="str">
        <f t="shared" si="6"/>
        <v/>
      </c>
      <c r="AT154" t="str">
        <f t="shared" si="7"/>
        <v/>
      </c>
      <c r="AU154" t="s">
        <v>200</v>
      </c>
      <c r="AV154" s="3"/>
      <c r="AW154" t="str">
        <f t="shared" si="8"/>
        <v>No scrap rate (No impact);</v>
      </c>
    </row>
    <row r="155" spans="1:49" x14ac:dyDescent="0.3">
      <c r="A155" t="s">
        <v>571</v>
      </c>
      <c r="B155" t="s">
        <v>572</v>
      </c>
      <c r="C155" t="s">
        <v>212</v>
      </c>
      <c r="D155" t="s">
        <v>213</v>
      </c>
      <c r="E155" t="s">
        <v>463</v>
      </c>
      <c r="F155" t="s">
        <v>464</v>
      </c>
      <c r="G155">
        <v>12</v>
      </c>
      <c r="H155">
        <v>0.3</v>
      </c>
      <c r="I155" t="s">
        <v>198</v>
      </c>
      <c r="J155">
        <v>0.31</v>
      </c>
      <c r="K155" t="s">
        <v>198</v>
      </c>
      <c r="L155" t="s">
        <v>199</v>
      </c>
      <c r="M155" s="3"/>
      <c r="R155" t="s">
        <v>200</v>
      </c>
      <c r="S155" s="25"/>
      <c r="T155" s="26"/>
      <c r="U155" s="27"/>
      <c r="V155" t="s">
        <v>25</v>
      </c>
      <c r="W155" t="s">
        <v>201</v>
      </c>
      <c r="X155" s="3"/>
      <c r="AC155" t="s">
        <v>202</v>
      </c>
      <c r="AF155" t="s">
        <v>203</v>
      </c>
      <c r="AK155" t="s">
        <v>200</v>
      </c>
      <c r="AM155" s="25"/>
      <c r="AO155" s="25">
        <v>0</v>
      </c>
      <c r="AP155" s="26"/>
      <c r="AQ155" s="26"/>
      <c r="AR155" s="26"/>
      <c r="AS155" s="26" t="str">
        <f t="shared" si="6"/>
        <v/>
      </c>
      <c r="AT155" t="str">
        <f t="shared" si="7"/>
        <v/>
      </c>
      <c r="AU155" t="s">
        <v>200</v>
      </c>
      <c r="AV155" s="3"/>
      <c r="AW155" t="str">
        <f t="shared" si="8"/>
        <v>No scrap rate (No impact);</v>
      </c>
    </row>
    <row r="156" spans="1:49" x14ac:dyDescent="0.3">
      <c r="A156" t="s">
        <v>573</v>
      </c>
      <c r="B156" t="s">
        <v>574</v>
      </c>
      <c r="C156" t="s">
        <v>212</v>
      </c>
      <c r="D156" t="s">
        <v>213</v>
      </c>
      <c r="E156" t="s">
        <v>575</v>
      </c>
      <c r="F156" t="s">
        <v>576</v>
      </c>
      <c r="G156">
        <v>6</v>
      </c>
      <c r="H156">
        <v>3.0000000000000001E-3</v>
      </c>
      <c r="I156" t="s">
        <v>198</v>
      </c>
      <c r="J156">
        <v>7.0000000000000001E-3</v>
      </c>
      <c r="K156" t="s">
        <v>198</v>
      </c>
      <c r="L156" t="s">
        <v>199</v>
      </c>
      <c r="M156" s="3"/>
      <c r="R156" t="s">
        <v>200</v>
      </c>
      <c r="S156" s="25"/>
      <c r="T156" s="26"/>
      <c r="U156" s="27"/>
      <c r="V156" t="s">
        <v>25</v>
      </c>
      <c r="W156" t="s">
        <v>201</v>
      </c>
      <c r="X156" s="3"/>
      <c r="AC156" t="s">
        <v>202</v>
      </c>
      <c r="AF156" t="s">
        <v>203</v>
      </c>
      <c r="AK156" t="s">
        <v>200</v>
      </c>
      <c r="AM156" s="25"/>
      <c r="AO156" s="25">
        <v>0</v>
      </c>
      <c r="AP156" s="26"/>
      <c r="AQ156" s="26"/>
      <c r="AR156" s="26"/>
      <c r="AS156" s="26" t="str">
        <f t="shared" si="6"/>
        <v/>
      </c>
      <c r="AT156" t="str">
        <f t="shared" si="7"/>
        <v/>
      </c>
      <c r="AU156" t="s">
        <v>200</v>
      </c>
      <c r="AV156" s="3"/>
      <c r="AW156" t="str">
        <f t="shared" si="8"/>
        <v>No scrap rate (No impact);</v>
      </c>
    </row>
    <row r="157" spans="1:49" x14ac:dyDescent="0.3">
      <c r="A157" t="s">
        <v>577</v>
      </c>
      <c r="B157" t="s">
        <v>578</v>
      </c>
      <c r="C157" t="s">
        <v>212</v>
      </c>
      <c r="D157" t="s">
        <v>213</v>
      </c>
      <c r="E157" t="s">
        <v>575</v>
      </c>
      <c r="F157" t="s">
        <v>576</v>
      </c>
      <c r="G157">
        <v>6</v>
      </c>
      <c r="H157">
        <v>3.0000000000000001E-3</v>
      </c>
      <c r="I157" t="s">
        <v>198</v>
      </c>
      <c r="J157">
        <v>0.18</v>
      </c>
      <c r="K157" t="s">
        <v>198</v>
      </c>
      <c r="L157" t="s">
        <v>199</v>
      </c>
      <c r="M157" s="3"/>
      <c r="R157" t="s">
        <v>200</v>
      </c>
      <c r="S157" s="25"/>
      <c r="T157" s="26"/>
      <c r="U157" s="27"/>
      <c r="V157" t="s">
        <v>25</v>
      </c>
      <c r="W157" t="s">
        <v>201</v>
      </c>
      <c r="X157" s="3"/>
      <c r="AC157" t="s">
        <v>202</v>
      </c>
      <c r="AF157" t="s">
        <v>203</v>
      </c>
      <c r="AK157" t="s">
        <v>200</v>
      </c>
      <c r="AM157" s="25"/>
      <c r="AO157" s="25">
        <v>0</v>
      </c>
      <c r="AP157" s="26"/>
      <c r="AQ157" s="26"/>
      <c r="AR157" s="26"/>
      <c r="AS157" s="26" t="str">
        <f t="shared" si="6"/>
        <v/>
      </c>
      <c r="AT157" t="str">
        <f t="shared" si="7"/>
        <v/>
      </c>
      <c r="AU157" t="s">
        <v>200</v>
      </c>
      <c r="AV157" s="3"/>
      <c r="AW157" t="str">
        <f t="shared" si="8"/>
        <v>No scrap rate (No impact);</v>
      </c>
    </row>
    <row r="158" spans="1:49" x14ac:dyDescent="0.3">
      <c r="A158" t="s">
        <v>579</v>
      </c>
      <c r="B158" t="s">
        <v>580</v>
      </c>
      <c r="C158" t="s">
        <v>212</v>
      </c>
      <c r="D158" t="s">
        <v>213</v>
      </c>
      <c r="E158" t="s">
        <v>575</v>
      </c>
      <c r="F158" t="s">
        <v>576</v>
      </c>
      <c r="G158">
        <v>6</v>
      </c>
      <c r="H158">
        <v>0.14399999999999999</v>
      </c>
      <c r="I158" t="s">
        <v>198</v>
      </c>
      <c r="J158">
        <v>0.20499999999999999</v>
      </c>
      <c r="K158" t="s">
        <v>198</v>
      </c>
      <c r="L158" t="s">
        <v>199</v>
      </c>
      <c r="M158" s="3"/>
      <c r="R158" t="s">
        <v>200</v>
      </c>
      <c r="S158" s="25"/>
      <c r="T158" s="26"/>
      <c r="U158" s="27"/>
      <c r="V158" t="s">
        <v>25</v>
      </c>
      <c r="W158" t="s">
        <v>201</v>
      </c>
      <c r="X158" s="3"/>
      <c r="AC158" t="s">
        <v>202</v>
      </c>
      <c r="AF158" t="s">
        <v>203</v>
      </c>
      <c r="AK158" t="s">
        <v>200</v>
      </c>
      <c r="AM158" s="25"/>
      <c r="AO158" s="25">
        <v>0</v>
      </c>
      <c r="AP158" s="26"/>
      <c r="AQ158" s="26"/>
      <c r="AR158" s="26"/>
      <c r="AS158" s="26" t="str">
        <f t="shared" si="6"/>
        <v/>
      </c>
      <c r="AT158" t="str">
        <f t="shared" si="7"/>
        <v/>
      </c>
      <c r="AU158" t="s">
        <v>200</v>
      </c>
      <c r="AV158" s="3"/>
      <c r="AW158" t="str">
        <f t="shared" si="8"/>
        <v>No scrap rate (No impact);</v>
      </c>
    </row>
    <row r="159" spans="1:49" x14ac:dyDescent="0.3">
      <c r="A159" t="s">
        <v>581</v>
      </c>
      <c r="B159" t="s">
        <v>582</v>
      </c>
      <c r="C159" t="s">
        <v>212</v>
      </c>
      <c r="D159" t="s">
        <v>213</v>
      </c>
      <c r="E159" t="s">
        <v>575</v>
      </c>
      <c r="F159" t="s">
        <v>576</v>
      </c>
      <c r="G159">
        <v>6</v>
      </c>
      <c r="H159">
        <v>6.0000000000000001E-3</v>
      </c>
      <c r="I159" t="s">
        <v>198</v>
      </c>
      <c r="J159">
        <v>2.7E-2</v>
      </c>
      <c r="K159" t="s">
        <v>198</v>
      </c>
      <c r="L159" t="s">
        <v>199</v>
      </c>
      <c r="M159" s="3"/>
      <c r="R159" t="s">
        <v>200</v>
      </c>
      <c r="S159" s="25"/>
      <c r="T159" s="26"/>
      <c r="U159" s="27"/>
      <c r="V159" t="s">
        <v>25</v>
      </c>
      <c r="W159" t="s">
        <v>201</v>
      </c>
      <c r="X159" s="3"/>
      <c r="AC159" t="s">
        <v>202</v>
      </c>
      <c r="AF159" t="s">
        <v>203</v>
      </c>
      <c r="AK159" t="s">
        <v>200</v>
      </c>
      <c r="AM159" s="25"/>
      <c r="AO159" s="25">
        <v>0</v>
      </c>
      <c r="AP159" s="26"/>
      <c r="AQ159" s="26"/>
      <c r="AR159" s="26"/>
      <c r="AS159" s="26" t="str">
        <f t="shared" si="6"/>
        <v/>
      </c>
      <c r="AT159" t="str">
        <f t="shared" si="7"/>
        <v/>
      </c>
      <c r="AU159" t="s">
        <v>200</v>
      </c>
      <c r="AV159" s="3"/>
      <c r="AW159" t="str">
        <f t="shared" si="8"/>
        <v>No scrap rate (No impact);</v>
      </c>
    </row>
    <row r="160" spans="1:49" x14ac:dyDescent="0.3">
      <c r="A160" t="s">
        <v>583</v>
      </c>
      <c r="B160" t="s">
        <v>584</v>
      </c>
      <c r="C160" t="s">
        <v>212</v>
      </c>
      <c r="D160" t="s">
        <v>213</v>
      </c>
      <c r="E160" t="s">
        <v>493</v>
      </c>
      <c r="F160" t="s">
        <v>494</v>
      </c>
      <c r="G160">
        <v>6</v>
      </c>
      <c r="H160">
        <v>0.13200000000000001</v>
      </c>
      <c r="I160" t="s">
        <v>198</v>
      </c>
      <c r="J160">
        <v>0.73199999999999998</v>
      </c>
      <c r="K160" t="s">
        <v>198</v>
      </c>
      <c r="L160" t="s">
        <v>199</v>
      </c>
      <c r="M160" s="3"/>
      <c r="R160" t="s">
        <v>200</v>
      </c>
      <c r="S160" s="25"/>
      <c r="T160" s="26"/>
      <c r="U160" s="27"/>
      <c r="V160" t="s">
        <v>25</v>
      </c>
      <c r="W160" t="s">
        <v>201</v>
      </c>
      <c r="X160" s="3"/>
      <c r="AC160" t="s">
        <v>202</v>
      </c>
      <c r="AF160" t="s">
        <v>203</v>
      </c>
      <c r="AK160" t="s">
        <v>200</v>
      </c>
      <c r="AM160" s="25"/>
      <c r="AO160" s="25">
        <v>0</v>
      </c>
      <c r="AP160" s="26"/>
      <c r="AQ160" s="26"/>
      <c r="AR160" s="26"/>
      <c r="AS160" s="26" t="str">
        <f t="shared" si="6"/>
        <v/>
      </c>
      <c r="AT160" t="str">
        <f t="shared" si="7"/>
        <v/>
      </c>
      <c r="AU160" t="s">
        <v>200</v>
      </c>
      <c r="AV160" s="3"/>
      <c r="AW160" t="str">
        <f t="shared" si="8"/>
        <v>No scrap rate (No impact);</v>
      </c>
    </row>
    <row r="161" spans="1:49" x14ac:dyDescent="0.3">
      <c r="A161" t="s">
        <v>585</v>
      </c>
      <c r="B161" t="s">
        <v>586</v>
      </c>
      <c r="C161" t="s">
        <v>212</v>
      </c>
      <c r="D161" t="s">
        <v>213</v>
      </c>
      <c r="E161" t="s">
        <v>493</v>
      </c>
      <c r="F161" t="s">
        <v>494</v>
      </c>
      <c r="G161">
        <v>12</v>
      </c>
      <c r="H161">
        <v>0.08</v>
      </c>
      <c r="I161" t="s">
        <v>198</v>
      </c>
      <c r="J161">
        <v>0.106</v>
      </c>
      <c r="K161" t="s">
        <v>198</v>
      </c>
      <c r="L161" t="s">
        <v>199</v>
      </c>
      <c r="M161" s="3"/>
      <c r="R161" t="s">
        <v>200</v>
      </c>
      <c r="S161" s="25"/>
      <c r="T161" s="26"/>
      <c r="U161" s="27"/>
      <c r="V161" t="s">
        <v>25</v>
      </c>
      <c r="W161" t="s">
        <v>201</v>
      </c>
      <c r="X161" s="3"/>
      <c r="AC161" t="s">
        <v>202</v>
      </c>
      <c r="AF161" t="s">
        <v>203</v>
      </c>
      <c r="AK161" t="s">
        <v>200</v>
      </c>
      <c r="AM161" s="25"/>
      <c r="AO161" s="25">
        <v>0</v>
      </c>
      <c r="AP161" s="26"/>
      <c r="AQ161" s="26"/>
      <c r="AR161" s="26"/>
      <c r="AS161" s="26" t="str">
        <f t="shared" si="6"/>
        <v/>
      </c>
      <c r="AT161" t="str">
        <f t="shared" si="7"/>
        <v/>
      </c>
      <c r="AU161" t="s">
        <v>200</v>
      </c>
      <c r="AV161" s="3"/>
      <c r="AW161" t="str">
        <f t="shared" si="8"/>
        <v>No scrap rate (No impact);</v>
      </c>
    </row>
    <row r="162" spans="1:49" x14ac:dyDescent="0.3">
      <c r="A162" t="s">
        <v>587</v>
      </c>
      <c r="B162" t="s">
        <v>588</v>
      </c>
      <c r="C162" t="s">
        <v>212</v>
      </c>
      <c r="D162" t="s">
        <v>213</v>
      </c>
      <c r="E162" t="s">
        <v>493</v>
      </c>
      <c r="F162" t="s">
        <v>494</v>
      </c>
      <c r="G162">
        <v>12</v>
      </c>
      <c r="H162">
        <v>0.15</v>
      </c>
      <c r="I162" t="s">
        <v>198</v>
      </c>
      <c r="J162">
        <v>0.17599999999999999</v>
      </c>
      <c r="K162" t="s">
        <v>198</v>
      </c>
      <c r="L162" t="s">
        <v>199</v>
      </c>
      <c r="M162" s="3"/>
      <c r="R162" t="s">
        <v>200</v>
      </c>
      <c r="S162" s="25"/>
      <c r="T162" s="26"/>
      <c r="U162" s="27"/>
      <c r="V162" t="s">
        <v>25</v>
      </c>
      <c r="W162" t="s">
        <v>201</v>
      </c>
      <c r="X162" s="3"/>
      <c r="AC162" t="s">
        <v>202</v>
      </c>
      <c r="AF162" t="s">
        <v>203</v>
      </c>
      <c r="AK162" t="s">
        <v>200</v>
      </c>
      <c r="AM162" s="25"/>
      <c r="AO162" s="25">
        <v>0</v>
      </c>
      <c r="AP162" s="26"/>
      <c r="AQ162" s="26"/>
      <c r="AR162" s="26"/>
      <c r="AS162" s="26" t="str">
        <f t="shared" si="6"/>
        <v/>
      </c>
      <c r="AT162" t="str">
        <f t="shared" si="7"/>
        <v/>
      </c>
      <c r="AU162" t="s">
        <v>200</v>
      </c>
      <c r="AV162" s="3"/>
      <c r="AW162" t="str">
        <f t="shared" si="8"/>
        <v>No scrap rate (No impact);</v>
      </c>
    </row>
    <row r="163" spans="1:49" x14ac:dyDescent="0.3">
      <c r="A163" t="s">
        <v>589</v>
      </c>
      <c r="B163" t="s">
        <v>590</v>
      </c>
      <c r="C163" t="s">
        <v>212</v>
      </c>
      <c r="D163" t="s">
        <v>213</v>
      </c>
      <c r="E163" t="s">
        <v>493</v>
      </c>
      <c r="F163" t="s">
        <v>494</v>
      </c>
      <c r="G163">
        <v>12</v>
      </c>
      <c r="H163">
        <v>0.13</v>
      </c>
      <c r="I163" t="s">
        <v>198</v>
      </c>
      <c r="J163">
        <v>0.13</v>
      </c>
      <c r="K163" t="s">
        <v>198</v>
      </c>
      <c r="L163" t="s">
        <v>199</v>
      </c>
      <c r="M163" s="3"/>
      <c r="R163" t="s">
        <v>200</v>
      </c>
      <c r="S163" s="25"/>
      <c r="T163" s="26"/>
      <c r="U163" s="27"/>
      <c r="V163" t="s">
        <v>25</v>
      </c>
      <c r="W163" t="s">
        <v>201</v>
      </c>
      <c r="X163" s="3"/>
      <c r="AC163" t="s">
        <v>202</v>
      </c>
      <c r="AF163" t="s">
        <v>203</v>
      </c>
      <c r="AK163" t="s">
        <v>200</v>
      </c>
      <c r="AM163" s="25"/>
      <c r="AO163" s="25">
        <v>0</v>
      </c>
      <c r="AP163" s="26"/>
      <c r="AQ163" s="26"/>
      <c r="AR163" s="26"/>
      <c r="AS163" s="26" t="str">
        <f t="shared" si="6"/>
        <v/>
      </c>
      <c r="AT163" t="str">
        <f t="shared" si="7"/>
        <v/>
      </c>
      <c r="AU163" t="s">
        <v>200</v>
      </c>
      <c r="AV163" s="3"/>
      <c r="AW163" t="str">
        <f t="shared" si="8"/>
        <v>No scrap rate (No impact);</v>
      </c>
    </row>
    <row r="164" spans="1:49" x14ac:dyDescent="0.3">
      <c r="A164" t="s">
        <v>591</v>
      </c>
      <c r="B164" t="s">
        <v>592</v>
      </c>
      <c r="C164" t="s">
        <v>194</v>
      </c>
      <c r="D164" t="s">
        <v>195</v>
      </c>
      <c r="E164" t="s">
        <v>196</v>
      </c>
      <c r="F164" t="s">
        <v>197</v>
      </c>
      <c r="G164">
        <v>12</v>
      </c>
      <c r="H164">
        <v>0.75</v>
      </c>
      <c r="I164" t="s">
        <v>198</v>
      </c>
      <c r="J164">
        <v>0.82199999999999995</v>
      </c>
      <c r="K164" t="s">
        <v>198</v>
      </c>
      <c r="L164" t="s">
        <v>199</v>
      </c>
      <c r="M164" s="3"/>
      <c r="R164" t="s">
        <v>200</v>
      </c>
      <c r="S164" s="25"/>
      <c r="T164" s="26"/>
      <c r="U164" s="27"/>
      <c r="V164" t="s">
        <v>25</v>
      </c>
      <c r="W164" t="s">
        <v>201</v>
      </c>
      <c r="X164" s="3"/>
      <c r="AC164" t="s">
        <v>202</v>
      </c>
      <c r="AF164" t="s">
        <v>203</v>
      </c>
      <c r="AK164" t="s">
        <v>200</v>
      </c>
      <c r="AM164" s="25"/>
      <c r="AO164" s="25">
        <v>0</v>
      </c>
      <c r="AP164" s="26"/>
      <c r="AQ164" s="26"/>
      <c r="AR164" s="26"/>
      <c r="AS164" s="26" t="str">
        <f t="shared" si="6"/>
        <v/>
      </c>
      <c r="AT164" t="str">
        <f t="shared" si="7"/>
        <v/>
      </c>
      <c r="AU164" t="s">
        <v>200</v>
      </c>
      <c r="AV164" s="3"/>
      <c r="AW164" t="str">
        <f t="shared" si="8"/>
        <v>No scrap rate (No impact);</v>
      </c>
    </row>
    <row r="165" spans="1:49" x14ac:dyDescent="0.3">
      <c r="A165" t="s">
        <v>593</v>
      </c>
      <c r="B165" t="s">
        <v>594</v>
      </c>
      <c r="C165" t="s">
        <v>194</v>
      </c>
      <c r="D165" t="s">
        <v>195</v>
      </c>
      <c r="E165" t="s">
        <v>595</v>
      </c>
      <c r="F165" t="s">
        <v>596</v>
      </c>
      <c r="G165">
        <v>8</v>
      </c>
      <c r="H165">
        <v>0.1</v>
      </c>
      <c r="I165" t="s">
        <v>198</v>
      </c>
      <c r="J165">
        <v>0.16</v>
      </c>
      <c r="K165" t="s">
        <v>198</v>
      </c>
      <c r="L165" t="s">
        <v>199</v>
      </c>
      <c r="M165" s="3"/>
      <c r="R165" t="s">
        <v>200</v>
      </c>
      <c r="S165" s="25"/>
      <c r="T165" s="26"/>
      <c r="U165" s="27"/>
      <c r="V165" t="s">
        <v>25</v>
      </c>
      <c r="W165" t="s">
        <v>201</v>
      </c>
      <c r="X165" s="3"/>
      <c r="AC165" t="s">
        <v>202</v>
      </c>
      <c r="AF165" t="s">
        <v>203</v>
      </c>
      <c r="AK165" t="s">
        <v>200</v>
      </c>
      <c r="AM165" s="25"/>
      <c r="AO165" s="25">
        <v>0</v>
      </c>
      <c r="AP165" s="26"/>
      <c r="AQ165" s="26"/>
      <c r="AR165" s="26"/>
      <c r="AS165" s="26" t="str">
        <f t="shared" si="6"/>
        <v/>
      </c>
      <c r="AT165" t="str">
        <f t="shared" si="7"/>
        <v/>
      </c>
      <c r="AU165" t="s">
        <v>200</v>
      </c>
      <c r="AV165" s="3"/>
      <c r="AW165" t="str">
        <f t="shared" si="8"/>
        <v>No scrap rate (No impact);</v>
      </c>
    </row>
    <row r="166" spans="1:49" x14ac:dyDescent="0.3">
      <c r="A166" t="s">
        <v>597</v>
      </c>
      <c r="B166" t="s">
        <v>598</v>
      </c>
      <c r="C166" t="s">
        <v>212</v>
      </c>
      <c r="D166" t="s">
        <v>213</v>
      </c>
      <c r="E166" t="s">
        <v>288</v>
      </c>
      <c r="F166" t="s">
        <v>289</v>
      </c>
      <c r="G166">
        <v>12</v>
      </c>
      <c r="H166">
        <v>1.7999999999999999E-2</v>
      </c>
      <c r="I166" t="s">
        <v>198</v>
      </c>
      <c r="J166">
        <v>0.2</v>
      </c>
      <c r="K166" t="s">
        <v>198</v>
      </c>
      <c r="L166" t="s">
        <v>199</v>
      </c>
      <c r="M166" s="3"/>
      <c r="R166" t="s">
        <v>200</v>
      </c>
      <c r="S166" s="25"/>
      <c r="T166" s="26"/>
      <c r="U166" s="27"/>
      <c r="V166" t="s">
        <v>25</v>
      </c>
      <c r="W166" t="s">
        <v>201</v>
      </c>
      <c r="X166" s="3"/>
      <c r="AC166" t="s">
        <v>202</v>
      </c>
      <c r="AF166" t="s">
        <v>203</v>
      </c>
      <c r="AK166" t="s">
        <v>200</v>
      </c>
      <c r="AM166" s="25"/>
      <c r="AO166" s="25">
        <v>0</v>
      </c>
      <c r="AP166" s="26"/>
      <c r="AQ166" s="26"/>
      <c r="AR166" s="26"/>
      <c r="AS166" s="26" t="str">
        <f t="shared" si="6"/>
        <v/>
      </c>
      <c r="AT166" t="str">
        <f t="shared" si="7"/>
        <v/>
      </c>
      <c r="AU166" t="s">
        <v>200</v>
      </c>
      <c r="AV166" s="3"/>
      <c r="AW166" t="str">
        <f t="shared" si="8"/>
        <v>No scrap rate (No impact);</v>
      </c>
    </row>
    <row r="167" spans="1:49" x14ac:dyDescent="0.3">
      <c r="A167" t="s">
        <v>599</v>
      </c>
      <c r="B167" t="s">
        <v>600</v>
      </c>
      <c r="C167" t="s">
        <v>212</v>
      </c>
      <c r="D167" t="s">
        <v>213</v>
      </c>
      <c r="E167" t="s">
        <v>288</v>
      </c>
      <c r="F167" t="s">
        <v>289</v>
      </c>
      <c r="G167">
        <v>6</v>
      </c>
      <c r="H167">
        <v>0.376</v>
      </c>
      <c r="I167" t="s">
        <v>198</v>
      </c>
      <c r="J167">
        <v>0.42299999999999999</v>
      </c>
      <c r="K167" t="s">
        <v>198</v>
      </c>
      <c r="L167" t="s">
        <v>199</v>
      </c>
      <c r="M167" s="3"/>
      <c r="R167" t="s">
        <v>200</v>
      </c>
      <c r="S167" s="25"/>
      <c r="T167" s="26"/>
      <c r="U167" s="27"/>
      <c r="V167" t="s">
        <v>25</v>
      </c>
      <c r="W167" t="s">
        <v>201</v>
      </c>
      <c r="X167" s="3"/>
      <c r="AC167" t="s">
        <v>202</v>
      </c>
      <c r="AF167" t="s">
        <v>203</v>
      </c>
      <c r="AK167" t="s">
        <v>200</v>
      </c>
      <c r="AM167" s="25"/>
      <c r="AO167" s="25">
        <v>0</v>
      </c>
      <c r="AP167" s="26"/>
      <c r="AQ167" s="26"/>
      <c r="AR167" s="26"/>
      <c r="AS167" s="26" t="str">
        <f t="shared" si="6"/>
        <v/>
      </c>
      <c r="AT167" t="str">
        <f t="shared" si="7"/>
        <v/>
      </c>
      <c r="AU167" t="s">
        <v>200</v>
      </c>
      <c r="AV167" s="3"/>
      <c r="AW167" t="str">
        <f t="shared" si="8"/>
        <v>No scrap rate (No impact);</v>
      </c>
    </row>
    <row r="168" spans="1:49" x14ac:dyDescent="0.3">
      <c r="A168" t="s">
        <v>601</v>
      </c>
      <c r="B168" t="s">
        <v>602</v>
      </c>
      <c r="C168" t="s">
        <v>194</v>
      </c>
      <c r="D168" t="s">
        <v>195</v>
      </c>
      <c r="E168" t="s">
        <v>380</v>
      </c>
      <c r="F168" t="s">
        <v>381</v>
      </c>
      <c r="G168">
        <v>1</v>
      </c>
      <c r="H168">
        <v>20</v>
      </c>
      <c r="I168" t="s">
        <v>198</v>
      </c>
      <c r="J168">
        <v>20.100000000000001</v>
      </c>
      <c r="K168" t="s">
        <v>198</v>
      </c>
      <c r="L168" t="s">
        <v>199</v>
      </c>
      <c r="M168" s="3"/>
      <c r="R168" t="s">
        <v>200</v>
      </c>
      <c r="S168" s="25"/>
      <c r="T168" s="26"/>
      <c r="U168" s="27"/>
      <c r="V168" t="s">
        <v>25</v>
      </c>
      <c r="W168" t="s">
        <v>201</v>
      </c>
      <c r="X168" s="3"/>
      <c r="AC168" t="s">
        <v>202</v>
      </c>
      <c r="AF168" t="s">
        <v>203</v>
      </c>
      <c r="AK168" t="s">
        <v>200</v>
      </c>
      <c r="AM168" s="25"/>
      <c r="AO168" s="25">
        <v>0</v>
      </c>
      <c r="AP168" s="26"/>
      <c r="AQ168" s="26"/>
      <c r="AR168" s="26"/>
      <c r="AS168" s="26" t="str">
        <f t="shared" si="6"/>
        <v/>
      </c>
      <c r="AT168" t="str">
        <f t="shared" si="7"/>
        <v/>
      </c>
      <c r="AU168" t="s">
        <v>200</v>
      </c>
      <c r="AV168" s="3"/>
      <c r="AW168" t="str">
        <f t="shared" si="8"/>
        <v>No scrap rate (No impact);</v>
      </c>
    </row>
    <row r="169" spans="1:49" x14ac:dyDescent="0.3">
      <c r="A169" t="s">
        <v>603</v>
      </c>
      <c r="B169" t="s">
        <v>604</v>
      </c>
      <c r="C169" t="s">
        <v>194</v>
      </c>
      <c r="D169" t="s">
        <v>195</v>
      </c>
      <c r="E169" t="s">
        <v>380</v>
      </c>
      <c r="F169" t="s">
        <v>381</v>
      </c>
      <c r="G169">
        <v>1</v>
      </c>
      <c r="H169">
        <v>10</v>
      </c>
      <c r="I169" t="s">
        <v>198</v>
      </c>
      <c r="J169">
        <v>10.1</v>
      </c>
      <c r="K169" t="s">
        <v>198</v>
      </c>
      <c r="L169" t="s">
        <v>199</v>
      </c>
      <c r="M169" s="3"/>
      <c r="R169" t="s">
        <v>200</v>
      </c>
      <c r="S169" s="25"/>
      <c r="T169" s="26"/>
      <c r="U169" s="27"/>
      <c r="V169" t="s">
        <v>25</v>
      </c>
      <c r="W169" t="s">
        <v>201</v>
      </c>
      <c r="X169" s="3"/>
      <c r="AC169" t="s">
        <v>202</v>
      </c>
      <c r="AF169" t="s">
        <v>203</v>
      </c>
      <c r="AK169" t="s">
        <v>200</v>
      </c>
      <c r="AM169" s="25"/>
      <c r="AO169" s="25">
        <v>0</v>
      </c>
      <c r="AP169" s="26"/>
      <c r="AQ169" s="26"/>
      <c r="AR169" s="26"/>
      <c r="AS169" s="26" t="str">
        <f t="shared" si="6"/>
        <v/>
      </c>
      <c r="AT169" t="str">
        <f t="shared" si="7"/>
        <v/>
      </c>
      <c r="AU169" t="s">
        <v>200</v>
      </c>
      <c r="AV169" s="3"/>
      <c r="AW169" t="str">
        <f t="shared" si="8"/>
        <v>No scrap rate (No impact);</v>
      </c>
    </row>
    <row r="170" spans="1:49" x14ac:dyDescent="0.3">
      <c r="A170" t="s">
        <v>605</v>
      </c>
      <c r="B170" t="s">
        <v>606</v>
      </c>
      <c r="C170" t="s">
        <v>194</v>
      </c>
      <c r="D170" t="s">
        <v>195</v>
      </c>
      <c r="E170" t="s">
        <v>380</v>
      </c>
      <c r="F170" t="s">
        <v>381</v>
      </c>
      <c r="G170">
        <v>1</v>
      </c>
      <c r="H170">
        <v>15</v>
      </c>
      <c r="I170" t="s">
        <v>198</v>
      </c>
      <c r="J170">
        <v>15.2</v>
      </c>
      <c r="K170" t="s">
        <v>198</v>
      </c>
      <c r="L170" t="s">
        <v>199</v>
      </c>
      <c r="M170" s="3"/>
      <c r="R170" t="s">
        <v>200</v>
      </c>
      <c r="S170" s="25"/>
      <c r="T170" s="26"/>
      <c r="U170" s="27"/>
      <c r="V170" t="s">
        <v>25</v>
      </c>
      <c r="W170" t="s">
        <v>201</v>
      </c>
      <c r="X170" s="3"/>
      <c r="AC170" t="s">
        <v>202</v>
      </c>
      <c r="AF170" t="s">
        <v>203</v>
      </c>
      <c r="AK170" t="s">
        <v>200</v>
      </c>
      <c r="AM170" s="25"/>
      <c r="AO170" s="25">
        <v>0</v>
      </c>
      <c r="AP170" s="26"/>
      <c r="AQ170" s="26"/>
      <c r="AR170" s="26"/>
      <c r="AS170" s="26" t="str">
        <f t="shared" si="6"/>
        <v/>
      </c>
      <c r="AT170" t="str">
        <f t="shared" si="7"/>
        <v/>
      </c>
      <c r="AU170" t="s">
        <v>200</v>
      </c>
      <c r="AV170" s="3"/>
      <c r="AW170" t="str">
        <f t="shared" si="8"/>
        <v>No scrap rate (No impact);</v>
      </c>
    </row>
    <row r="171" spans="1:49" x14ac:dyDescent="0.3">
      <c r="A171" t="s">
        <v>607</v>
      </c>
      <c r="B171" t="s">
        <v>608</v>
      </c>
      <c r="C171" t="s">
        <v>194</v>
      </c>
      <c r="D171" t="s">
        <v>195</v>
      </c>
      <c r="E171" t="s">
        <v>380</v>
      </c>
      <c r="F171" t="s">
        <v>381</v>
      </c>
      <c r="G171">
        <v>1</v>
      </c>
      <c r="H171">
        <v>16.5</v>
      </c>
      <c r="I171" t="s">
        <v>198</v>
      </c>
      <c r="J171">
        <v>16.7</v>
      </c>
      <c r="K171" t="s">
        <v>198</v>
      </c>
      <c r="L171" t="s">
        <v>199</v>
      </c>
      <c r="M171" s="3"/>
      <c r="R171" t="s">
        <v>200</v>
      </c>
      <c r="S171" s="25"/>
      <c r="T171" s="26"/>
      <c r="U171" s="27"/>
      <c r="V171" t="s">
        <v>25</v>
      </c>
      <c r="W171" t="s">
        <v>201</v>
      </c>
      <c r="X171" s="3"/>
      <c r="AC171" t="s">
        <v>202</v>
      </c>
      <c r="AF171" t="s">
        <v>203</v>
      </c>
      <c r="AK171" t="s">
        <v>200</v>
      </c>
      <c r="AM171" s="25"/>
      <c r="AO171" s="25">
        <v>0</v>
      </c>
      <c r="AP171" s="26"/>
      <c r="AQ171" s="26"/>
      <c r="AR171" s="26"/>
      <c r="AS171" s="26" t="str">
        <f t="shared" si="6"/>
        <v/>
      </c>
      <c r="AT171" t="str">
        <f t="shared" si="7"/>
        <v/>
      </c>
      <c r="AU171" t="s">
        <v>200</v>
      </c>
      <c r="AV171" s="3"/>
      <c r="AW171" t="str">
        <f t="shared" si="8"/>
        <v>No scrap rate (No impact);</v>
      </c>
    </row>
    <row r="172" spans="1:49" x14ac:dyDescent="0.3">
      <c r="A172" t="s">
        <v>609</v>
      </c>
      <c r="B172" t="s">
        <v>610</v>
      </c>
      <c r="C172" t="s">
        <v>194</v>
      </c>
      <c r="D172" t="s">
        <v>195</v>
      </c>
      <c r="E172" t="s">
        <v>332</v>
      </c>
      <c r="F172" t="s">
        <v>333</v>
      </c>
      <c r="G172">
        <v>6</v>
      </c>
      <c r="H172">
        <v>4.45</v>
      </c>
      <c r="I172" t="s">
        <v>198</v>
      </c>
      <c r="J172">
        <v>4.47</v>
      </c>
      <c r="K172" t="s">
        <v>198</v>
      </c>
      <c r="L172" t="s">
        <v>199</v>
      </c>
      <c r="M172" s="3"/>
      <c r="R172" t="s">
        <v>200</v>
      </c>
      <c r="S172" s="25"/>
      <c r="T172" s="26"/>
      <c r="U172" s="27"/>
      <c r="V172" t="s">
        <v>25</v>
      </c>
      <c r="W172" t="s">
        <v>201</v>
      </c>
      <c r="X172" s="3"/>
      <c r="AC172" t="s">
        <v>202</v>
      </c>
      <c r="AF172" t="s">
        <v>203</v>
      </c>
      <c r="AK172" t="s">
        <v>200</v>
      </c>
      <c r="AM172" s="25"/>
      <c r="AO172" s="25">
        <v>0</v>
      </c>
      <c r="AP172" s="26"/>
      <c r="AQ172" s="26"/>
      <c r="AR172" s="26"/>
      <c r="AS172" s="26" t="str">
        <f t="shared" si="6"/>
        <v/>
      </c>
      <c r="AT172" t="str">
        <f t="shared" si="7"/>
        <v/>
      </c>
      <c r="AU172" t="s">
        <v>200</v>
      </c>
      <c r="AV172" s="3"/>
      <c r="AW172" t="str">
        <f t="shared" si="8"/>
        <v>No scrap rate (No impact);</v>
      </c>
    </row>
    <row r="173" spans="1:49" x14ac:dyDescent="0.3">
      <c r="A173" t="s">
        <v>611</v>
      </c>
      <c r="B173" t="s">
        <v>612</v>
      </c>
      <c r="C173" t="s">
        <v>194</v>
      </c>
      <c r="D173" t="s">
        <v>195</v>
      </c>
      <c r="E173" t="s">
        <v>332</v>
      </c>
      <c r="F173" t="s">
        <v>333</v>
      </c>
      <c r="G173">
        <v>6</v>
      </c>
      <c r="H173">
        <v>2.14</v>
      </c>
      <c r="I173" t="s">
        <v>198</v>
      </c>
      <c r="J173">
        <v>2.16</v>
      </c>
      <c r="K173" t="s">
        <v>198</v>
      </c>
      <c r="L173" t="s">
        <v>199</v>
      </c>
      <c r="M173" s="3"/>
      <c r="R173" t="s">
        <v>200</v>
      </c>
      <c r="S173" s="25"/>
      <c r="T173" s="26"/>
      <c r="U173" s="27"/>
      <c r="V173" t="s">
        <v>25</v>
      </c>
      <c r="W173" t="s">
        <v>201</v>
      </c>
      <c r="X173" s="3"/>
      <c r="AC173" t="s">
        <v>202</v>
      </c>
      <c r="AF173" t="s">
        <v>203</v>
      </c>
      <c r="AK173" t="s">
        <v>200</v>
      </c>
      <c r="AM173" s="25"/>
      <c r="AO173" s="25">
        <v>0</v>
      </c>
      <c r="AP173" s="26"/>
      <c r="AQ173" s="26"/>
      <c r="AR173" s="26"/>
      <c r="AS173" s="26" t="str">
        <f t="shared" si="6"/>
        <v/>
      </c>
      <c r="AT173" t="str">
        <f t="shared" si="7"/>
        <v/>
      </c>
      <c r="AU173" t="s">
        <v>200</v>
      </c>
      <c r="AV173" s="3"/>
      <c r="AW173" t="str">
        <f t="shared" si="8"/>
        <v>No scrap rate (No impact);</v>
      </c>
    </row>
    <row r="174" spans="1:49" x14ac:dyDescent="0.3">
      <c r="A174" t="s">
        <v>613</v>
      </c>
      <c r="B174" t="s">
        <v>614</v>
      </c>
      <c r="C174" t="s">
        <v>194</v>
      </c>
      <c r="D174" t="s">
        <v>195</v>
      </c>
      <c r="E174" t="s">
        <v>380</v>
      </c>
      <c r="F174" t="s">
        <v>381</v>
      </c>
      <c r="G174">
        <v>1</v>
      </c>
      <c r="H174">
        <v>11</v>
      </c>
      <c r="I174" t="s">
        <v>198</v>
      </c>
      <c r="J174">
        <v>11.2</v>
      </c>
      <c r="K174" t="s">
        <v>198</v>
      </c>
      <c r="L174" t="s">
        <v>199</v>
      </c>
      <c r="M174" s="3"/>
      <c r="R174" t="s">
        <v>200</v>
      </c>
      <c r="S174" s="25"/>
      <c r="T174" s="26"/>
      <c r="U174" s="27"/>
      <c r="V174" t="s">
        <v>25</v>
      </c>
      <c r="W174" t="s">
        <v>201</v>
      </c>
      <c r="X174" s="3"/>
      <c r="AC174" t="s">
        <v>202</v>
      </c>
      <c r="AF174" t="s">
        <v>203</v>
      </c>
      <c r="AK174" t="s">
        <v>200</v>
      </c>
      <c r="AM174" s="25"/>
      <c r="AO174" s="25">
        <v>0</v>
      </c>
      <c r="AP174" s="26"/>
      <c r="AQ174" s="26"/>
      <c r="AR174" s="26"/>
      <c r="AS174" s="26" t="str">
        <f t="shared" si="6"/>
        <v/>
      </c>
      <c r="AT174" t="str">
        <f t="shared" si="7"/>
        <v/>
      </c>
      <c r="AU174" t="s">
        <v>200</v>
      </c>
      <c r="AV174" s="3"/>
      <c r="AW174" t="str">
        <f t="shared" si="8"/>
        <v>No scrap rate (No impact);</v>
      </c>
    </row>
    <row r="175" spans="1:49" x14ac:dyDescent="0.3">
      <c r="A175" t="s">
        <v>615</v>
      </c>
      <c r="B175" t="s">
        <v>616</v>
      </c>
      <c r="C175" t="s">
        <v>194</v>
      </c>
      <c r="D175" t="s">
        <v>195</v>
      </c>
      <c r="E175" t="s">
        <v>380</v>
      </c>
      <c r="F175" t="s">
        <v>381</v>
      </c>
      <c r="G175">
        <v>1</v>
      </c>
      <c r="H175">
        <v>13.7</v>
      </c>
      <c r="I175" t="s">
        <v>198</v>
      </c>
      <c r="J175">
        <v>14</v>
      </c>
      <c r="K175" t="s">
        <v>198</v>
      </c>
      <c r="L175" t="s">
        <v>199</v>
      </c>
      <c r="M175" s="3"/>
      <c r="R175" t="s">
        <v>200</v>
      </c>
      <c r="S175" s="25"/>
      <c r="T175" s="26"/>
      <c r="U175" s="27"/>
      <c r="V175" t="s">
        <v>25</v>
      </c>
      <c r="W175" t="s">
        <v>201</v>
      </c>
      <c r="X175" s="3"/>
      <c r="AC175" t="s">
        <v>202</v>
      </c>
      <c r="AF175" t="s">
        <v>203</v>
      </c>
      <c r="AK175" t="s">
        <v>200</v>
      </c>
      <c r="AM175" s="25"/>
      <c r="AO175" s="25">
        <v>0</v>
      </c>
      <c r="AP175" s="26"/>
      <c r="AQ175" s="26"/>
      <c r="AR175" s="26"/>
      <c r="AS175" s="26" t="str">
        <f t="shared" si="6"/>
        <v/>
      </c>
      <c r="AT175" t="str">
        <f t="shared" si="7"/>
        <v/>
      </c>
      <c r="AU175" t="s">
        <v>200</v>
      </c>
      <c r="AV175" s="3"/>
      <c r="AW175" t="str">
        <f t="shared" si="8"/>
        <v>No scrap rate (No impact);</v>
      </c>
    </row>
    <row r="176" spans="1:49" x14ac:dyDescent="0.3">
      <c r="A176" t="s">
        <v>617</v>
      </c>
      <c r="B176" t="s">
        <v>618</v>
      </c>
      <c r="C176" t="s">
        <v>194</v>
      </c>
      <c r="D176" t="s">
        <v>195</v>
      </c>
      <c r="E176" t="s">
        <v>380</v>
      </c>
      <c r="F176" t="s">
        <v>381</v>
      </c>
      <c r="G176">
        <v>1</v>
      </c>
      <c r="H176">
        <v>18.8</v>
      </c>
      <c r="I176" t="s">
        <v>198</v>
      </c>
      <c r="J176">
        <v>19.100000000000001</v>
      </c>
      <c r="K176" t="s">
        <v>198</v>
      </c>
      <c r="L176" t="s">
        <v>199</v>
      </c>
      <c r="M176" s="3"/>
      <c r="R176" t="s">
        <v>200</v>
      </c>
      <c r="S176" s="25"/>
      <c r="T176" s="26"/>
      <c r="U176" s="27"/>
      <c r="V176" t="s">
        <v>25</v>
      </c>
      <c r="W176" t="s">
        <v>201</v>
      </c>
      <c r="X176" s="3"/>
      <c r="AC176" t="s">
        <v>202</v>
      </c>
      <c r="AF176" t="s">
        <v>203</v>
      </c>
      <c r="AK176" t="s">
        <v>200</v>
      </c>
      <c r="AM176" s="25"/>
      <c r="AO176" s="25">
        <v>0</v>
      </c>
      <c r="AP176" s="26"/>
      <c r="AQ176" s="26"/>
      <c r="AR176" s="26"/>
      <c r="AS176" s="26" t="str">
        <f t="shared" si="6"/>
        <v/>
      </c>
      <c r="AT176" t="str">
        <f t="shared" si="7"/>
        <v/>
      </c>
      <c r="AU176" t="s">
        <v>200</v>
      </c>
      <c r="AV176" s="3"/>
      <c r="AW176" t="str">
        <f t="shared" si="8"/>
        <v>No scrap rate (No impact);</v>
      </c>
    </row>
    <row r="177" spans="1:49" x14ac:dyDescent="0.3">
      <c r="A177" t="s">
        <v>619</v>
      </c>
      <c r="B177" t="s">
        <v>620</v>
      </c>
      <c r="C177" t="s">
        <v>194</v>
      </c>
      <c r="D177" t="s">
        <v>195</v>
      </c>
      <c r="E177" t="s">
        <v>380</v>
      </c>
      <c r="F177" t="s">
        <v>381</v>
      </c>
      <c r="G177">
        <v>1</v>
      </c>
      <c r="H177">
        <v>27.1</v>
      </c>
      <c r="I177" t="s">
        <v>198</v>
      </c>
      <c r="J177">
        <v>27.4</v>
      </c>
      <c r="K177" t="s">
        <v>198</v>
      </c>
      <c r="L177" t="s">
        <v>199</v>
      </c>
      <c r="M177" s="3"/>
      <c r="R177" t="s">
        <v>200</v>
      </c>
      <c r="S177" s="25"/>
      <c r="T177" s="26"/>
      <c r="U177" s="27"/>
      <c r="V177" t="s">
        <v>25</v>
      </c>
      <c r="W177" t="s">
        <v>201</v>
      </c>
      <c r="X177" s="3"/>
      <c r="AC177" t="s">
        <v>202</v>
      </c>
      <c r="AF177" t="s">
        <v>203</v>
      </c>
      <c r="AK177" t="s">
        <v>200</v>
      </c>
      <c r="AM177" s="25"/>
      <c r="AO177" s="25">
        <v>0</v>
      </c>
      <c r="AP177" s="26"/>
      <c r="AQ177" s="26"/>
      <c r="AR177" s="26"/>
      <c r="AS177" s="26" t="str">
        <f t="shared" si="6"/>
        <v/>
      </c>
      <c r="AT177" t="str">
        <f t="shared" si="7"/>
        <v/>
      </c>
      <c r="AU177" t="s">
        <v>200</v>
      </c>
      <c r="AV177" s="3"/>
      <c r="AW177" t="str">
        <f t="shared" si="8"/>
        <v>No scrap rate (No impact);</v>
      </c>
    </row>
    <row r="178" spans="1:49" x14ac:dyDescent="0.3">
      <c r="A178" t="s">
        <v>621</v>
      </c>
      <c r="B178" t="s">
        <v>622</v>
      </c>
      <c r="C178" t="s">
        <v>194</v>
      </c>
      <c r="D178" t="s">
        <v>195</v>
      </c>
      <c r="E178" t="s">
        <v>380</v>
      </c>
      <c r="F178" t="s">
        <v>381</v>
      </c>
      <c r="G178">
        <v>1</v>
      </c>
      <c r="H178">
        <v>16.399999999999999</v>
      </c>
      <c r="I178" t="s">
        <v>198</v>
      </c>
      <c r="J178">
        <v>16.7</v>
      </c>
      <c r="K178" t="s">
        <v>198</v>
      </c>
      <c r="L178" t="s">
        <v>199</v>
      </c>
      <c r="M178" s="3"/>
      <c r="R178" t="s">
        <v>200</v>
      </c>
      <c r="S178" s="25"/>
      <c r="T178" s="26"/>
      <c r="U178" s="27"/>
      <c r="V178" t="s">
        <v>25</v>
      </c>
      <c r="W178" t="s">
        <v>201</v>
      </c>
      <c r="X178" s="3"/>
      <c r="AC178" t="s">
        <v>202</v>
      </c>
      <c r="AF178" t="s">
        <v>203</v>
      </c>
      <c r="AK178" t="s">
        <v>200</v>
      </c>
      <c r="AM178" s="25"/>
      <c r="AO178" s="25">
        <v>0</v>
      </c>
      <c r="AP178" s="26"/>
      <c r="AQ178" s="26"/>
      <c r="AR178" s="26"/>
      <c r="AS178" s="26" t="str">
        <f t="shared" si="6"/>
        <v/>
      </c>
      <c r="AT178" t="str">
        <f t="shared" si="7"/>
        <v/>
      </c>
      <c r="AU178" t="s">
        <v>200</v>
      </c>
      <c r="AV178" s="3"/>
      <c r="AW178" t="str">
        <f t="shared" si="8"/>
        <v>No scrap rate (No impact);</v>
      </c>
    </row>
    <row r="179" spans="1:49" x14ac:dyDescent="0.3">
      <c r="A179" t="s">
        <v>623</v>
      </c>
      <c r="B179" t="s">
        <v>624</v>
      </c>
      <c r="C179" t="s">
        <v>194</v>
      </c>
      <c r="D179" t="s">
        <v>195</v>
      </c>
      <c r="E179" t="s">
        <v>380</v>
      </c>
      <c r="F179" t="s">
        <v>381</v>
      </c>
      <c r="G179">
        <v>1</v>
      </c>
      <c r="H179">
        <v>13.1</v>
      </c>
      <c r="I179" t="s">
        <v>198</v>
      </c>
      <c r="J179">
        <v>13.4</v>
      </c>
      <c r="K179" t="s">
        <v>198</v>
      </c>
      <c r="L179" t="s">
        <v>199</v>
      </c>
      <c r="M179" s="3"/>
      <c r="R179" t="s">
        <v>200</v>
      </c>
      <c r="S179" s="25"/>
      <c r="T179" s="26"/>
      <c r="U179" s="27"/>
      <c r="V179" t="s">
        <v>25</v>
      </c>
      <c r="W179" t="s">
        <v>201</v>
      </c>
      <c r="X179" s="3"/>
      <c r="AC179" t="s">
        <v>202</v>
      </c>
      <c r="AF179" t="s">
        <v>203</v>
      </c>
      <c r="AK179" t="s">
        <v>200</v>
      </c>
      <c r="AM179" s="25"/>
      <c r="AO179" s="25">
        <v>0</v>
      </c>
      <c r="AP179" s="26"/>
      <c r="AQ179" s="26"/>
      <c r="AR179" s="26"/>
      <c r="AS179" s="26" t="str">
        <f t="shared" si="6"/>
        <v/>
      </c>
      <c r="AT179" t="str">
        <f t="shared" si="7"/>
        <v/>
      </c>
      <c r="AU179" t="s">
        <v>200</v>
      </c>
      <c r="AV179" s="3"/>
      <c r="AW179" t="str">
        <f t="shared" si="8"/>
        <v>No scrap rate (No impact);</v>
      </c>
    </row>
    <row r="180" spans="1:49" x14ac:dyDescent="0.3">
      <c r="A180" t="s">
        <v>625</v>
      </c>
      <c r="B180" t="s">
        <v>626</v>
      </c>
      <c r="C180" t="s">
        <v>194</v>
      </c>
      <c r="D180" t="s">
        <v>195</v>
      </c>
      <c r="E180" t="s">
        <v>332</v>
      </c>
      <c r="F180" t="s">
        <v>333</v>
      </c>
      <c r="G180">
        <v>6</v>
      </c>
      <c r="H180">
        <v>5.25</v>
      </c>
      <c r="I180" t="s">
        <v>198</v>
      </c>
      <c r="J180">
        <v>5.27</v>
      </c>
      <c r="K180" t="s">
        <v>198</v>
      </c>
      <c r="L180" t="s">
        <v>199</v>
      </c>
      <c r="M180" s="3"/>
      <c r="R180" t="s">
        <v>200</v>
      </c>
      <c r="S180" s="25"/>
      <c r="T180" s="26"/>
      <c r="U180" s="27"/>
      <c r="V180" t="s">
        <v>25</v>
      </c>
      <c r="W180" t="s">
        <v>201</v>
      </c>
      <c r="X180" s="3"/>
      <c r="AC180" t="s">
        <v>202</v>
      </c>
      <c r="AF180" t="s">
        <v>203</v>
      </c>
      <c r="AK180" t="s">
        <v>200</v>
      </c>
      <c r="AM180" s="25"/>
      <c r="AO180" s="25">
        <v>0</v>
      </c>
      <c r="AP180" s="26"/>
      <c r="AQ180" s="26"/>
      <c r="AR180" s="26"/>
      <c r="AS180" s="26" t="str">
        <f t="shared" si="6"/>
        <v/>
      </c>
      <c r="AT180" t="str">
        <f t="shared" si="7"/>
        <v/>
      </c>
      <c r="AU180" t="s">
        <v>200</v>
      </c>
      <c r="AV180" s="3"/>
      <c r="AW180" t="str">
        <f t="shared" si="8"/>
        <v>No scrap rate (No impact);</v>
      </c>
    </row>
    <row r="181" spans="1:49" x14ac:dyDescent="0.3">
      <c r="A181" t="s">
        <v>627</v>
      </c>
      <c r="B181" t="s">
        <v>628</v>
      </c>
      <c r="C181" t="s">
        <v>194</v>
      </c>
      <c r="D181" t="s">
        <v>195</v>
      </c>
      <c r="E181" t="s">
        <v>380</v>
      </c>
      <c r="F181" t="s">
        <v>381</v>
      </c>
      <c r="G181">
        <v>1</v>
      </c>
      <c r="H181">
        <v>8.1159999999999997</v>
      </c>
      <c r="I181" t="s">
        <v>198</v>
      </c>
      <c r="J181">
        <v>8.31</v>
      </c>
      <c r="K181" t="s">
        <v>198</v>
      </c>
      <c r="L181" t="s">
        <v>199</v>
      </c>
      <c r="M181" s="3"/>
      <c r="R181" t="s">
        <v>200</v>
      </c>
      <c r="S181" s="25"/>
      <c r="T181" s="26"/>
      <c r="U181" s="27"/>
      <c r="V181" t="s">
        <v>25</v>
      </c>
      <c r="W181" t="s">
        <v>201</v>
      </c>
      <c r="X181" s="3"/>
      <c r="AC181" t="s">
        <v>202</v>
      </c>
      <c r="AF181" t="s">
        <v>203</v>
      </c>
      <c r="AK181" t="s">
        <v>200</v>
      </c>
      <c r="AM181" s="25"/>
      <c r="AO181" s="25">
        <v>0</v>
      </c>
      <c r="AP181" s="26"/>
      <c r="AQ181" s="26"/>
      <c r="AR181" s="26"/>
      <c r="AS181" s="26" t="str">
        <f t="shared" si="6"/>
        <v/>
      </c>
      <c r="AT181" t="str">
        <f t="shared" si="7"/>
        <v/>
      </c>
      <c r="AU181" t="s">
        <v>200</v>
      </c>
      <c r="AV181" s="3"/>
      <c r="AW181" t="str">
        <f t="shared" si="8"/>
        <v>No scrap rate (No impact);</v>
      </c>
    </row>
    <row r="182" spans="1:49" x14ac:dyDescent="0.3">
      <c r="A182" t="s">
        <v>629</v>
      </c>
      <c r="B182" t="s">
        <v>630</v>
      </c>
      <c r="C182" t="s">
        <v>194</v>
      </c>
      <c r="D182" t="s">
        <v>195</v>
      </c>
      <c r="E182" t="s">
        <v>332</v>
      </c>
      <c r="F182" t="s">
        <v>333</v>
      </c>
      <c r="G182">
        <v>6</v>
      </c>
      <c r="H182">
        <v>2.4300000000000002</v>
      </c>
      <c r="I182" t="s">
        <v>198</v>
      </c>
      <c r="J182">
        <v>2.4500000000000002</v>
      </c>
      <c r="K182" t="s">
        <v>198</v>
      </c>
      <c r="L182" t="s">
        <v>199</v>
      </c>
      <c r="M182" s="3"/>
      <c r="R182" t="s">
        <v>200</v>
      </c>
      <c r="S182" s="25"/>
      <c r="T182" s="26"/>
      <c r="U182" s="27"/>
      <c r="V182" t="s">
        <v>25</v>
      </c>
      <c r="W182" t="s">
        <v>201</v>
      </c>
      <c r="X182" s="3"/>
      <c r="AC182" t="s">
        <v>202</v>
      </c>
      <c r="AF182" t="s">
        <v>203</v>
      </c>
      <c r="AK182" t="s">
        <v>200</v>
      </c>
      <c r="AM182" s="25"/>
      <c r="AO182" s="25">
        <v>0</v>
      </c>
      <c r="AP182" s="26"/>
      <c r="AQ182" s="26"/>
      <c r="AR182" s="26"/>
      <c r="AS182" s="26" t="str">
        <f t="shared" si="6"/>
        <v/>
      </c>
      <c r="AT182" t="str">
        <f t="shared" si="7"/>
        <v/>
      </c>
      <c r="AU182" t="s">
        <v>200</v>
      </c>
      <c r="AV182" s="3"/>
      <c r="AW182" t="str">
        <f t="shared" si="8"/>
        <v>No scrap rate (No impact);</v>
      </c>
    </row>
    <row r="183" spans="1:49" x14ac:dyDescent="0.3">
      <c r="A183" t="s">
        <v>631</v>
      </c>
      <c r="B183" t="s">
        <v>632</v>
      </c>
      <c r="C183" t="s">
        <v>194</v>
      </c>
      <c r="D183" t="s">
        <v>195</v>
      </c>
      <c r="E183" t="s">
        <v>332</v>
      </c>
      <c r="F183" t="s">
        <v>333</v>
      </c>
      <c r="G183">
        <v>6</v>
      </c>
      <c r="H183">
        <v>2.3199999999999998</v>
      </c>
      <c r="I183" t="s">
        <v>198</v>
      </c>
      <c r="J183">
        <v>2.34</v>
      </c>
      <c r="K183" t="s">
        <v>198</v>
      </c>
      <c r="L183" t="s">
        <v>199</v>
      </c>
      <c r="M183" s="3"/>
      <c r="R183" t="s">
        <v>200</v>
      </c>
      <c r="S183" s="25"/>
      <c r="T183" s="26"/>
      <c r="U183" s="27"/>
      <c r="V183" t="s">
        <v>25</v>
      </c>
      <c r="W183" t="s">
        <v>201</v>
      </c>
      <c r="X183" s="3"/>
      <c r="AC183" t="s">
        <v>202</v>
      </c>
      <c r="AF183" t="s">
        <v>203</v>
      </c>
      <c r="AK183" t="s">
        <v>200</v>
      </c>
      <c r="AM183" s="25"/>
      <c r="AO183" s="25">
        <v>0</v>
      </c>
      <c r="AP183" s="26"/>
      <c r="AQ183" s="26"/>
      <c r="AR183" s="26"/>
      <c r="AS183" s="26" t="str">
        <f t="shared" si="6"/>
        <v/>
      </c>
      <c r="AT183" t="str">
        <f t="shared" si="7"/>
        <v/>
      </c>
      <c r="AU183" t="s">
        <v>200</v>
      </c>
      <c r="AV183" s="3"/>
      <c r="AW183" t="str">
        <f t="shared" si="8"/>
        <v>No scrap rate (No impact);</v>
      </c>
    </row>
    <row r="184" spans="1:49" x14ac:dyDescent="0.3">
      <c r="A184" t="s">
        <v>633</v>
      </c>
      <c r="B184" t="s">
        <v>634</v>
      </c>
      <c r="C184" t="s">
        <v>194</v>
      </c>
      <c r="D184" t="s">
        <v>195</v>
      </c>
      <c r="E184" t="s">
        <v>380</v>
      </c>
      <c r="F184" t="s">
        <v>381</v>
      </c>
      <c r="G184">
        <v>1</v>
      </c>
      <c r="H184">
        <v>21.065999999999999</v>
      </c>
      <c r="I184" t="s">
        <v>198</v>
      </c>
      <c r="J184">
        <v>21.134</v>
      </c>
      <c r="K184" t="s">
        <v>198</v>
      </c>
      <c r="L184" t="s">
        <v>199</v>
      </c>
      <c r="M184" s="3"/>
      <c r="R184" t="s">
        <v>200</v>
      </c>
      <c r="S184" s="25"/>
      <c r="T184" s="26"/>
      <c r="U184" s="27"/>
      <c r="V184" t="s">
        <v>25</v>
      </c>
      <c r="W184" t="s">
        <v>201</v>
      </c>
      <c r="X184" s="3"/>
      <c r="AC184" t="s">
        <v>202</v>
      </c>
      <c r="AF184" t="s">
        <v>203</v>
      </c>
      <c r="AK184" t="s">
        <v>200</v>
      </c>
      <c r="AM184" s="25"/>
      <c r="AO184" s="25">
        <v>0</v>
      </c>
      <c r="AP184" s="26"/>
      <c r="AQ184" s="26"/>
      <c r="AR184" s="26"/>
      <c r="AS184" s="26" t="str">
        <f t="shared" si="6"/>
        <v/>
      </c>
      <c r="AT184" t="str">
        <f t="shared" si="7"/>
        <v/>
      </c>
      <c r="AU184" t="s">
        <v>200</v>
      </c>
      <c r="AV184" s="3"/>
      <c r="AW184" t="str">
        <f t="shared" si="8"/>
        <v>No scrap rate (No impact);</v>
      </c>
    </row>
    <row r="185" spans="1:49" x14ac:dyDescent="0.3">
      <c r="A185" t="s">
        <v>635</v>
      </c>
      <c r="B185" t="s">
        <v>636</v>
      </c>
      <c r="C185" t="s">
        <v>194</v>
      </c>
      <c r="D185" t="s">
        <v>195</v>
      </c>
      <c r="E185" t="s">
        <v>380</v>
      </c>
      <c r="F185" t="s">
        <v>381</v>
      </c>
      <c r="G185">
        <v>1</v>
      </c>
      <c r="H185">
        <v>18.2</v>
      </c>
      <c r="I185" t="s">
        <v>198</v>
      </c>
      <c r="J185">
        <v>18.5</v>
      </c>
      <c r="K185" t="s">
        <v>198</v>
      </c>
      <c r="L185" t="s">
        <v>199</v>
      </c>
      <c r="M185" s="3"/>
      <c r="R185" t="s">
        <v>200</v>
      </c>
      <c r="S185" s="25"/>
      <c r="T185" s="26"/>
      <c r="U185" s="27"/>
      <c r="V185" t="s">
        <v>25</v>
      </c>
      <c r="W185" t="s">
        <v>201</v>
      </c>
      <c r="X185" s="3"/>
      <c r="AC185" t="s">
        <v>202</v>
      </c>
      <c r="AF185" t="s">
        <v>203</v>
      </c>
      <c r="AK185" t="s">
        <v>200</v>
      </c>
      <c r="AM185" s="25"/>
      <c r="AO185" s="25">
        <v>0</v>
      </c>
      <c r="AP185" s="26"/>
      <c r="AQ185" s="26"/>
      <c r="AR185" s="26"/>
      <c r="AS185" s="26" t="str">
        <f t="shared" si="6"/>
        <v/>
      </c>
      <c r="AT185" t="str">
        <f t="shared" si="7"/>
        <v/>
      </c>
      <c r="AU185" t="s">
        <v>200</v>
      </c>
      <c r="AV185" s="3"/>
      <c r="AW185" t="str">
        <f t="shared" si="8"/>
        <v>No scrap rate (No impact);</v>
      </c>
    </row>
    <row r="186" spans="1:49" x14ac:dyDescent="0.3">
      <c r="A186" t="s">
        <v>637</v>
      </c>
      <c r="B186" t="s">
        <v>638</v>
      </c>
      <c r="C186" t="s">
        <v>194</v>
      </c>
      <c r="D186" t="s">
        <v>195</v>
      </c>
      <c r="E186" t="s">
        <v>380</v>
      </c>
      <c r="F186" t="s">
        <v>381</v>
      </c>
      <c r="G186">
        <v>1</v>
      </c>
      <c r="H186">
        <v>26</v>
      </c>
      <c r="I186" t="s">
        <v>198</v>
      </c>
      <c r="J186">
        <v>26.3</v>
      </c>
      <c r="K186" t="s">
        <v>198</v>
      </c>
      <c r="L186" t="s">
        <v>199</v>
      </c>
      <c r="M186" s="3"/>
      <c r="R186" t="s">
        <v>200</v>
      </c>
      <c r="S186" s="25"/>
      <c r="T186" s="26"/>
      <c r="U186" s="27"/>
      <c r="V186" t="s">
        <v>25</v>
      </c>
      <c r="W186" t="s">
        <v>201</v>
      </c>
      <c r="X186" s="3"/>
      <c r="AC186" t="s">
        <v>202</v>
      </c>
      <c r="AF186" t="s">
        <v>203</v>
      </c>
      <c r="AK186" t="s">
        <v>200</v>
      </c>
      <c r="AM186" s="25"/>
      <c r="AO186" s="25">
        <v>0</v>
      </c>
      <c r="AP186" s="26"/>
      <c r="AQ186" s="26"/>
      <c r="AR186" s="26"/>
      <c r="AS186" s="26" t="str">
        <f t="shared" si="6"/>
        <v/>
      </c>
      <c r="AT186" t="str">
        <f t="shared" si="7"/>
        <v/>
      </c>
      <c r="AU186" t="s">
        <v>200</v>
      </c>
      <c r="AV186" s="3"/>
      <c r="AW186" t="str">
        <f t="shared" si="8"/>
        <v>No scrap rate (No impact);</v>
      </c>
    </row>
    <row r="187" spans="1:49" x14ac:dyDescent="0.3">
      <c r="A187" t="s">
        <v>639</v>
      </c>
      <c r="B187" t="s">
        <v>640</v>
      </c>
      <c r="C187" t="s">
        <v>194</v>
      </c>
      <c r="D187" t="s">
        <v>195</v>
      </c>
      <c r="E187" t="s">
        <v>380</v>
      </c>
      <c r="F187" t="s">
        <v>381</v>
      </c>
      <c r="G187">
        <v>1</v>
      </c>
      <c r="H187">
        <v>20.9</v>
      </c>
      <c r="I187" t="s">
        <v>198</v>
      </c>
      <c r="J187">
        <v>21.2</v>
      </c>
      <c r="K187" t="s">
        <v>198</v>
      </c>
      <c r="L187" t="s">
        <v>199</v>
      </c>
      <c r="M187" s="3"/>
      <c r="R187" t="s">
        <v>200</v>
      </c>
      <c r="S187" s="25"/>
      <c r="T187" s="26"/>
      <c r="U187" s="27"/>
      <c r="V187" t="s">
        <v>25</v>
      </c>
      <c r="W187" t="s">
        <v>201</v>
      </c>
      <c r="X187" s="3"/>
      <c r="AC187" t="s">
        <v>202</v>
      </c>
      <c r="AF187" t="s">
        <v>203</v>
      </c>
      <c r="AK187" t="s">
        <v>200</v>
      </c>
      <c r="AM187" s="25"/>
      <c r="AO187" s="25">
        <v>0</v>
      </c>
      <c r="AP187" s="26"/>
      <c r="AQ187" s="26"/>
      <c r="AR187" s="26"/>
      <c r="AS187" s="26" t="str">
        <f t="shared" si="6"/>
        <v/>
      </c>
      <c r="AT187" t="str">
        <f t="shared" si="7"/>
        <v/>
      </c>
      <c r="AU187" t="s">
        <v>200</v>
      </c>
      <c r="AV187" s="3"/>
      <c r="AW187" t="str">
        <f t="shared" si="8"/>
        <v>No scrap rate (No impact);</v>
      </c>
    </row>
    <row r="188" spans="1:49" x14ac:dyDescent="0.3">
      <c r="A188" t="s">
        <v>641</v>
      </c>
      <c r="B188" t="s">
        <v>642</v>
      </c>
      <c r="C188" t="s">
        <v>194</v>
      </c>
      <c r="D188" t="s">
        <v>195</v>
      </c>
      <c r="E188" t="s">
        <v>332</v>
      </c>
      <c r="F188" t="s">
        <v>333</v>
      </c>
      <c r="G188">
        <v>6</v>
      </c>
      <c r="H188">
        <v>2.2000000000000002</v>
      </c>
      <c r="I188" t="s">
        <v>198</v>
      </c>
      <c r="J188">
        <v>2.2200000000000002</v>
      </c>
      <c r="K188" t="s">
        <v>198</v>
      </c>
      <c r="L188" t="s">
        <v>199</v>
      </c>
      <c r="M188" s="3"/>
      <c r="R188" t="s">
        <v>200</v>
      </c>
      <c r="S188" s="25"/>
      <c r="T188" s="26"/>
      <c r="U188" s="27"/>
      <c r="V188" t="s">
        <v>25</v>
      </c>
      <c r="W188" t="s">
        <v>201</v>
      </c>
      <c r="X188" s="3"/>
      <c r="AC188" t="s">
        <v>202</v>
      </c>
      <c r="AF188" t="s">
        <v>203</v>
      </c>
      <c r="AK188" t="s">
        <v>200</v>
      </c>
      <c r="AM188" s="25"/>
      <c r="AO188" s="25">
        <v>0</v>
      </c>
      <c r="AP188" s="26"/>
      <c r="AQ188" s="26"/>
      <c r="AR188" s="26"/>
      <c r="AS188" s="26" t="str">
        <f t="shared" si="6"/>
        <v/>
      </c>
      <c r="AT188" t="str">
        <f t="shared" si="7"/>
        <v/>
      </c>
      <c r="AU188" t="s">
        <v>200</v>
      </c>
      <c r="AV188" s="3"/>
      <c r="AW188" t="str">
        <f t="shared" si="8"/>
        <v>No scrap rate (No impact);</v>
      </c>
    </row>
    <row r="189" spans="1:49" x14ac:dyDescent="0.3">
      <c r="A189" t="s">
        <v>643</v>
      </c>
      <c r="B189" t="s">
        <v>644</v>
      </c>
      <c r="C189" t="s">
        <v>194</v>
      </c>
      <c r="D189" t="s">
        <v>195</v>
      </c>
      <c r="E189" t="s">
        <v>380</v>
      </c>
      <c r="F189" t="s">
        <v>381</v>
      </c>
      <c r="G189">
        <v>1</v>
      </c>
      <c r="H189">
        <v>14.8</v>
      </c>
      <c r="I189" t="s">
        <v>198</v>
      </c>
      <c r="J189">
        <v>15.1</v>
      </c>
      <c r="K189" t="s">
        <v>198</v>
      </c>
      <c r="L189" t="s">
        <v>199</v>
      </c>
      <c r="M189" s="3"/>
      <c r="R189" t="s">
        <v>200</v>
      </c>
      <c r="S189" s="25"/>
      <c r="T189" s="26"/>
      <c r="U189" s="27"/>
      <c r="V189" t="s">
        <v>25</v>
      </c>
      <c r="W189" t="s">
        <v>201</v>
      </c>
      <c r="X189" s="3"/>
      <c r="AC189" t="s">
        <v>202</v>
      </c>
      <c r="AF189" t="s">
        <v>203</v>
      </c>
      <c r="AK189" t="s">
        <v>200</v>
      </c>
      <c r="AM189" s="25"/>
      <c r="AO189" s="25">
        <v>0</v>
      </c>
      <c r="AP189" s="26"/>
      <c r="AQ189" s="26"/>
      <c r="AR189" s="26"/>
      <c r="AS189" s="26" t="str">
        <f t="shared" si="6"/>
        <v/>
      </c>
      <c r="AT189" t="str">
        <f t="shared" si="7"/>
        <v/>
      </c>
      <c r="AU189" t="s">
        <v>200</v>
      </c>
      <c r="AV189" s="3"/>
      <c r="AW189" t="str">
        <f t="shared" si="8"/>
        <v>No scrap rate (No impact);</v>
      </c>
    </row>
    <row r="190" spans="1:49" x14ac:dyDescent="0.3">
      <c r="A190" t="s">
        <v>645</v>
      </c>
      <c r="B190" t="s">
        <v>646</v>
      </c>
      <c r="C190" t="s">
        <v>194</v>
      </c>
      <c r="D190" t="s">
        <v>195</v>
      </c>
      <c r="E190" t="s">
        <v>332</v>
      </c>
      <c r="F190" t="s">
        <v>333</v>
      </c>
      <c r="G190">
        <v>8</v>
      </c>
      <c r="H190">
        <v>1.3</v>
      </c>
      <c r="I190" t="s">
        <v>198</v>
      </c>
      <c r="J190">
        <v>1.4</v>
      </c>
      <c r="K190" t="s">
        <v>198</v>
      </c>
      <c r="L190" t="s">
        <v>199</v>
      </c>
      <c r="M190" s="3"/>
      <c r="R190" t="s">
        <v>200</v>
      </c>
      <c r="S190" s="25"/>
      <c r="T190" s="26"/>
      <c r="U190" s="27"/>
      <c r="V190" t="s">
        <v>25</v>
      </c>
      <c r="W190" t="s">
        <v>201</v>
      </c>
      <c r="X190" s="3"/>
      <c r="AC190" t="s">
        <v>202</v>
      </c>
      <c r="AF190" t="s">
        <v>203</v>
      </c>
      <c r="AK190" t="s">
        <v>200</v>
      </c>
      <c r="AM190" s="25"/>
      <c r="AO190" s="25">
        <v>0</v>
      </c>
      <c r="AP190" s="26"/>
      <c r="AQ190" s="26"/>
      <c r="AR190" s="26"/>
      <c r="AS190" s="26" t="str">
        <f t="shared" si="6"/>
        <v/>
      </c>
      <c r="AT190" t="str">
        <f t="shared" si="7"/>
        <v/>
      </c>
      <c r="AU190" t="s">
        <v>200</v>
      </c>
      <c r="AV190" s="3"/>
      <c r="AW190" t="str">
        <f t="shared" si="8"/>
        <v>No scrap rate (No impact);</v>
      </c>
    </row>
    <row r="191" spans="1:49" x14ac:dyDescent="0.3">
      <c r="A191" t="s">
        <v>647</v>
      </c>
      <c r="B191" t="s">
        <v>648</v>
      </c>
      <c r="C191" t="s">
        <v>194</v>
      </c>
      <c r="D191" t="s">
        <v>195</v>
      </c>
      <c r="E191" t="s">
        <v>380</v>
      </c>
      <c r="F191" t="s">
        <v>381</v>
      </c>
      <c r="G191">
        <v>1</v>
      </c>
      <c r="H191">
        <v>15</v>
      </c>
      <c r="I191" t="s">
        <v>198</v>
      </c>
      <c r="J191">
        <v>15.3</v>
      </c>
      <c r="K191" t="s">
        <v>198</v>
      </c>
      <c r="L191" t="s">
        <v>199</v>
      </c>
      <c r="M191" s="3"/>
      <c r="R191" t="s">
        <v>200</v>
      </c>
      <c r="S191" s="25"/>
      <c r="T191" s="26"/>
      <c r="U191" s="27"/>
      <c r="V191" t="s">
        <v>25</v>
      </c>
      <c r="W191" t="s">
        <v>201</v>
      </c>
      <c r="X191" s="3"/>
      <c r="AC191" t="s">
        <v>202</v>
      </c>
      <c r="AF191" t="s">
        <v>203</v>
      </c>
      <c r="AK191" t="s">
        <v>200</v>
      </c>
      <c r="AM191" s="25"/>
      <c r="AO191" s="25">
        <v>0</v>
      </c>
      <c r="AP191" s="26"/>
      <c r="AQ191" s="26"/>
      <c r="AR191" s="26"/>
      <c r="AS191" s="26" t="str">
        <f t="shared" si="6"/>
        <v/>
      </c>
      <c r="AT191" t="str">
        <f t="shared" si="7"/>
        <v/>
      </c>
      <c r="AU191" t="s">
        <v>200</v>
      </c>
      <c r="AV191" s="3"/>
      <c r="AW191" t="str">
        <f t="shared" si="8"/>
        <v>No scrap rate (No impact);</v>
      </c>
    </row>
    <row r="192" spans="1:49" x14ac:dyDescent="0.3">
      <c r="A192" t="s">
        <v>649</v>
      </c>
      <c r="B192" t="s">
        <v>650</v>
      </c>
      <c r="C192" t="s">
        <v>194</v>
      </c>
      <c r="D192" t="s">
        <v>195</v>
      </c>
      <c r="E192" t="s">
        <v>332</v>
      </c>
      <c r="F192" t="s">
        <v>333</v>
      </c>
      <c r="G192">
        <v>6</v>
      </c>
      <c r="H192">
        <v>1.87</v>
      </c>
      <c r="I192" t="s">
        <v>198</v>
      </c>
      <c r="J192">
        <v>1.89</v>
      </c>
      <c r="K192" t="s">
        <v>198</v>
      </c>
      <c r="L192" t="s">
        <v>199</v>
      </c>
      <c r="M192" s="3"/>
      <c r="R192" t="s">
        <v>200</v>
      </c>
      <c r="S192" s="25"/>
      <c r="T192" s="26"/>
      <c r="U192" s="27"/>
      <c r="V192" t="s">
        <v>25</v>
      </c>
      <c r="W192" t="s">
        <v>201</v>
      </c>
      <c r="X192" s="3"/>
      <c r="AC192" t="s">
        <v>202</v>
      </c>
      <c r="AF192" t="s">
        <v>203</v>
      </c>
      <c r="AK192" t="s">
        <v>200</v>
      </c>
      <c r="AM192" s="25"/>
      <c r="AO192" s="25">
        <v>0</v>
      </c>
      <c r="AP192" s="26"/>
      <c r="AQ192" s="26"/>
      <c r="AR192" s="26"/>
      <c r="AS192" s="26" t="str">
        <f t="shared" si="6"/>
        <v/>
      </c>
      <c r="AT192" t="str">
        <f t="shared" si="7"/>
        <v/>
      </c>
      <c r="AU192" t="s">
        <v>200</v>
      </c>
      <c r="AV192" s="3"/>
      <c r="AW192" t="str">
        <f t="shared" si="8"/>
        <v>No scrap rate (No impact);</v>
      </c>
    </row>
    <row r="193" spans="1:49" x14ac:dyDescent="0.3">
      <c r="A193" t="s">
        <v>651</v>
      </c>
      <c r="B193" t="s">
        <v>652</v>
      </c>
      <c r="C193" t="s">
        <v>194</v>
      </c>
      <c r="D193" t="s">
        <v>195</v>
      </c>
      <c r="E193" t="s">
        <v>380</v>
      </c>
      <c r="F193" t="s">
        <v>381</v>
      </c>
      <c r="G193">
        <v>1</v>
      </c>
      <c r="H193">
        <v>13</v>
      </c>
      <c r="I193" t="s">
        <v>198</v>
      </c>
      <c r="J193">
        <v>13.3</v>
      </c>
      <c r="K193" t="s">
        <v>198</v>
      </c>
      <c r="L193" t="s">
        <v>199</v>
      </c>
      <c r="M193" s="3"/>
      <c r="R193" t="s">
        <v>200</v>
      </c>
      <c r="S193" s="25"/>
      <c r="T193" s="26"/>
      <c r="U193" s="27"/>
      <c r="V193" t="s">
        <v>25</v>
      </c>
      <c r="W193" t="s">
        <v>201</v>
      </c>
      <c r="X193" s="3"/>
      <c r="AC193" t="s">
        <v>202</v>
      </c>
      <c r="AF193" t="s">
        <v>203</v>
      </c>
      <c r="AK193" t="s">
        <v>200</v>
      </c>
      <c r="AM193" s="25"/>
      <c r="AO193" s="25">
        <v>0</v>
      </c>
      <c r="AP193" s="26"/>
      <c r="AQ193" s="26"/>
      <c r="AR193" s="26"/>
      <c r="AS193" s="26" t="str">
        <f t="shared" si="6"/>
        <v/>
      </c>
      <c r="AT193" t="str">
        <f t="shared" si="7"/>
        <v/>
      </c>
      <c r="AU193" t="s">
        <v>200</v>
      </c>
      <c r="AV193" s="3"/>
      <c r="AW193" t="str">
        <f t="shared" si="8"/>
        <v>No scrap rate (No impact);</v>
      </c>
    </row>
    <row r="194" spans="1:49" x14ac:dyDescent="0.3">
      <c r="A194" t="s">
        <v>653</v>
      </c>
      <c r="B194" t="s">
        <v>654</v>
      </c>
      <c r="C194" t="s">
        <v>194</v>
      </c>
      <c r="D194" t="s">
        <v>195</v>
      </c>
      <c r="E194" t="s">
        <v>332</v>
      </c>
      <c r="F194" t="s">
        <v>333</v>
      </c>
      <c r="G194">
        <v>6</v>
      </c>
      <c r="H194">
        <v>1.93</v>
      </c>
      <c r="I194" t="s">
        <v>198</v>
      </c>
      <c r="J194">
        <v>1.95</v>
      </c>
      <c r="K194" t="s">
        <v>198</v>
      </c>
      <c r="L194" t="s">
        <v>199</v>
      </c>
      <c r="M194" s="3"/>
      <c r="R194" t="s">
        <v>200</v>
      </c>
      <c r="S194" s="25"/>
      <c r="T194" s="26"/>
      <c r="U194" s="27"/>
      <c r="V194" t="s">
        <v>25</v>
      </c>
      <c r="W194" t="s">
        <v>201</v>
      </c>
      <c r="X194" s="3"/>
      <c r="AC194" t="s">
        <v>202</v>
      </c>
      <c r="AF194" t="s">
        <v>203</v>
      </c>
      <c r="AK194" t="s">
        <v>200</v>
      </c>
      <c r="AM194" s="25"/>
      <c r="AO194" s="25">
        <v>0</v>
      </c>
      <c r="AP194" s="26"/>
      <c r="AQ194" s="26"/>
      <c r="AR194" s="26"/>
      <c r="AS194" s="26" t="str">
        <f t="shared" si="6"/>
        <v/>
      </c>
      <c r="AT194" t="str">
        <f t="shared" si="7"/>
        <v/>
      </c>
      <c r="AU194" t="s">
        <v>200</v>
      </c>
      <c r="AV194" s="3"/>
      <c r="AW194" t="str">
        <f t="shared" si="8"/>
        <v>No scrap rate (No impact);</v>
      </c>
    </row>
    <row r="195" spans="1:49" x14ac:dyDescent="0.3">
      <c r="A195" t="s">
        <v>655</v>
      </c>
      <c r="B195" t="s">
        <v>656</v>
      </c>
      <c r="C195" t="s">
        <v>194</v>
      </c>
      <c r="D195" t="s">
        <v>195</v>
      </c>
      <c r="E195" t="s">
        <v>380</v>
      </c>
      <c r="F195" t="s">
        <v>381</v>
      </c>
      <c r="G195">
        <v>1</v>
      </c>
      <c r="H195">
        <v>15.3</v>
      </c>
      <c r="I195" t="s">
        <v>198</v>
      </c>
      <c r="J195">
        <v>15.6</v>
      </c>
      <c r="K195" t="s">
        <v>198</v>
      </c>
      <c r="L195" t="s">
        <v>199</v>
      </c>
      <c r="M195" s="3"/>
      <c r="R195" t="s">
        <v>200</v>
      </c>
      <c r="S195" s="25"/>
      <c r="T195" s="26"/>
      <c r="U195" s="27"/>
      <c r="V195" t="s">
        <v>25</v>
      </c>
      <c r="W195" t="s">
        <v>201</v>
      </c>
      <c r="X195" s="3"/>
      <c r="AC195" t="s">
        <v>202</v>
      </c>
      <c r="AF195" t="s">
        <v>203</v>
      </c>
      <c r="AK195" t="s">
        <v>200</v>
      </c>
      <c r="AM195" s="25"/>
      <c r="AO195" s="25">
        <v>0</v>
      </c>
      <c r="AP195" s="26"/>
      <c r="AQ195" s="26"/>
      <c r="AR195" s="26"/>
      <c r="AS195" s="26" t="str">
        <f t="shared" ref="AS195:AS258" si="9">IF(COUNT(AP195,AQ195,AR195)=0,"",ROUND(AVERAGE(AP195,AQ195,AR195),3))</f>
        <v/>
      </c>
      <c r="AT195" t="str">
        <f t="shared" ref="AT195:AT219" si="10">IF(AJ195="","",ROUND(AJ195*IF(H195="",0,H195)*(1+IF(AM195="",0,AM195)),5))</f>
        <v/>
      </c>
      <c r="AU195" t="s">
        <v>200</v>
      </c>
      <c r="AV195" s="3"/>
      <c r="AW195" t="str">
        <f t="shared" ref="AW195:AW219" si="11">IF(AND(A195&lt;&gt;"",E195=""),"Supplier code empty (High);","")&amp;IF(AND(S195&lt;&gt;"",OR(S195&gt;1,S195&lt;0)),"Incorrect PDS value (High);",IF(AND(S195&lt;&gt;"",S195&gt;0.5),"High PDS value (Medium);",""))&amp;IF(AND(T195&lt;&gt;"",OR(T195&gt;5,T195&lt;1)),"Incorrect DQR value (High);",IF(AND(T195&lt;&gt;"",T195&gt;4),"Incorrect DQR value (Medium);",IF(AND(T195&lt;&gt;"",T195&gt;3),"Incorrect DQR value (Low);","")))&amp;IF(AND(Q195&lt;&gt;"",OR(Q195&lt;=0,Q195&gt;100)),"Unusual PCF value might be wrong (High);","")&amp;IF(AND(AO195&lt;&gt;"",OR(AO195&gt;1,AO195&lt;0)),"Incorrect PDS value (High);",IF(AND(AO195&lt;&gt;"",AO195&gt;0.5),"High PDS value (Medium);",""))&amp;IF(AND(AS195&lt;&gt;"",OR(AS195&gt;5,AS195&lt;1)),"Incorrect DQR value (High);",IF(AND(AS195&lt;&gt;"",AS195&gt;4),"Incorrect DQR value (Medium);",IF(AND(AS195&lt;&gt;"",AS195&gt;3),"Incorrect DQR value (Low);","")))&amp;IF(AND(AM195&lt;&gt;"",OR(AM195&gt;1,AM195&lt;0)),"Incorrect scrap rate (High);",IF(AND(A195&lt;&gt;"",AM195=0),"No scrap rate (No impact);",""))&amp;""</f>
        <v>No scrap rate (No impact);</v>
      </c>
    </row>
    <row r="196" spans="1:49" x14ac:dyDescent="0.3">
      <c r="A196" t="s">
        <v>657</v>
      </c>
      <c r="B196" t="s">
        <v>658</v>
      </c>
      <c r="C196" t="s">
        <v>194</v>
      </c>
      <c r="D196" t="s">
        <v>195</v>
      </c>
      <c r="E196" t="s">
        <v>380</v>
      </c>
      <c r="F196" t="s">
        <v>381</v>
      </c>
      <c r="G196">
        <v>1</v>
      </c>
      <c r="H196">
        <v>30.9</v>
      </c>
      <c r="I196" t="s">
        <v>198</v>
      </c>
      <c r="J196">
        <v>31.2</v>
      </c>
      <c r="K196" t="s">
        <v>198</v>
      </c>
      <c r="L196" t="s">
        <v>199</v>
      </c>
      <c r="M196" s="3"/>
      <c r="R196" t="s">
        <v>200</v>
      </c>
      <c r="S196" s="25"/>
      <c r="T196" s="26"/>
      <c r="U196" s="27"/>
      <c r="V196" t="s">
        <v>25</v>
      </c>
      <c r="W196" t="s">
        <v>201</v>
      </c>
      <c r="X196" s="3"/>
      <c r="AC196" t="s">
        <v>202</v>
      </c>
      <c r="AF196" t="s">
        <v>203</v>
      </c>
      <c r="AK196" t="s">
        <v>200</v>
      </c>
      <c r="AM196" s="25"/>
      <c r="AO196" s="25">
        <v>0</v>
      </c>
      <c r="AP196" s="26"/>
      <c r="AQ196" s="26"/>
      <c r="AR196" s="26"/>
      <c r="AS196" s="26" t="str">
        <f t="shared" si="9"/>
        <v/>
      </c>
      <c r="AT196" t="str">
        <f t="shared" si="10"/>
        <v/>
      </c>
      <c r="AU196" t="s">
        <v>200</v>
      </c>
      <c r="AV196" s="3"/>
      <c r="AW196" t="str">
        <f t="shared" si="11"/>
        <v>No scrap rate (No impact);</v>
      </c>
    </row>
    <row r="197" spans="1:49" x14ac:dyDescent="0.3">
      <c r="A197" t="s">
        <v>659</v>
      </c>
      <c r="B197" t="s">
        <v>660</v>
      </c>
      <c r="C197" t="s">
        <v>194</v>
      </c>
      <c r="D197" t="s">
        <v>195</v>
      </c>
      <c r="E197" t="s">
        <v>196</v>
      </c>
      <c r="F197" t="s">
        <v>197</v>
      </c>
      <c r="G197">
        <v>12</v>
      </c>
      <c r="H197">
        <v>0.75</v>
      </c>
      <c r="I197" t="s">
        <v>198</v>
      </c>
      <c r="J197">
        <v>0.82199999999999995</v>
      </c>
      <c r="K197" t="s">
        <v>198</v>
      </c>
      <c r="L197" t="s">
        <v>199</v>
      </c>
      <c r="M197" s="3"/>
      <c r="R197" t="s">
        <v>200</v>
      </c>
      <c r="S197" s="25"/>
      <c r="T197" s="26"/>
      <c r="U197" s="27"/>
      <c r="V197" t="s">
        <v>25</v>
      </c>
      <c r="W197" t="s">
        <v>201</v>
      </c>
      <c r="X197" s="3"/>
      <c r="AC197" t="s">
        <v>202</v>
      </c>
      <c r="AF197" t="s">
        <v>203</v>
      </c>
      <c r="AK197" t="s">
        <v>200</v>
      </c>
      <c r="AM197" s="25"/>
      <c r="AO197" s="25">
        <v>0</v>
      </c>
      <c r="AP197" s="26"/>
      <c r="AQ197" s="26"/>
      <c r="AR197" s="26"/>
      <c r="AS197" s="26" t="str">
        <f t="shared" si="9"/>
        <v/>
      </c>
      <c r="AT197" t="str">
        <f t="shared" si="10"/>
        <v/>
      </c>
      <c r="AU197" t="s">
        <v>200</v>
      </c>
      <c r="AV197" s="3"/>
      <c r="AW197" t="str">
        <f t="shared" si="11"/>
        <v>No scrap rate (No impact);</v>
      </c>
    </row>
    <row r="198" spans="1:49" x14ac:dyDescent="0.3">
      <c r="A198" t="s">
        <v>661</v>
      </c>
      <c r="B198" t="s">
        <v>662</v>
      </c>
      <c r="C198" t="s">
        <v>194</v>
      </c>
      <c r="D198" t="s">
        <v>195</v>
      </c>
      <c r="E198" t="s">
        <v>196</v>
      </c>
      <c r="F198" t="s">
        <v>197</v>
      </c>
      <c r="G198">
        <v>12</v>
      </c>
      <c r="H198">
        <v>0.75</v>
      </c>
      <c r="I198" t="s">
        <v>198</v>
      </c>
      <c r="J198">
        <v>0.82199999999999995</v>
      </c>
      <c r="K198" t="s">
        <v>198</v>
      </c>
      <c r="L198" t="s">
        <v>199</v>
      </c>
      <c r="M198" s="3"/>
      <c r="R198" t="s">
        <v>200</v>
      </c>
      <c r="S198" s="25"/>
      <c r="T198" s="26"/>
      <c r="U198" s="27"/>
      <c r="V198" t="s">
        <v>25</v>
      </c>
      <c r="W198" t="s">
        <v>201</v>
      </c>
      <c r="X198" s="3"/>
      <c r="AC198" t="s">
        <v>202</v>
      </c>
      <c r="AF198" t="s">
        <v>203</v>
      </c>
      <c r="AK198" t="s">
        <v>200</v>
      </c>
      <c r="AM198" s="25"/>
      <c r="AO198" s="25">
        <v>0</v>
      </c>
      <c r="AP198" s="26"/>
      <c r="AQ198" s="26"/>
      <c r="AR198" s="26"/>
      <c r="AS198" s="26" t="str">
        <f t="shared" si="9"/>
        <v/>
      </c>
      <c r="AT198" t="str">
        <f t="shared" si="10"/>
        <v/>
      </c>
      <c r="AU198" t="s">
        <v>200</v>
      </c>
      <c r="AV198" s="3"/>
      <c r="AW198" t="str">
        <f t="shared" si="11"/>
        <v>No scrap rate (No impact);</v>
      </c>
    </row>
    <row r="199" spans="1:49" x14ac:dyDescent="0.3">
      <c r="A199" t="s">
        <v>663</v>
      </c>
      <c r="B199" t="s">
        <v>664</v>
      </c>
      <c r="C199" t="s">
        <v>194</v>
      </c>
      <c r="D199" t="s">
        <v>195</v>
      </c>
      <c r="E199" t="s">
        <v>196</v>
      </c>
      <c r="F199" t="s">
        <v>197</v>
      </c>
      <c r="G199">
        <v>12</v>
      </c>
      <c r="H199">
        <v>0.75</v>
      </c>
      <c r="I199" t="s">
        <v>198</v>
      </c>
      <c r="J199">
        <v>0.82199999999999995</v>
      </c>
      <c r="K199" t="s">
        <v>198</v>
      </c>
      <c r="L199" t="s">
        <v>199</v>
      </c>
      <c r="M199" s="3"/>
      <c r="R199" t="s">
        <v>200</v>
      </c>
      <c r="S199" s="25"/>
      <c r="T199" s="26"/>
      <c r="U199" s="27"/>
      <c r="V199" t="s">
        <v>25</v>
      </c>
      <c r="W199" t="s">
        <v>201</v>
      </c>
      <c r="X199" s="3"/>
      <c r="AC199" t="s">
        <v>202</v>
      </c>
      <c r="AF199" t="s">
        <v>203</v>
      </c>
      <c r="AK199" t="s">
        <v>200</v>
      </c>
      <c r="AM199" s="25"/>
      <c r="AO199" s="25">
        <v>0</v>
      </c>
      <c r="AP199" s="26"/>
      <c r="AQ199" s="26"/>
      <c r="AR199" s="26"/>
      <c r="AS199" s="26" t="str">
        <f t="shared" si="9"/>
        <v/>
      </c>
      <c r="AT199" t="str">
        <f t="shared" si="10"/>
        <v/>
      </c>
      <c r="AU199" t="s">
        <v>200</v>
      </c>
      <c r="AV199" s="3"/>
      <c r="AW199" t="str">
        <f t="shared" si="11"/>
        <v>No scrap rate (No impact);</v>
      </c>
    </row>
    <row r="200" spans="1:49" x14ac:dyDescent="0.3">
      <c r="A200" t="s">
        <v>665</v>
      </c>
      <c r="B200" t="s">
        <v>666</v>
      </c>
      <c r="C200" t="s">
        <v>194</v>
      </c>
      <c r="D200" t="s">
        <v>195</v>
      </c>
      <c r="E200" t="s">
        <v>196</v>
      </c>
      <c r="F200" t="s">
        <v>197</v>
      </c>
      <c r="G200">
        <v>12</v>
      </c>
      <c r="H200">
        <v>0.75</v>
      </c>
      <c r="I200" t="s">
        <v>198</v>
      </c>
      <c r="J200">
        <v>0.82199999999999995</v>
      </c>
      <c r="K200" t="s">
        <v>198</v>
      </c>
      <c r="L200" t="s">
        <v>199</v>
      </c>
      <c r="M200" s="3"/>
      <c r="R200" t="s">
        <v>200</v>
      </c>
      <c r="S200" s="25"/>
      <c r="T200" s="26"/>
      <c r="U200" s="27"/>
      <c r="V200" t="s">
        <v>25</v>
      </c>
      <c r="W200" t="s">
        <v>201</v>
      </c>
      <c r="X200" s="3"/>
      <c r="AC200" t="s">
        <v>202</v>
      </c>
      <c r="AF200" t="s">
        <v>203</v>
      </c>
      <c r="AK200" t="s">
        <v>200</v>
      </c>
      <c r="AM200" s="25"/>
      <c r="AO200" s="25">
        <v>0</v>
      </c>
      <c r="AP200" s="26"/>
      <c r="AQ200" s="26"/>
      <c r="AR200" s="26"/>
      <c r="AS200" s="26" t="str">
        <f t="shared" si="9"/>
        <v/>
      </c>
      <c r="AT200" t="str">
        <f t="shared" si="10"/>
        <v/>
      </c>
      <c r="AU200" t="s">
        <v>200</v>
      </c>
      <c r="AV200" s="3"/>
      <c r="AW200" t="str">
        <f t="shared" si="11"/>
        <v>No scrap rate (No impact);</v>
      </c>
    </row>
    <row r="201" spans="1:49" x14ac:dyDescent="0.3">
      <c r="A201" t="s">
        <v>667</v>
      </c>
      <c r="B201" t="s">
        <v>668</v>
      </c>
      <c r="C201" t="s">
        <v>194</v>
      </c>
      <c r="D201" t="s">
        <v>195</v>
      </c>
      <c r="E201" t="s">
        <v>196</v>
      </c>
      <c r="F201" t="s">
        <v>197</v>
      </c>
      <c r="G201">
        <v>12</v>
      </c>
      <c r="H201">
        <v>0.75</v>
      </c>
      <c r="I201" t="s">
        <v>198</v>
      </c>
      <c r="J201">
        <v>0.82199999999999995</v>
      </c>
      <c r="K201" t="s">
        <v>198</v>
      </c>
      <c r="L201" t="s">
        <v>199</v>
      </c>
      <c r="M201" s="3"/>
      <c r="R201" t="s">
        <v>200</v>
      </c>
      <c r="S201" s="25"/>
      <c r="T201" s="26"/>
      <c r="U201" s="27"/>
      <c r="V201" t="s">
        <v>25</v>
      </c>
      <c r="W201" t="s">
        <v>201</v>
      </c>
      <c r="X201" s="3"/>
      <c r="AC201" t="s">
        <v>202</v>
      </c>
      <c r="AF201" t="s">
        <v>203</v>
      </c>
      <c r="AK201" t="s">
        <v>200</v>
      </c>
      <c r="AM201" s="25"/>
      <c r="AO201" s="25">
        <v>0</v>
      </c>
      <c r="AP201" s="26"/>
      <c r="AQ201" s="26"/>
      <c r="AR201" s="26"/>
      <c r="AS201" s="26" t="str">
        <f t="shared" si="9"/>
        <v/>
      </c>
      <c r="AT201" t="str">
        <f t="shared" si="10"/>
        <v/>
      </c>
      <c r="AU201" t="s">
        <v>200</v>
      </c>
      <c r="AV201" s="3"/>
      <c r="AW201" t="str">
        <f t="shared" si="11"/>
        <v>No scrap rate (No impact);</v>
      </c>
    </row>
    <row r="202" spans="1:49" x14ac:dyDescent="0.3">
      <c r="A202" t="s">
        <v>669</v>
      </c>
      <c r="B202" t="s">
        <v>670</v>
      </c>
      <c r="C202" t="s">
        <v>194</v>
      </c>
      <c r="D202" t="s">
        <v>195</v>
      </c>
      <c r="E202" t="s">
        <v>346</v>
      </c>
      <c r="F202" t="s">
        <v>347</v>
      </c>
      <c r="G202">
        <v>12</v>
      </c>
      <c r="H202">
        <v>0.5</v>
      </c>
      <c r="I202" t="s">
        <v>198</v>
      </c>
      <c r="J202">
        <v>0.57299999999999995</v>
      </c>
      <c r="K202" t="s">
        <v>198</v>
      </c>
      <c r="L202" t="s">
        <v>199</v>
      </c>
      <c r="M202" s="3"/>
      <c r="R202" t="s">
        <v>200</v>
      </c>
      <c r="S202" s="25"/>
      <c r="T202" s="26"/>
      <c r="U202" s="27"/>
      <c r="V202" t="s">
        <v>25</v>
      </c>
      <c r="W202" t="s">
        <v>201</v>
      </c>
      <c r="X202" s="3"/>
      <c r="AC202" t="s">
        <v>202</v>
      </c>
      <c r="AF202" t="s">
        <v>203</v>
      </c>
      <c r="AK202" t="s">
        <v>200</v>
      </c>
      <c r="AM202" s="25"/>
      <c r="AO202" s="25">
        <v>0</v>
      </c>
      <c r="AP202" s="26"/>
      <c r="AQ202" s="26"/>
      <c r="AR202" s="26"/>
      <c r="AS202" s="26" t="str">
        <f t="shared" si="9"/>
        <v/>
      </c>
      <c r="AT202" t="str">
        <f t="shared" si="10"/>
        <v/>
      </c>
      <c r="AU202" t="s">
        <v>200</v>
      </c>
      <c r="AV202" s="3"/>
      <c r="AW202" t="str">
        <f t="shared" si="11"/>
        <v>No scrap rate (No impact);</v>
      </c>
    </row>
    <row r="203" spans="1:49" x14ac:dyDescent="0.3">
      <c r="A203" t="s">
        <v>671</v>
      </c>
      <c r="B203" t="s">
        <v>672</v>
      </c>
      <c r="C203" t="s">
        <v>212</v>
      </c>
      <c r="D203" t="s">
        <v>213</v>
      </c>
      <c r="E203" t="s">
        <v>274</v>
      </c>
      <c r="F203" t="s">
        <v>275</v>
      </c>
      <c r="G203">
        <v>12</v>
      </c>
      <c r="H203">
        <v>0.03</v>
      </c>
      <c r="I203" t="s">
        <v>198</v>
      </c>
      <c r="J203">
        <v>0.05</v>
      </c>
      <c r="K203" t="s">
        <v>198</v>
      </c>
      <c r="L203" t="s">
        <v>199</v>
      </c>
      <c r="M203" s="3"/>
      <c r="R203" t="s">
        <v>200</v>
      </c>
      <c r="S203" s="25"/>
      <c r="T203" s="26"/>
      <c r="U203" s="27"/>
      <c r="V203" t="s">
        <v>25</v>
      </c>
      <c r="W203" t="s">
        <v>201</v>
      </c>
      <c r="X203" s="3"/>
      <c r="AC203" t="s">
        <v>202</v>
      </c>
      <c r="AF203" t="s">
        <v>203</v>
      </c>
      <c r="AK203" t="s">
        <v>200</v>
      </c>
      <c r="AM203" s="25"/>
      <c r="AO203" s="25">
        <v>0</v>
      </c>
      <c r="AP203" s="26"/>
      <c r="AQ203" s="26"/>
      <c r="AR203" s="26"/>
      <c r="AS203" s="26" t="str">
        <f t="shared" si="9"/>
        <v/>
      </c>
      <c r="AT203" t="str">
        <f t="shared" si="10"/>
        <v/>
      </c>
      <c r="AU203" t="s">
        <v>200</v>
      </c>
      <c r="AV203" s="3"/>
      <c r="AW203" t="str">
        <f t="shared" si="11"/>
        <v>No scrap rate (No impact);</v>
      </c>
    </row>
    <row r="204" spans="1:49" x14ac:dyDescent="0.3">
      <c r="A204" t="s">
        <v>673</v>
      </c>
      <c r="B204" t="s">
        <v>674</v>
      </c>
      <c r="C204" t="s">
        <v>194</v>
      </c>
      <c r="D204" t="s">
        <v>195</v>
      </c>
      <c r="E204" t="s">
        <v>675</v>
      </c>
      <c r="F204" t="s">
        <v>676</v>
      </c>
      <c r="G204">
        <v>12</v>
      </c>
      <c r="H204">
        <v>0.25</v>
      </c>
      <c r="I204" t="s">
        <v>198</v>
      </c>
      <c r="J204">
        <v>0.28999999999999998</v>
      </c>
      <c r="K204" t="s">
        <v>198</v>
      </c>
      <c r="L204" t="s">
        <v>199</v>
      </c>
      <c r="M204" s="3"/>
      <c r="R204" t="s">
        <v>200</v>
      </c>
      <c r="S204" s="25"/>
      <c r="T204" s="26"/>
      <c r="U204" s="27"/>
      <c r="V204" t="s">
        <v>25</v>
      </c>
      <c r="W204" t="s">
        <v>201</v>
      </c>
      <c r="X204" s="3"/>
      <c r="AC204" t="s">
        <v>202</v>
      </c>
      <c r="AF204" t="s">
        <v>203</v>
      </c>
      <c r="AK204" t="s">
        <v>200</v>
      </c>
      <c r="AM204" s="25"/>
      <c r="AO204" s="25">
        <v>0</v>
      </c>
      <c r="AP204" s="26"/>
      <c r="AQ204" s="26"/>
      <c r="AR204" s="26"/>
      <c r="AS204" s="26" t="str">
        <f t="shared" si="9"/>
        <v/>
      </c>
      <c r="AT204" t="str">
        <f t="shared" si="10"/>
        <v/>
      </c>
      <c r="AU204" t="s">
        <v>200</v>
      </c>
      <c r="AV204" s="3"/>
      <c r="AW204" t="str">
        <f t="shared" si="11"/>
        <v>No scrap rate (No impact);</v>
      </c>
    </row>
    <row r="205" spans="1:49" x14ac:dyDescent="0.3">
      <c r="A205" t="s">
        <v>677</v>
      </c>
      <c r="B205" t="s">
        <v>678</v>
      </c>
      <c r="C205" t="s">
        <v>194</v>
      </c>
      <c r="D205" t="s">
        <v>195</v>
      </c>
      <c r="E205" t="s">
        <v>196</v>
      </c>
      <c r="F205" t="s">
        <v>197</v>
      </c>
      <c r="G205">
        <v>12</v>
      </c>
      <c r="H205">
        <v>0.1</v>
      </c>
      <c r="I205" t="s">
        <v>198</v>
      </c>
      <c r="J205">
        <v>0.13800000000000001</v>
      </c>
      <c r="K205" t="s">
        <v>198</v>
      </c>
      <c r="L205" t="s">
        <v>199</v>
      </c>
      <c r="M205" s="3"/>
      <c r="R205" t="s">
        <v>200</v>
      </c>
      <c r="S205" s="25"/>
      <c r="T205" s="26"/>
      <c r="U205" s="27"/>
      <c r="V205" t="s">
        <v>25</v>
      </c>
      <c r="W205" t="s">
        <v>201</v>
      </c>
      <c r="X205" s="3"/>
      <c r="AC205" t="s">
        <v>202</v>
      </c>
      <c r="AF205" t="s">
        <v>203</v>
      </c>
      <c r="AK205" t="s">
        <v>200</v>
      </c>
      <c r="AM205" s="25"/>
      <c r="AO205" s="25">
        <v>0</v>
      </c>
      <c r="AP205" s="26"/>
      <c r="AQ205" s="26"/>
      <c r="AR205" s="26"/>
      <c r="AS205" s="26" t="str">
        <f t="shared" si="9"/>
        <v/>
      </c>
      <c r="AT205" t="str">
        <f t="shared" si="10"/>
        <v/>
      </c>
      <c r="AU205" t="s">
        <v>200</v>
      </c>
      <c r="AV205" s="3"/>
      <c r="AW205" t="str">
        <f t="shared" si="11"/>
        <v>No scrap rate (No impact);</v>
      </c>
    </row>
    <row r="206" spans="1:49" x14ac:dyDescent="0.3">
      <c r="A206" t="s">
        <v>679</v>
      </c>
      <c r="B206" t="s">
        <v>680</v>
      </c>
      <c r="C206" t="s">
        <v>194</v>
      </c>
      <c r="D206" t="s">
        <v>195</v>
      </c>
      <c r="E206" t="s">
        <v>196</v>
      </c>
      <c r="F206" t="s">
        <v>197</v>
      </c>
      <c r="G206">
        <v>12</v>
      </c>
      <c r="H206">
        <v>0.75</v>
      </c>
      <c r="I206" t="s">
        <v>198</v>
      </c>
      <c r="J206">
        <v>0.85</v>
      </c>
      <c r="K206" t="s">
        <v>198</v>
      </c>
      <c r="L206" t="s">
        <v>199</v>
      </c>
      <c r="M206" s="3"/>
      <c r="R206" t="s">
        <v>200</v>
      </c>
      <c r="S206" s="25"/>
      <c r="T206" s="26"/>
      <c r="U206" s="27"/>
      <c r="V206" t="s">
        <v>25</v>
      </c>
      <c r="W206" t="s">
        <v>201</v>
      </c>
      <c r="X206" s="3"/>
      <c r="AC206" t="s">
        <v>202</v>
      </c>
      <c r="AF206" t="s">
        <v>203</v>
      </c>
      <c r="AK206" t="s">
        <v>200</v>
      </c>
      <c r="AM206" s="25"/>
      <c r="AO206" s="25">
        <v>0</v>
      </c>
      <c r="AP206" s="26"/>
      <c r="AQ206" s="26"/>
      <c r="AR206" s="26"/>
      <c r="AS206" s="26" t="str">
        <f t="shared" si="9"/>
        <v/>
      </c>
      <c r="AT206" t="str">
        <f t="shared" si="10"/>
        <v/>
      </c>
      <c r="AU206" t="s">
        <v>200</v>
      </c>
      <c r="AV206" s="3"/>
      <c r="AW206" t="str">
        <f t="shared" si="11"/>
        <v>No scrap rate (No impact);</v>
      </c>
    </row>
    <row r="207" spans="1:49" x14ac:dyDescent="0.3">
      <c r="A207" t="s">
        <v>681</v>
      </c>
      <c r="B207" t="s">
        <v>682</v>
      </c>
      <c r="C207" t="s">
        <v>212</v>
      </c>
      <c r="D207" t="s">
        <v>213</v>
      </c>
      <c r="E207" t="s">
        <v>683</v>
      </c>
      <c r="F207" t="s">
        <v>684</v>
      </c>
      <c r="G207">
        <v>12</v>
      </c>
      <c r="H207">
        <v>0.09</v>
      </c>
      <c r="I207" t="s">
        <v>198</v>
      </c>
      <c r="J207">
        <v>0.1</v>
      </c>
      <c r="K207" t="s">
        <v>198</v>
      </c>
      <c r="L207" t="s">
        <v>199</v>
      </c>
      <c r="M207" s="3"/>
      <c r="R207" t="s">
        <v>200</v>
      </c>
      <c r="S207" s="25"/>
      <c r="T207" s="26"/>
      <c r="U207" s="27"/>
      <c r="V207" t="s">
        <v>25</v>
      </c>
      <c r="W207" t="s">
        <v>201</v>
      </c>
      <c r="X207" s="3"/>
      <c r="AC207" t="s">
        <v>202</v>
      </c>
      <c r="AF207" t="s">
        <v>203</v>
      </c>
      <c r="AK207" t="s">
        <v>200</v>
      </c>
      <c r="AM207" s="25"/>
      <c r="AO207" s="25">
        <v>0</v>
      </c>
      <c r="AP207" s="26"/>
      <c r="AQ207" s="26"/>
      <c r="AR207" s="26"/>
      <c r="AS207" s="26" t="str">
        <f t="shared" si="9"/>
        <v/>
      </c>
      <c r="AT207" t="str">
        <f t="shared" si="10"/>
        <v/>
      </c>
      <c r="AU207" t="s">
        <v>200</v>
      </c>
      <c r="AV207" s="3"/>
      <c r="AW207" t="str">
        <f t="shared" si="11"/>
        <v>No scrap rate (No impact);</v>
      </c>
    </row>
    <row r="208" spans="1:49" x14ac:dyDescent="0.3">
      <c r="A208" t="s">
        <v>685</v>
      </c>
      <c r="B208" t="s">
        <v>686</v>
      </c>
      <c r="C208" t="s">
        <v>194</v>
      </c>
      <c r="D208" t="s">
        <v>195</v>
      </c>
      <c r="E208" t="s">
        <v>687</v>
      </c>
      <c r="F208" t="s">
        <v>275</v>
      </c>
      <c r="G208">
        <v>12</v>
      </c>
      <c r="H208">
        <v>0.02</v>
      </c>
      <c r="I208" t="s">
        <v>198</v>
      </c>
      <c r="J208">
        <v>8.5000000000000006E-2</v>
      </c>
      <c r="K208" t="s">
        <v>198</v>
      </c>
      <c r="L208" t="s">
        <v>199</v>
      </c>
      <c r="M208" s="3"/>
      <c r="R208" t="s">
        <v>200</v>
      </c>
      <c r="S208" s="25"/>
      <c r="T208" s="26"/>
      <c r="U208" s="27"/>
      <c r="V208" t="s">
        <v>25</v>
      </c>
      <c r="W208" t="s">
        <v>201</v>
      </c>
      <c r="X208" s="3"/>
      <c r="AC208" t="s">
        <v>202</v>
      </c>
      <c r="AF208" t="s">
        <v>203</v>
      </c>
      <c r="AK208" t="s">
        <v>200</v>
      </c>
      <c r="AM208" s="25"/>
      <c r="AO208" s="25">
        <v>0</v>
      </c>
      <c r="AP208" s="26"/>
      <c r="AQ208" s="26"/>
      <c r="AR208" s="26"/>
      <c r="AS208" s="26" t="str">
        <f t="shared" si="9"/>
        <v/>
      </c>
      <c r="AT208" t="str">
        <f t="shared" si="10"/>
        <v/>
      </c>
      <c r="AU208" t="s">
        <v>200</v>
      </c>
      <c r="AV208" s="3"/>
      <c r="AW208" t="str">
        <f t="shared" si="11"/>
        <v>No scrap rate (No impact);</v>
      </c>
    </row>
    <row r="209" spans="1:49" x14ac:dyDescent="0.3">
      <c r="A209" t="s">
        <v>688</v>
      </c>
      <c r="B209" t="s">
        <v>689</v>
      </c>
      <c r="C209" t="s">
        <v>194</v>
      </c>
      <c r="D209" t="s">
        <v>195</v>
      </c>
      <c r="E209" t="s">
        <v>675</v>
      </c>
      <c r="F209" t="s">
        <v>676</v>
      </c>
      <c r="G209">
        <v>12</v>
      </c>
      <c r="H209">
        <v>0.125</v>
      </c>
      <c r="I209" t="s">
        <v>198</v>
      </c>
      <c r="J209">
        <v>0.16300000000000001</v>
      </c>
      <c r="K209" t="s">
        <v>198</v>
      </c>
      <c r="L209" t="s">
        <v>199</v>
      </c>
      <c r="M209" s="3"/>
      <c r="R209" t="s">
        <v>200</v>
      </c>
      <c r="S209" s="25"/>
      <c r="T209" s="26"/>
      <c r="U209" s="27"/>
      <c r="V209" t="s">
        <v>25</v>
      </c>
      <c r="W209" t="s">
        <v>201</v>
      </c>
      <c r="X209" s="3"/>
      <c r="AC209" t="s">
        <v>202</v>
      </c>
      <c r="AF209" t="s">
        <v>203</v>
      </c>
      <c r="AK209" t="s">
        <v>200</v>
      </c>
      <c r="AM209" s="25"/>
      <c r="AO209" s="25">
        <v>0</v>
      </c>
      <c r="AP209" s="26"/>
      <c r="AQ209" s="26"/>
      <c r="AR209" s="26"/>
      <c r="AS209" s="26" t="str">
        <f t="shared" si="9"/>
        <v/>
      </c>
      <c r="AT209" t="str">
        <f t="shared" si="10"/>
        <v/>
      </c>
      <c r="AU209" t="s">
        <v>200</v>
      </c>
      <c r="AV209" s="3"/>
      <c r="AW209" t="str">
        <f t="shared" si="11"/>
        <v>No scrap rate (No impact);</v>
      </c>
    </row>
    <row r="210" spans="1:49" x14ac:dyDescent="0.3">
      <c r="A210" t="s">
        <v>690</v>
      </c>
      <c r="B210" t="s">
        <v>691</v>
      </c>
      <c r="C210" t="s">
        <v>194</v>
      </c>
      <c r="D210" t="s">
        <v>195</v>
      </c>
      <c r="E210" t="s">
        <v>675</v>
      </c>
      <c r="F210" t="s">
        <v>676</v>
      </c>
      <c r="G210">
        <v>12</v>
      </c>
      <c r="H210">
        <v>0.125</v>
      </c>
      <c r="I210" t="s">
        <v>198</v>
      </c>
      <c r="J210">
        <v>0.16300000000000001</v>
      </c>
      <c r="K210" t="s">
        <v>198</v>
      </c>
      <c r="L210" t="s">
        <v>199</v>
      </c>
      <c r="M210" s="3"/>
      <c r="R210" t="s">
        <v>200</v>
      </c>
      <c r="S210" s="25"/>
      <c r="T210" s="26"/>
      <c r="U210" s="27"/>
      <c r="V210" t="s">
        <v>25</v>
      </c>
      <c r="W210" t="s">
        <v>201</v>
      </c>
      <c r="X210" s="3"/>
      <c r="AC210" t="s">
        <v>202</v>
      </c>
      <c r="AF210" t="s">
        <v>203</v>
      </c>
      <c r="AK210" t="s">
        <v>200</v>
      </c>
      <c r="AM210" s="25"/>
      <c r="AO210" s="25">
        <v>0</v>
      </c>
      <c r="AP210" s="26"/>
      <c r="AQ210" s="26"/>
      <c r="AR210" s="26"/>
      <c r="AS210" s="26" t="str">
        <f t="shared" si="9"/>
        <v/>
      </c>
      <c r="AT210" t="str">
        <f t="shared" si="10"/>
        <v/>
      </c>
      <c r="AU210" t="s">
        <v>200</v>
      </c>
      <c r="AV210" s="3"/>
      <c r="AW210" t="str">
        <f t="shared" si="11"/>
        <v>No scrap rate (No impact);</v>
      </c>
    </row>
    <row r="211" spans="1:49" x14ac:dyDescent="0.3">
      <c r="A211" t="s">
        <v>692</v>
      </c>
      <c r="B211" t="s">
        <v>693</v>
      </c>
      <c r="C211" t="s">
        <v>194</v>
      </c>
      <c r="D211" t="s">
        <v>195</v>
      </c>
      <c r="E211" t="s">
        <v>278</v>
      </c>
      <c r="F211" t="s">
        <v>279</v>
      </c>
      <c r="G211">
        <v>5</v>
      </c>
      <c r="H211">
        <v>8</v>
      </c>
      <c r="I211" t="s">
        <v>198</v>
      </c>
      <c r="J211">
        <v>8.1999999999999993</v>
      </c>
      <c r="K211" t="s">
        <v>198</v>
      </c>
      <c r="L211" t="s">
        <v>199</v>
      </c>
      <c r="M211" s="3"/>
      <c r="R211" t="s">
        <v>200</v>
      </c>
      <c r="S211" s="25"/>
      <c r="T211" s="26"/>
      <c r="U211" s="27"/>
      <c r="V211" t="s">
        <v>25</v>
      </c>
      <c r="W211" t="s">
        <v>201</v>
      </c>
      <c r="X211" s="3"/>
      <c r="AC211" t="s">
        <v>202</v>
      </c>
      <c r="AF211" t="s">
        <v>203</v>
      </c>
      <c r="AK211" t="s">
        <v>200</v>
      </c>
      <c r="AM211" s="25"/>
      <c r="AO211" s="25">
        <v>0</v>
      </c>
      <c r="AP211" s="26"/>
      <c r="AQ211" s="26"/>
      <c r="AR211" s="26"/>
      <c r="AS211" s="26" t="str">
        <f t="shared" si="9"/>
        <v/>
      </c>
      <c r="AT211" t="str">
        <f t="shared" si="10"/>
        <v/>
      </c>
      <c r="AU211" t="s">
        <v>200</v>
      </c>
      <c r="AV211" s="3"/>
      <c r="AW211" t="str">
        <f t="shared" si="11"/>
        <v>No scrap rate (No impact);</v>
      </c>
    </row>
    <row r="212" spans="1:49" x14ac:dyDescent="0.3">
      <c r="A212" t="s">
        <v>694</v>
      </c>
      <c r="B212" t="s">
        <v>695</v>
      </c>
      <c r="C212" t="s">
        <v>194</v>
      </c>
      <c r="D212" t="s">
        <v>195</v>
      </c>
      <c r="E212" t="s">
        <v>278</v>
      </c>
      <c r="F212" t="s">
        <v>279</v>
      </c>
      <c r="G212">
        <v>8</v>
      </c>
      <c r="H212">
        <v>14</v>
      </c>
      <c r="I212" t="s">
        <v>198</v>
      </c>
      <c r="J212">
        <v>14.105</v>
      </c>
      <c r="K212" t="s">
        <v>198</v>
      </c>
      <c r="L212" t="s">
        <v>199</v>
      </c>
      <c r="M212" s="3"/>
      <c r="R212" t="s">
        <v>200</v>
      </c>
      <c r="S212" s="25"/>
      <c r="T212" s="26"/>
      <c r="U212" s="27"/>
      <c r="V212" t="s">
        <v>25</v>
      </c>
      <c r="W212" t="s">
        <v>201</v>
      </c>
      <c r="X212" s="3"/>
      <c r="AC212" t="s">
        <v>202</v>
      </c>
      <c r="AF212" t="s">
        <v>203</v>
      </c>
      <c r="AK212" t="s">
        <v>200</v>
      </c>
      <c r="AM212" s="25"/>
      <c r="AO212" s="25">
        <v>0</v>
      </c>
      <c r="AP212" s="26"/>
      <c r="AQ212" s="26"/>
      <c r="AR212" s="26"/>
      <c r="AS212" s="26" t="str">
        <f t="shared" si="9"/>
        <v/>
      </c>
      <c r="AT212" t="str">
        <f t="shared" si="10"/>
        <v/>
      </c>
      <c r="AU212" t="s">
        <v>200</v>
      </c>
      <c r="AV212" s="3"/>
      <c r="AW212" t="str">
        <f t="shared" si="11"/>
        <v>No scrap rate (No impact);</v>
      </c>
    </row>
    <row r="213" spans="1:49" x14ac:dyDescent="0.3">
      <c r="A213" t="s">
        <v>696</v>
      </c>
      <c r="B213" t="s">
        <v>697</v>
      </c>
      <c r="C213" t="s">
        <v>194</v>
      </c>
      <c r="D213" t="s">
        <v>195</v>
      </c>
      <c r="E213" t="s">
        <v>196</v>
      </c>
      <c r="F213" t="s">
        <v>197</v>
      </c>
      <c r="G213">
        <v>12</v>
      </c>
      <c r="H213">
        <v>0.4</v>
      </c>
      <c r="I213" t="s">
        <v>198</v>
      </c>
      <c r="J213">
        <v>0.46500000000000002</v>
      </c>
      <c r="K213" t="s">
        <v>198</v>
      </c>
      <c r="L213" t="s">
        <v>199</v>
      </c>
      <c r="M213" s="3"/>
      <c r="R213" t="s">
        <v>200</v>
      </c>
      <c r="S213" s="25"/>
      <c r="T213" s="26"/>
      <c r="U213" s="27"/>
      <c r="V213" t="s">
        <v>25</v>
      </c>
      <c r="W213" t="s">
        <v>201</v>
      </c>
      <c r="X213" s="3"/>
      <c r="AC213" t="s">
        <v>202</v>
      </c>
      <c r="AF213" t="s">
        <v>203</v>
      </c>
      <c r="AK213" t="s">
        <v>200</v>
      </c>
      <c r="AM213" s="25"/>
      <c r="AO213" s="25">
        <v>0</v>
      </c>
      <c r="AP213" s="26"/>
      <c r="AQ213" s="26"/>
      <c r="AR213" s="26"/>
      <c r="AS213" s="26" t="str">
        <f t="shared" si="9"/>
        <v/>
      </c>
      <c r="AT213" t="str">
        <f t="shared" si="10"/>
        <v/>
      </c>
      <c r="AU213" t="s">
        <v>200</v>
      </c>
      <c r="AV213" s="3"/>
      <c r="AW213" t="str">
        <f t="shared" si="11"/>
        <v>No scrap rate (No impact);</v>
      </c>
    </row>
    <row r="214" spans="1:49" x14ac:dyDescent="0.3">
      <c r="A214" t="s">
        <v>698</v>
      </c>
      <c r="B214" t="s">
        <v>699</v>
      </c>
      <c r="C214" t="s">
        <v>194</v>
      </c>
      <c r="D214" t="s">
        <v>195</v>
      </c>
      <c r="E214" t="s">
        <v>196</v>
      </c>
      <c r="F214" t="s">
        <v>197</v>
      </c>
      <c r="G214">
        <v>12</v>
      </c>
      <c r="H214">
        <v>0.75</v>
      </c>
      <c r="I214" t="s">
        <v>198</v>
      </c>
      <c r="J214">
        <v>8.5000000000000006E-2</v>
      </c>
      <c r="K214" t="s">
        <v>198</v>
      </c>
      <c r="L214" t="s">
        <v>199</v>
      </c>
      <c r="M214" s="3"/>
      <c r="R214" t="s">
        <v>200</v>
      </c>
      <c r="S214" s="25"/>
      <c r="T214" s="26"/>
      <c r="U214" s="27"/>
      <c r="V214" t="s">
        <v>25</v>
      </c>
      <c r="W214" t="s">
        <v>201</v>
      </c>
      <c r="X214" s="3"/>
      <c r="AC214" t="s">
        <v>202</v>
      </c>
      <c r="AF214" t="s">
        <v>203</v>
      </c>
      <c r="AK214" t="s">
        <v>200</v>
      </c>
      <c r="AM214" s="25"/>
      <c r="AO214" s="25">
        <v>0</v>
      </c>
      <c r="AP214" s="26"/>
      <c r="AQ214" s="26"/>
      <c r="AR214" s="26"/>
      <c r="AS214" s="26" t="str">
        <f t="shared" si="9"/>
        <v/>
      </c>
      <c r="AT214" t="str">
        <f t="shared" si="10"/>
        <v/>
      </c>
      <c r="AU214" t="s">
        <v>200</v>
      </c>
      <c r="AV214" s="3"/>
      <c r="AW214" t="str">
        <f t="shared" si="11"/>
        <v>No scrap rate (No impact);</v>
      </c>
    </row>
    <row r="215" spans="1:49" x14ac:dyDescent="0.3">
      <c r="A215" t="s">
        <v>700</v>
      </c>
      <c r="B215" t="s">
        <v>701</v>
      </c>
      <c r="C215" t="s">
        <v>194</v>
      </c>
      <c r="D215" t="s">
        <v>195</v>
      </c>
      <c r="E215" t="s">
        <v>332</v>
      </c>
      <c r="F215" t="s">
        <v>333</v>
      </c>
      <c r="G215">
        <v>8</v>
      </c>
      <c r="H215">
        <v>2</v>
      </c>
      <c r="I215" t="s">
        <v>198</v>
      </c>
      <c r="J215">
        <v>2.0299999999999998</v>
      </c>
      <c r="K215" t="s">
        <v>198</v>
      </c>
      <c r="L215" t="s">
        <v>199</v>
      </c>
      <c r="M215" s="3"/>
      <c r="R215" t="s">
        <v>200</v>
      </c>
      <c r="S215" s="25"/>
      <c r="T215" s="26"/>
      <c r="U215" s="27"/>
      <c r="V215" t="s">
        <v>25</v>
      </c>
      <c r="W215" t="s">
        <v>201</v>
      </c>
      <c r="X215" s="3"/>
      <c r="AC215" t="s">
        <v>202</v>
      </c>
      <c r="AF215" t="s">
        <v>203</v>
      </c>
      <c r="AK215" t="s">
        <v>200</v>
      </c>
      <c r="AM215" s="25"/>
      <c r="AO215" s="25">
        <v>0</v>
      </c>
      <c r="AP215" s="26"/>
      <c r="AQ215" s="26"/>
      <c r="AR215" s="26"/>
      <c r="AS215" s="26" t="str">
        <f t="shared" si="9"/>
        <v/>
      </c>
      <c r="AT215" t="str">
        <f t="shared" si="10"/>
        <v/>
      </c>
      <c r="AU215" t="s">
        <v>200</v>
      </c>
      <c r="AV215" s="3"/>
      <c r="AW215" t="str">
        <f t="shared" si="11"/>
        <v>No scrap rate (No impact);</v>
      </c>
    </row>
    <row r="216" spans="1:49" x14ac:dyDescent="0.3">
      <c r="A216" t="s">
        <v>702</v>
      </c>
      <c r="B216" t="s">
        <v>703</v>
      </c>
      <c r="C216" t="s">
        <v>194</v>
      </c>
      <c r="D216" t="s">
        <v>195</v>
      </c>
      <c r="E216" t="s">
        <v>332</v>
      </c>
      <c r="F216" t="s">
        <v>333</v>
      </c>
      <c r="G216">
        <v>8</v>
      </c>
      <c r="H216">
        <v>1.5</v>
      </c>
      <c r="I216" t="s">
        <v>198</v>
      </c>
      <c r="J216">
        <v>1.65</v>
      </c>
      <c r="K216" t="s">
        <v>198</v>
      </c>
      <c r="L216" t="s">
        <v>199</v>
      </c>
      <c r="M216" s="3"/>
      <c r="R216" t="s">
        <v>200</v>
      </c>
      <c r="S216" s="25"/>
      <c r="T216" s="26"/>
      <c r="U216" s="27"/>
      <c r="V216" t="s">
        <v>25</v>
      </c>
      <c r="W216" t="s">
        <v>201</v>
      </c>
      <c r="X216" s="3"/>
      <c r="AC216" t="s">
        <v>202</v>
      </c>
      <c r="AF216" t="s">
        <v>203</v>
      </c>
      <c r="AK216" t="s">
        <v>200</v>
      </c>
      <c r="AM216" s="25"/>
      <c r="AO216" s="25">
        <v>0</v>
      </c>
      <c r="AP216" s="26"/>
      <c r="AQ216" s="26"/>
      <c r="AR216" s="26"/>
      <c r="AS216" s="26" t="str">
        <f t="shared" si="9"/>
        <v/>
      </c>
      <c r="AT216" t="str">
        <f t="shared" si="10"/>
        <v/>
      </c>
      <c r="AU216" t="s">
        <v>200</v>
      </c>
      <c r="AV216" s="3"/>
      <c r="AW216" t="str">
        <f t="shared" si="11"/>
        <v>No scrap rate (No impact);</v>
      </c>
    </row>
    <row r="217" spans="1:49" x14ac:dyDescent="0.3">
      <c r="A217" t="s">
        <v>704</v>
      </c>
      <c r="B217" t="s">
        <v>705</v>
      </c>
      <c r="C217" t="s">
        <v>194</v>
      </c>
      <c r="D217" t="s">
        <v>195</v>
      </c>
      <c r="E217" t="s">
        <v>332</v>
      </c>
      <c r="F217" t="s">
        <v>333</v>
      </c>
      <c r="G217">
        <v>6</v>
      </c>
      <c r="H217">
        <v>4</v>
      </c>
      <c r="I217" t="s">
        <v>198</v>
      </c>
      <c r="J217">
        <v>4.2</v>
      </c>
      <c r="K217" t="s">
        <v>198</v>
      </c>
      <c r="L217" t="s">
        <v>199</v>
      </c>
      <c r="M217" s="3"/>
      <c r="R217" t="s">
        <v>200</v>
      </c>
      <c r="S217" s="25"/>
      <c r="T217" s="26"/>
      <c r="U217" s="27"/>
      <c r="V217" t="s">
        <v>25</v>
      </c>
      <c r="W217" t="s">
        <v>201</v>
      </c>
      <c r="X217" s="3"/>
      <c r="AC217" t="s">
        <v>202</v>
      </c>
      <c r="AF217" t="s">
        <v>203</v>
      </c>
      <c r="AK217" t="s">
        <v>200</v>
      </c>
      <c r="AM217" s="25"/>
      <c r="AO217" s="25">
        <v>0</v>
      </c>
      <c r="AP217" s="26"/>
      <c r="AQ217" s="26"/>
      <c r="AR217" s="26"/>
      <c r="AS217" s="26" t="str">
        <f t="shared" si="9"/>
        <v/>
      </c>
      <c r="AT217" t="str">
        <f t="shared" si="10"/>
        <v/>
      </c>
      <c r="AU217" t="s">
        <v>200</v>
      </c>
      <c r="AV217" s="3"/>
      <c r="AW217" t="str">
        <f t="shared" si="11"/>
        <v>No scrap rate (No impact);</v>
      </c>
    </row>
    <row r="218" spans="1:49" x14ac:dyDescent="0.3">
      <c r="A218" t="s">
        <v>706</v>
      </c>
      <c r="B218" t="s">
        <v>707</v>
      </c>
      <c r="C218" t="s">
        <v>708</v>
      </c>
      <c r="E218" t="s">
        <v>709</v>
      </c>
      <c r="F218" t="s">
        <v>710</v>
      </c>
      <c r="G218">
        <v>0</v>
      </c>
      <c r="H218">
        <v>0</v>
      </c>
      <c r="I218" t="s">
        <v>198</v>
      </c>
      <c r="J218">
        <v>0</v>
      </c>
      <c r="K218" t="s">
        <v>198</v>
      </c>
      <c r="L218" t="s">
        <v>199</v>
      </c>
      <c r="M218" s="3"/>
      <c r="R218" t="s">
        <v>200</v>
      </c>
      <c r="S218" s="25"/>
      <c r="T218" s="26"/>
      <c r="U218" s="27"/>
      <c r="V218" t="s">
        <v>25</v>
      </c>
      <c r="W218" t="s">
        <v>201</v>
      </c>
      <c r="X218" s="3"/>
      <c r="AC218" t="s">
        <v>202</v>
      </c>
      <c r="AF218" t="s">
        <v>203</v>
      </c>
      <c r="AK218" t="s">
        <v>200</v>
      </c>
      <c r="AM218" s="25"/>
      <c r="AO218" s="25">
        <v>0</v>
      </c>
      <c r="AP218" s="26"/>
      <c r="AQ218" s="26"/>
      <c r="AR218" s="26"/>
      <c r="AS218" s="26" t="str">
        <f t="shared" si="9"/>
        <v/>
      </c>
      <c r="AT218" t="str">
        <f t="shared" si="10"/>
        <v/>
      </c>
      <c r="AU218" t="s">
        <v>200</v>
      </c>
      <c r="AV218" s="3"/>
      <c r="AW218" t="str">
        <f t="shared" si="11"/>
        <v>No scrap rate (No impact);</v>
      </c>
    </row>
    <row r="219" spans="1:49" x14ac:dyDescent="0.3">
      <c r="A219" t="s">
        <v>711</v>
      </c>
      <c r="B219" t="s">
        <v>712</v>
      </c>
      <c r="C219" t="s">
        <v>708</v>
      </c>
      <c r="E219" t="s">
        <v>709</v>
      </c>
      <c r="F219" t="s">
        <v>710</v>
      </c>
      <c r="G219">
        <v>0</v>
      </c>
      <c r="H219">
        <v>0.2</v>
      </c>
      <c r="I219" t="s">
        <v>198</v>
      </c>
      <c r="J219">
        <v>0</v>
      </c>
      <c r="K219" t="s">
        <v>198</v>
      </c>
      <c r="L219" t="s">
        <v>199</v>
      </c>
      <c r="M219" s="3"/>
      <c r="R219" t="s">
        <v>200</v>
      </c>
      <c r="S219" s="25"/>
      <c r="T219" s="26"/>
      <c r="U219" s="27"/>
      <c r="V219" t="s">
        <v>25</v>
      </c>
      <c r="W219" t="s">
        <v>201</v>
      </c>
      <c r="X219" s="3"/>
      <c r="AC219" t="s">
        <v>202</v>
      </c>
      <c r="AF219" t="s">
        <v>203</v>
      </c>
      <c r="AK219" t="s">
        <v>200</v>
      </c>
      <c r="AM219" s="25"/>
      <c r="AO219" s="25">
        <v>0</v>
      </c>
      <c r="AP219" s="26"/>
      <c r="AQ219" s="26"/>
      <c r="AR219" s="26"/>
      <c r="AS219" s="26" t="str">
        <f t="shared" si="9"/>
        <v/>
      </c>
      <c r="AT219" t="str">
        <f t="shared" si="10"/>
        <v/>
      </c>
      <c r="AU219" t="s">
        <v>200</v>
      </c>
      <c r="AV219" s="3"/>
      <c r="AW219" t="str">
        <f t="shared" si="11"/>
        <v>No scrap rate (No impact);</v>
      </c>
    </row>
  </sheetData>
  <autoFilter ref="A2:AX219" xr:uid="{00000000-0009-0000-0000-000002000000}"/>
  <dataValidations count="5">
    <dataValidation type="list" allowBlank="1" sqref="N3:N219" xr:uid="{00000000-0002-0000-0200-000000000000}">
      <formula1>"PACT,TfS,ISO14067,other"</formula1>
    </dataValidation>
    <dataValidation type="list" allowBlank="1" sqref="O3:O219" xr:uid="{00000000-0002-0000-0200-000001000000}">
      <formula1>"Cradle-to-Gate,Cradle-to-Grave"</formula1>
    </dataValidation>
    <dataValidation type="list" allowBlank="1" sqref="W3:W219" xr:uid="{00000000-0002-0000-0200-000002000000}">
      <formula1>"Yes,No"</formula1>
    </dataValidation>
    <dataValidation type="list" allowBlank="1" sqref="AA3:AA219" xr:uid="{00000000-0002-0000-0200-000003000000}">
      <formula1>"electricity,renewable certified electricity,natural gas"</formula1>
    </dataValidation>
    <dataValidation type="list" allowBlank="1" sqref="AP3:AP219 AQ3:AQ219 AR3:AR219" xr:uid="{00000000-0002-0000-0200-000004000000}">
      <formula1>"1,2,3,4,5"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5A67C"/>
    <outlinePr summaryRight="0"/>
  </sheetPr>
  <dimension ref="A1:BC964"/>
  <sheetViews>
    <sheetView tabSelected="1" workbookViewId="0">
      <pane xSplit="2" ySplit="2" topLeftCell="R3" activePane="bottomRight" state="frozen"/>
      <selection pane="topRight"/>
      <selection pane="bottomLeft"/>
      <selection pane="bottomRight" activeCell="V7" sqref="V7"/>
    </sheetView>
  </sheetViews>
  <sheetFormatPr baseColWidth="10" defaultColWidth="8.88671875" defaultRowHeight="14.4" outlineLevelCol="1" x14ac:dyDescent="0.3"/>
  <cols>
    <col min="1" max="1" width="16" customWidth="1"/>
    <col min="2" max="2" width="32" customWidth="1"/>
    <col min="3" max="3" width="15" customWidth="1" outlineLevel="1"/>
    <col min="4" max="4" width="34" customWidth="1" outlineLevel="1"/>
    <col min="5" max="5" width="17" customWidth="1" outlineLevel="1"/>
    <col min="6" max="6" width="21" customWidth="1" outlineLevel="1"/>
    <col min="7" max="7" width="15" customWidth="1" outlineLevel="1"/>
    <col min="8" max="8" width="37" customWidth="1" outlineLevel="1"/>
    <col min="9" max="9" width="32" customWidth="1" outlineLevel="1"/>
    <col min="10" max="10" width="27" customWidth="1" outlineLevel="1"/>
    <col min="11" max="11" width="40" customWidth="1" outlineLevel="1"/>
    <col min="12" max="12" width="15" customWidth="1" outlineLevel="1"/>
    <col min="13" max="13" width="12" customWidth="1" outlineLevel="1"/>
    <col min="14" max="14" width="17" customWidth="1" outlineLevel="1"/>
    <col min="15" max="15" width="14" customWidth="1" outlineLevel="1"/>
    <col min="16" max="16" width="19" customWidth="1" outlineLevel="1"/>
    <col min="17" max="17" width="12" customWidth="1" outlineLevel="1"/>
    <col min="18" max="18" width="3.44140625" customWidth="1"/>
    <col min="19" max="19" width="24" customWidth="1" outlineLevel="1"/>
    <col min="20" max="20" width="20" customWidth="1" outlineLevel="1"/>
    <col min="21" max="21" width="28" customWidth="1" outlineLevel="1"/>
    <col min="22" max="22" width="20" customWidth="1" outlineLevel="1"/>
    <col min="23" max="23" width="19" customWidth="1" outlineLevel="1"/>
    <col min="24" max="25" width="14" customWidth="1" outlineLevel="1"/>
    <col min="26" max="26" width="19" customWidth="1" outlineLevel="1"/>
    <col min="27" max="27" width="21" customWidth="1" outlineLevel="1"/>
    <col min="28" max="28" width="30" customWidth="1" outlineLevel="1"/>
    <col min="29" max="29" width="3.44140625" customWidth="1"/>
    <col min="30" max="30" width="38" customWidth="1" outlineLevel="1"/>
    <col min="31" max="31" width="33" customWidth="1" outlineLevel="1"/>
    <col min="32" max="32" width="28" customWidth="1" outlineLevel="1"/>
    <col min="33" max="33" width="35" customWidth="1" outlineLevel="1"/>
    <col min="34" max="34" width="28" customWidth="1" outlineLevel="1"/>
    <col min="35" max="35" width="31" customWidth="1" outlineLevel="1"/>
    <col min="36" max="36" width="32" customWidth="1" outlineLevel="1"/>
    <col min="37" max="37" width="31" customWidth="1" outlineLevel="1"/>
    <col min="38" max="38" width="33" customWidth="1" outlineLevel="1"/>
    <col min="39" max="39" width="29" customWidth="1" outlineLevel="1"/>
    <col min="40" max="40" width="32" customWidth="1" outlineLevel="1"/>
    <col min="41" max="41" width="33" customWidth="1" outlineLevel="1"/>
    <col min="42" max="42" width="32" customWidth="1" outlineLevel="1"/>
    <col min="43" max="43" width="34" customWidth="1" outlineLevel="1"/>
    <col min="44" max="44" width="35" customWidth="1" outlineLevel="1"/>
    <col min="45" max="45" width="32" customWidth="1" outlineLevel="1"/>
    <col min="46" max="46" width="26" customWidth="1" outlineLevel="1"/>
    <col min="47" max="47" width="24" customWidth="1" outlineLevel="1"/>
    <col min="48" max="49" width="25" customWidth="1" outlineLevel="1"/>
    <col min="50" max="50" width="40" customWidth="1" outlineLevel="1"/>
    <col min="51" max="51" width="40" customWidth="1"/>
    <col min="52" max="52" width="25" customWidth="1"/>
    <col min="53" max="53" width="3.44140625" customWidth="1"/>
    <col min="54" max="54" width="72.5546875" bestFit="1" customWidth="1"/>
    <col min="55" max="55" width="29" customWidth="1"/>
  </cols>
  <sheetData>
    <row r="1" spans="1:55" ht="30" customHeight="1" x14ac:dyDescent="0.3">
      <c r="A1" s="17" t="s">
        <v>152</v>
      </c>
      <c r="B1" s="17" t="s">
        <v>153</v>
      </c>
      <c r="C1" s="17" t="s">
        <v>153</v>
      </c>
      <c r="D1" s="17" t="s">
        <v>153</v>
      </c>
      <c r="E1" s="17" t="s">
        <v>153</v>
      </c>
      <c r="F1" s="17" t="s">
        <v>153</v>
      </c>
      <c r="G1" s="17" t="s">
        <v>153</v>
      </c>
      <c r="H1" s="17" t="s">
        <v>153</v>
      </c>
      <c r="I1" s="17" t="s">
        <v>153</v>
      </c>
      <c r="J1" s="18"/>
      <c r="K1" s="18"/>
      <c r="L1" s="18"/>
      <c r="M1" s="17" t="s">
        <v>153</v>
      </c>
      <c r="N1" s="17" t="s">
        <v>153</v>
      </c>
      <c r="O1" s="17" t="s">
        <v>153</v>
      </c>
      <c r="P1" s="17" t="s">
        <v>153</v>
      </c>
      <c r="Q1" s="17" t="s">
        <v>153</v>
      </c>
      <c r="R1" s="18"/>
      <c r="S1" s="17" t="s">
        <v>154</v>
      </c>
      <c r="T1" s="18"/>
      <c r="U1" s="18"/>
      <c r="V1" s="17" t="s">
        <v>154</v>
      </c>
      <c r="W1" s="17" t="s">
        <v>154</v>
      </c>
      <c r="X1" s="17" t="s">
        <v>154</v>
      </c>
      <c r="Y1" s="18"/>
      <c r="Z1" s="17" t="s">
        <v>154</v>
      </c>
      <c r="AA1" s="17" t="s">
        <v>154</v>
      </c>
      <c r="AB1" s="17" t="s">
        <v>154</v>
      </c>
      <c r="AC1" s="18"/>
      <c r="AD1" s="17" t="s">
        <v>155</v>
      </c>
      <c r="AE1" s="17" t="s">
        <v>155</v>
      </c>
      <c r="AF1" s="17" t="s">
        <v>156</v>
      </c>
      <c r="AG1" s="17" t="s">
        <v>156</v>
      </c>
      <c r="AH1" s="17" t="s">
        <v>156</v>
      </c>
      <c r="AI1" s="18"/>
      <c r="AJ1" s="18"/>
      <c r="AK1" s="18"/>
      <c r="AL1" s="18"/>
      <c r="AM1" s="17" t="s">
        <v>157</v>
      </c>
      <c r="AN1" s="18"/>
      <c r="AO1" s="18"/>
      <c r="AP1" s="18"/>
      <c r="AQ1" s="18"/>
      <c r="AR1" s="17" t="s">
        <v>157</v>
      </c>
      <c r="AS1" s="18"/>
      <c r="AT1" s="18"/>
      <c r="AU1" s="18"/>
      <c r="AV1" s="18"/>
      <c r="AW1" s="18"/>
      <c r="AX1" s="18" t="s">
        <v>158</v>
      </c>
      <c r="AY1" s="18" t="s">
        <v>158</v>
      </c>
      <c r="AZ1" s="17" t="s">
        <v>155</v>
      </c>
      <c r="BA1" s="18"/>
      <c r="BB1" s="18" t="s">
        <v>158</v>
      </c>
      <c r="BC1" s="18" t="s">
        <v>158</v>
      </c>
    </row>
    <row r="2" spans="1:55" ht="60" customHeight="1" x14ac:dyDescent="0.3">
      <c r="A2" s="28" t="s">
        <v>21</v>
      </c>
      <c r="B2" s="28" t="s">
        <v>713</v>
      </c>
      <c r="C2" s="28" t="s">
        <v>161</v>
      </c>
      <c r="D2" s="28" t="s">
        <v>162</v>
      </c>
      <c r="E2" s="28" t="s">
        <v>714</v>
      </c>
      <c r="F2" s="28" t="s">
        <v>715</v>
      </c>
      <c r="G2" s="28" t="s">
        <v>163</v>
      </c>
      <c r="H2" s="28" t="s">
        <v>164</v>
      </c>
      <c r="I2" s="29" t="s">
        <v>716</v>
      </c>
      <c r="J2" s="29" t="s">
        <v>717</v>
      </c>
      <c r="K2" s="29" t="s">
        <v>718</v>
      </c>
      <c r="L2" s="29" t="s">
        <v>719</v>
      </c>
      <c r="M2" s="29" t="s">
        <v>166</v>
      </c>
      <c r="N2" s="29" t="s">
        <v>167</v>
      </c>
      <c r="O2" s="29" t="s">
        <v>168</v>
      </c>
      <c r="P2" s="29" t="s">
        <v>169</v>
      </c>
      <c r="Q2" s="29" t="s">
        <v>170</v>
      </c>
      <c r="R2" s="20" t="s">
        <v>720</v>
      </c>
      <c r="S2" s="21" t="s">
        <v>24</v>
      </c>
      <c r="T2" s="21" t="s">
        <v>27</v>
      </c>
      <c r="U2" s="21" t="s">
        <v>29</v>
      </c>
      <c r="V2" s="21" t="s">
        <v>31</v>
      </c>
      <c r="W2" s="21" t="s">
        <v>172</v>
      </c>
      <c r="X2" s="21" t="s">
        <v>33</v>
      </c>
      <c r="Y2" s="21" t="s">
        <v>35</v>
      </c>
      <c r="Z2" s="21" t="s">
        <v>37</v>
      </c>
      <c r="AA2" s="21" t="s">
        <v>41</v>
      </c>
      <c r="AB2" s="21" t="s">
        <v>39</v>
      </c>
      <c r="AC2" s="20" t="s">
        <v>173</v>
      </c>
      <c r="AD2" s="22" t="s">
        <v>48</v>
      </c>
      <c r="AE2" s="22" t="s">
        <v>51</v>
      </c>
      <c r="AF2" s="22" t="s">
        <v>53</v>
      </c>
      <c r="AG2" s="22" t="s">
        <v>55</v>
      </c>
      <c r="AH2" s="22" t="s">
        <v>174</v>
      </c>
      <c r="AI2" s="22" t="s">
        <v>175</v>
      </c>
      <c r="AJ2" s="22" t="s">
        <v>176</v>
      </c>
      <c r="AK2" s="22" t="s">
        <v>177</v>
      </c>
      <c r="AL2" s="22" t="s">
        <v>63</v>
      </c>
      <c r="AM2" s="22" t="s">
        <v>57</v>
      </c>
      <c r="AN2" s="22" t="s">
        <v>178</v>
      </c>
      <c r="AO2" s="22" t="s">
        <v>179</v>
      </c>
      <c r="AP2" s="22" t="s">
        <v>180</v>
      </c>
      <c r="AQ2" s="22" t="s">
        <v>181</v>
      </c>
      <c r="AR2" s="22" t="s">
        <v>59</v>
      </c>
      <c r="AS2" s="22" t="s">
        <v>61</v>
      </c>
      <c r="AT2" s="22" t="s">
        <v>182</v>
      </c>
      <c r="AU2" s="22" t="s">
        <v>183</v>
      </c>
      <c r="AV2" s="22" t="s">
        <v>184</v>
      </c>
      <c r="AW2" s="22" t="s">
        <v>185</v>
      </c>
      <c r="AX2" s="23" t="s">
        <v>186</v>
      </c>
      <c r="AY2" s="23" t="s">
        <v>187</v>
      </c>
      <c r="AZ2" s="22" t="s">
        <v>188</v>
      </c>
      <c r="BA2" s="20" t="s">
        <v>189</v>
      </c>
      <c r="BB2" s="24" t="s">
        <v>190</v>
      </c>
      <c r="BC2" s="24" t="s">
        <v>191</v>
      </c>
    </row>
    <row r="3" spans="1:55" x14ac:dyDescent="0.3">
      <c r="A3" t="s">
        <v>721</v>
      </c>
      <c r="B3" t="s">
        <v>722</v>
      </c>
      <c r="C3" t="s">
        <v>723</v>
      </c>
      <c r="D3" t="s">
        <v>724</v>
      </c>
      <c r="G3" t="s">
        <v>725</v>
      </c>
      <c r="H3" t="s">
        <v>197</v>
      </c>
      <c r="L3">
        <v>1000</v>
      </c>
      <c r="M3">
        <v>1</v>
      </c>
      <c r="N3" t="s">
        <v>198</v>
      </c>
      <c r="O3">
        <v>0</v>
      </c>
      <c r="P3" t="s">
        <v>198</v>
      </c>
      <c r="Q3" t="s">
        <v>726</v>
      </c>
      <c r="R3" s="3"/>
      <c r="W3" t="s">
        <v>200</v>
      </c>
      <c r="X3" s="25"/>
      <c r="Y3" s="26"/>
      <c r="Z3" s="27"/>
      <c r="AA3" t="s">
        <v>25</v>
      </c>
      <c r="AB3" t="s">
        <v>201</v>
      </c>
      <c r="AC3" s="3"/>
      <c r="AH3" t="s">
        <v>202</v>
      </c>
      <c r="AK3" t="s">
        <v>203</v>
      </c>
      <c r="AP3" t="s">
        <v>200</v>
      </c>
      <c r="AR3" s="25"/>
      <c r="AT3" s="25">
        <v>0</v>
      </c>
      <c r="AU3" s="26"/>
      <c r="AV3" s="26"/>
      <c r="AW3" s="26"/>
      <c r="AX3" s="26" t="str">
        <f t="shared" ref="AX3:AX66" si="0">IF(COUNT(AU3,AV3,AW3)=0,"",ROUND(AVERAGE(AU3,AV3,AW3),3))</f>
        <v/>
      </c>
      <c r="AY3" t="str">
        <f t="shared" ref="AY3:AY66" si="1">IF(AO3="","",ROUND(AO3*IF(M3="",0,M3)*(1+IF(AR3="",0,AR3)),5))</f>
        <v/>
      </c>
      <c r="AZ3" t="s">
        <v>200</v>
      </c>
      <c r="BA3" s="3"/>
      <c r="BB3" t="str">
        <f t="shared" ref="BB3:BB66" si="2">IF(AND(A3&lt;&gt;"",G3=""),"Supplier code empty (High);","")&amp;IF(AND(X3&lt;&gt;"",OR(X3&gt;1,X3&lt;0)),"Incorrect PDS value (High);",IF(AND(X3&lt;&gt;"",X3&gt;0.5),"High PDS value (Medium);",""))&amp;IF(AND(Y3&lt;&gt;"",OR(Y3&gt;5,Y3&lt;1)),"Incorrect DQR value (High);",IF(AND(Y3&lt;&gt;"",Y3&gt;4),"Incorrect DQR value (Medium);",IF(AND(Y3&lt;&gt;"",Y3&gt;3),"Incorrect DQR value (Low);","")))&amp;IF(AND(V3&lt;&gt;"",OR(V3&lt;=0,V3&gt;100)),"Unusual PCF value might be wrong (High);","")&amp;IF(AND(AT3&lt;&gt;"",OR(AT3&gt;1,AT3&lt;0)),"Incorrect PDS value (High);",IF(AND(AT3&lt;&gt;"",AT3&gt;0.5),"High PDS value (Medium);",""))&amp;IF(AND(AX3&lt;&gt;"",OR(AX3&gt;5,AX3&lt;1)),"Incorrect DQR value (High);",IF(AND(AX3&lt;&gt;"",AX3&gt;4),"Incorrect DQR value (Medium);",IF(AND(AX3&lt;&gt;"",AX3&gt;3),"Incorrect DQR value (Low);","")))&amp;IF(AND(AR3&lt;&gt;"",OR(AR3&gt;1,AR3&lt;0)),"Incorrect scrap rate (High);",IF(AND(A3&lt;&gt;"",AR3=0),"No scrap rate (No impact);",""))&amp;IF(AND(A3&lt;&gt;"",I3="",J3="",K3=""),"No raw material available (High);","")&amp;""</f>
        <v>No scrap rate (No impact);No raw material available (High);</v>
      </c>
    </row>
    <row r="4" spans="1:55" x14ac:dyDescent="0.3">
      <c r="A4" t="s">
        <v>727</v>
      </c>
      <c r="B4" t="s">
        <v>728</v>
      </c>
      <c r="C4" t="s">
        <v>723</v>
      </c>
      <c r="D4" t="s">
        <v>724</v>
      </c>
      <c r="G4" t="s">
        <v>725</v>
      </c>
      <c r="H4" t="s">
        <v>197</v>
      </c>
      <c r="L4">
        <v>0</v>
      </c>
      <c r="M4">
        <v>0</v>
      </c>
      <c r="N4" t="s">
        <v>198</v>
      </c>
      <c r="O4">
        <v>0</v>
      </c>
      <c r="P4" t="s">
        <v>198</v>
      </c>
      <c r="R4" s="3"/>
      <c r="W4" t="s">
        <v>200</v>
      </c>
      <c r="X4" s="25"/>
      <c r="Y4" s="26"/>
      <c r="Z4" s="27"/>
      <c r="AA4" t="s">
        <v>25</v>
      </c>
      <c r="AB4" t="s">
        <v>201</v>
      </c>
      <c r="AC4" s="3"/>
      <c r="AH4" t="s">
        <v>202</v>
      </c>
      <c r="AK4" t="s">
        <v>203</v>
      </c>
      <c r="AP4" t="s">
        <v>200</v>
      </c>
      <c r="AR4" s="25"/>
      <c r="AT4" s="25">
        <v>0</v>
      </c>
      <c r="AU4" s="26"/>
      <c r="AV4" s="26"/>
      <c r="AW4" s="26"/>
      <c r="AX4" s="26" t="str">
        <f t="shared" si="0"/>
        <v/>
      </c>
      <c r="AY4" t="str">
        <f t="shared" si="1"/>
        <v/>
      </c>
      <c r="AZ4" t="s">
        <v>200</v>
      </c>
      <c r="BA4" s="3"/>
      <c r="BB4" t="str">
        <f t="shared" si="2"/>
        <v>No scrap rate (No impact);No raw material available (High);</v>
      </c>
    </row>
    <row r="5" spans="1:55" x14ac:dyDescent="0.3">
      <c r="A5" t="s">
        <v>729</v>
      </c>
      <c r="B5" t="s">
        <v>730</v>
      </c>
      <c r="C5" t="s">
        <v>723</v>
      </c>
      <c r="D5" t="s">
        <v>724</v>
      </c>
      <c r="L5">
        <v>1</v>
      </c>
      <c r="M5">
        <v>1</v>
      </c>
      <c r="N5" t="s">
        <v>198</v>
      </c>
      <c r="O5">
        <v>0</v>
      </c>
      <c r="P5" t="s">
        <v>198</v>
      </c>
      <c r="Q5" t="s">
        <v>199</v>
      </c>
      <c r="R5" s="3"/>
      <c r="W5" t="s">
        <v>200</v>
      </c>
      <c r="X5" s="25"/>
      <c r="Y5" s="26"/>
      <c r="Z5" s="27"/>
      <c r="AA5" t="s">
        <v>25</v>
      </c>
      <c r="AB5" t="s">
        <v>201</v>
      </c>
      <c r="AC5" s="3"/>
      <c r="AH5" t="s">
        <v>202</v>
      </c>
      <c r="AK5" t="s">
        <v>203</v>
      </c>
      <c r="AP5" t="s">
        <v>200</v>
      </c>
      <c r="AR5" s="25"/>
      <c r="AT5" s="25">
        <v>0</v>
      </c>
      <c r="AU5" s="26"/>
      <c r="AV5" s="26"/>
      <c r="AW5" s="26"/>
      <c r="AX5" s="26" t="str">
        <f t="shared" si="0"/>
        <v/>
      </c>
      <c r="AY5" t="str">
        <f t="shared" si="1"/>
        <v/>
      </c>
      <c r="AZ5" t="s">
        <v>200</v>
      </c>
      <c r="BA5" s="3"/>
      <c r="BB5" t="str">
        <f t="shared" si="2"/>
        <v>Supplier code empty (High);No scrap rate (No impact);No raw material available (High);</v>
      </c>
    </row>
    <row r="6" spans="1:55" x14ac:dyDescent="0.3">
      <c r="A6" t="s">
        <v>731</v>
      </c>
      <c r="B6" t="s">
        <v>732</v>
      </c>
      <c r="C6" t="s">
        <v>723</v>
      </c>
      <c r="D6" t="s">
        <v>724</v>
      </c>
      <c r="G6" t="s">
        <v>242</v>
      </c>
      <c r="H6" t="s">
        <v>243</v>
      </c>
      <c r="L6">
        <v>25</v>
      </c>
      <c r="M6">
        <v>1</v>
      </c>
      <c r="N6" t="s">
        <v>198</v>
      </c>
      <c r="O6">
        <v>0</v>
      </c>
      <c r="P6" t="s">
        <v>198</v>
      </c>
      <c r="Q6" t="s">
        <v>199</v>
      </c>
      <c r="R6" s="3"/>
      <c r="W6" t="s">
        <v>200</v>
      </c>
      <c r="X6" s="25"/>
      <c r="Y6" s="26"/>
      <c r="Z6" s="27"/>
      <c r="AA6" t="s">
        <v>25</v>
      </c>
      <c r="AB6" t="s">
        <v>201</v>
      </c>
      <c r="AC6" s="3"/>
      <c r="AH6" t="s">
        <v>202</v>
      </c>
      <c r="AK6" t="s">
        <v>203</v>
      </c>
      <c r="AP6" t="s">
        <v>200</v>
      </c>
      <c r="AR6" s="25"/>
      <c r="AT6" s="25">
        <v>0</v>
      </c>
      <c r="AU6" s="26"/>
      <c r="AV6" s="26"/>
      <c r="AW6" s="26"/>
      <c r="AX6" s="26" t="str">
        <f t="shared" si="0"/>
        <v/>
      </c>
      <c r="AY6" t="str">
        <f t="shared" si="1"/>
        <v/>
      </c>
      <c r="AZ6" t="s">
        <v>200</v>
      </c>
      <c r="BA6" s="3"/>
      <c r="BB6" t="str">
        <f t="shared" si="2"/>
        <v>No scrap rate (No impact);No raw material available (High);</v>
      </c>
    </row>
    <row r="7" spans="1:55" x14ac:dyDescent="0.3">
      <c r="A7" t="s">
        <v>733</v>
      </c>
      <c r="B7" t="s">
        <v>734</v>
      </c>
      <c r="C7" t="s">
        <v>723</v>
      </c>
      <c r="D7" t="s">
        <v>724</v>
      </c>
      <c r="G7" t="s">
        <v>242</v>
      </c>
      <c r="H7" t="s">
        <v>243</v>
      </c>
      <c r="L7">
        <v>20</v>
      </c>
      <c r="M7">
        <v>1</v>
      </c>
      <c r="N7" t="s">
        <v>198</v>
      </c>
      <c r="O7">
        <v>0</v>
      </c>
      <c r="P7" t="s">
        <v>198</v>
      </c>
      <c r="Q7" t="s">
        <v>199</v>
      </c>
      <c r="R7" s="3"/>
      <c r="W7" t="s">
        <v>200</v>
      </c>
      <c r="X7" s="25"/>
      <c r="Y7" s="26"/>
      <c r="Z7" s="27"/>
      <c r="AA7" t="s">
        <v>25</v>
      </c>
      <c r="AB7" t="s">
        <v>201</v>
      </c>
      <c r="AC7" s="3"/>
      <c r="AH7" t="s">
        <v>202</v>
      </c>
      <c r="AK7" t="s">
        <v>203</v>
      </c>
      <c r="AP7" t="s">
        <v>200</v>
      </c>
      <c r="AR7" s="25"/>
      <c r="AT7" s="25">
        <v>0</v>
      </c>
      <c r="AU7" s="26"/>
      <c r="AV7" s="26"/>
      <c r="AW7" s="26"/>
      <c r="AX7" s="26" t="str">
        <f t="shared" si="0"/>
        <v/>
      </c>
      <c r="AY7" t="str">
        <f t="shared" si="1"/>
        <v/>
      </c>
      <c r="AZ7" t="s">
        <v>200</v>
      </c>
      <c r="BA7" s="3"/>
      <c r="BB7" t="str">
        <f t="shared" si="2"/>
        <v>No scrap rate (No impact);No raw material available (High);</v>
      </c>
    </row>
    <row r="8" spans="1:55" x14ac:dyDescent="0.3">
      <c r="A8" t="s">
        <v>735</v>
      </c>
      <c r="B8" t="s">
        <v>736</v>
      </c>
      <c r="C8" t="s">
        <v>723</v>
      </c>
      <c r="D8" t="s">
        <v>724</v>
      </c>
      <c r="G8" t="s">
        <v>737</v>
      </c>
      <c r="H8" t="s">
        <v>738</v>
      </c>
      <c r="L8">
        <v>1</v>
      </c>
      <c r="M8">
        <v>1</v>
      </c>
      <c r="N8" t="s">
        <v>198</v>
      </c>
      <c r="O8">
        <v>0</v>
      </c>
      <c r="P8" t="s">
        <v>198</v>
      </c>
      <c r="Q8" t="s">
        <v>199</v>
      </c>
      <c r="R8" s="3"/>
      <c r="W8" t="s">
        <v>200</v>
      </c>
      <c r="X8" s="25"/>
      <c r="Y8" s="26"/>
      <c r="Z8" s="27"/>
      <c r="AA8" t="s">
        <v>25</v>
      </c>
      <c r="AB8" t="s">
        <v>201</v>
      </c>
      <c r="AC8" s="3"/>
      <c r="AH8" t="s">
        <v>202</v>
      </c>
      <c r="AK8" t="s">
        <v>203</v>
      </c>
      <c r="AP8" t="s">
        <v>200</v>
      </c>
      <c r="AR8" s="25"/>
      <c r="AT8" s="25">
        <v>0</v>
      </c>
      <c r="AU8" s="26"/>
      <c r="AV8" s="26"/>
      <c r="AW8" s="26"/>
      <c r="AX8" s="26" t="str">
        <f t="shared" si="0"/>
        <v/>
      </c>
      <c r="AY8" t="str">
        <f t="shared" si="1"/>
        <v/>
      </c>
      <c r="AZ8" t="s">
        <v>200</v>
      </c>
      <c r="BA8" s="3"/>
      <c r="BB8" t="str">
        <f t="shared" si="2"/>
        <v>No scrap rate (No impact);No raw material available (High);</v>
      </c>
    </row>
    <row r="9" spans="1:55" x14ac:dyDescent="0.3">
      <c r="A9" t="s">
        <v>739</v>
      </c>
      <c r="B9" t="s">
        <v>740</v>
      </c>
      <c r="C9" t="s">
        <v>741</v>
      </c>
      <c r="D9" t="s">
        <v>742</v>
      </c>
      <c r="G9" t="s">
        <v>743</v>
      </c>
      <c r="H9" t="s">
        <v>744</v>
      </c>
      <c r="L9">
        <v>30</v>
      </c>
      <c r="M9">
        <v>1</v>
      </c>
      <c r="N9" t="s">
        <v>198</v>
      </c>
      <c r="O9">
        <v>0</v>
      </c>
      <c r="P9" t="s">
        <v>198</v>
      </c>
      <c r="Q9" t="s">
        <v>199</v>
      </c>
      <c r="R9" s="3"/>
      <c r="W9" t="s">
        <v>200</v>
      </c>
      <c r="X9" s="25"/>
      <c r="Y9" s="26"/>
      <c r="Z9" s="27"/>
      <c r="AA9" t="s">
        <v>25</v>
      </c>
      <c r="AB9" t="s">
        <v>201</v>
      </c>
      <c r="AC9" s="3"/>
      <c r="AH9" t="s">
        <v>202</v>
      </c>
      <c r="AK9" t="s">
        <v>203</v>
      </c>
      <c r="AP9" t="s">
        <v>200</v>
      </c>
      <c r="AR9" s="25"/>
      <c r="AT9" s="25">
        <v>0</v>
      </c>
      <c r="AU9" s="26"/>
      <c r="AV9" s="26"/>
      <c r="AW9" s="26"/>
      <c r="AX9" s="26" t="str">
        <f t="shared" si="0"/>
        <v/>
      </c>
      <c r="AY9" t="str">
        <f t="shared" si="1"/>
        <v/>
      </c>
      <c r="AZ9" t="s">
        <v>200</v>
      </c>
      <c r="BA9" s="3"/>
      <c r="BB9" t="str">
        <f t="shared" si="2"/>
        <v>No scrap rate (No impact);No raw material available (High);</v>
      </c>
    </row>
    <row r="10" spans="1:55" x14ac:dyDescent="0.3">
      <c r="A10" t="s">
        <v>745</v>
      </c>
      <c r="B10" t="s">
        <v>746</v>
      </c>
      <c r="C10" t="s">
        <v>747</v>
      </c>
      <c r="D10" t="s">
        <v>748</v>
      </c>
      <c r="G10" t="s">
        <v>529</v>
      </c>
      <c r="H10" t="s">
        <v>530</v>
      </c>
      <c r="L10">
        <v>0</v>
      </c>
      <c r="M10">
        <v>17</v>
      </c>
      <c r="N10" t="s">
        <v>198</v>
      </c>
      <c r="O10">
        <v>17</v>
      </c>
      <c r="P10" t="s">
        <v>198</v>
      </c>
      <c r="Q10" t="s">
        <v>199</v>
      </c>
      <c r="R10" s="3"/>
      <c r="W10" t="s">
        <v>200</v>
      </c>
      <c r="X10" s="25"/>
      <c r="Y10" s="26"/>
      <c r="Z10" s="27"/>
      <c r="AA10" t="s">
        <v>25</v>
      </c>
      <c r="AB10" t="s">
        <v>201</v>
      </c>
      <c r="AC10" s="3"/>
      <c r="AH10" t="s">
        <v>202</v>
      </c>
      <c r="AK10" t="s">
        <v>203</v>
      </c>
      <c r="AP10" t="s">
        <v>200</v>
      </c>
      <c r="AR10" s="25"/>
      <c r="AT10" s="25">
        <v>0</v>
      </c>
      <c r="AU10" s="26"/>
      <c r="AV10" s="26"/>
      <c r="AW10" s="26"/>
      <c r="AX10" s="26" t="str">
        <f t="shared" si="0"/>
        <v/>
      </c>
      <c r="AY10" t="str">
        <f t="shared" si="1"/>
        <v/>
      </c>
      <c r="AZ10" t="s">
        <v>200</v>
      </c>
      <c r="BA10" s="3"/>
      <c r="BB10" t="str">
        <f t="shared" si="2"/>
        <v>No scrap rate (No impact);No raw material available (High);</v>
      </c>
    </row>
    <row r="11" spans="1:55" x14ac:dyDescent="0.3">
      <c r="A11" t="s">
        <v>749</v>
      </c>
      <c r="B11" t="s">
        <v>750</v>
      </c>
      <c r="C11" t="s">
        <v>723</v>
      </c>
      <c r="D11" t="s">
        <v>724</v>
      </c>
      <c r="G11" t="s">
        <v>751</v>
      </c>
      <c r="H11" t="s">
        <v>752</v>
      </c>
      <c r="L11">
        <v>0</v>
      </c>
      <c r="M11">
        <v>0</v>
      </c>
      <c r="N11" t="s">
        <v>198</v>
      </c>
      <c r="O11">
        <v>0</v>
      </c>
      <c r="P11" t="s">
        <v>198</v>
      </c>
      <c r="R11" s="3"/>
      <c r="W11" t="s">
        <v>200</v>
      </c>
      <c r="X11" s="25"/>
      <c r="Y11" s="26"/>
      <c r="Z11" s="27"/>
      <c r="AA11" t="s">
        <v>25</v>
      </c>
      <c r="AB11" t="s">
        <v>201</v>
      </c>
      <c r="AC11" s="3"/>
      <c r="AH11" t="s">
        <v>202</v>
      </c>
      <c r="AK11" t="s">
        <v>203</v>
      </c>
      <c r="AP11" t="s">
        <v>200</v>
      </c>
      <c r="AR11" s="25"/>
      <c r="AT11" s="25">
        <v>0</v>
      </c>
      <c r="AU11" s="26"/>
      <c r="AV11" s="26"/>
      <c r="AW11" s="26"/>
      <c r="AX11" s="26" t="str">
        <f t="shared" si="0"/>
        <v/>
      </c>
      <c r="AY11" t="str">
        <f t="shared" si="1"/>
        <v/>
      </c>
      <c r="AZ11" t="s">
        <v>200</v>
      </c>
      <c r="BA11" s="3"/>
      <c r="BB11" t="str">
        <f t="shared" si="2"/>
        <v>No scrap rate (No impact);No raw material available (High);</v>
      </c>
    </row>
    <row r="12" spans="1:55" x14ac:dyDescent="0.3">
      <c r="A12" t="s">
        <v>753</v>
      </c>
      <c r="B12" t="s">
        <v>754</v>
      </c>
      <c r="C12" t="s">
        <v>741</v>
      </c>
      <c r="D12" t="s">
        <v>742</v>
      </c>
      <c r="G12" t="s">
        <v>755</v>
      </c>
      <c r="H12" t="s">
        <v>756</v>
      </c>
      <c r="L12">
        <v>1</v>
      </c>
      <c r="M12">
        <v>0</v>
      </c>
      <c r="N12" t="s">
        <v>198</v>
      </c>
      <c r="O12">
        <v>0</v>
      </c>
      <c r="P12" t="s">
        <v>198</v>
      </c>
      <c r="Q12" t="s">
        <v>757</v>
      </c>
      <c r="R12" s="3"/>
      <c r="W12" t="s">
        <v>200</v>
      </c>
      <c r="X12" s="25"/>
      <c r="Y12" s="26"/>
      <c r="Z12" s="27"/>
      <c r="AA12" t="s">
        <v>25</v>
      </c>
      <c r="AB12" t="s">
        <v>201</v>
      </c>
      <c r="AC12" s="3"/>
      <c r="AH12" t="s">
        <v>202</v>
      </c>
      <c r="AK12" t="s">
        <v>203</v>
      </c>
      <c r="AP12" t="s">
        <v>200</v>
      </c>
      <c r="AR12" s="25"/>
      <c r="AT12" s="25">
        <v>0</v>
      </c>
      <c r="AU12" s="26"/>
      <c r="AV12" s="26"/>
      <c r="AW12" s="26"/>
      <c r="AX12" s="26" t="str">
        <f t="shared" si="0"/>
        <v/>
      </c>
      <c r="AY12" t="str">
        <f t="shared" si="1"/>
        <v/>
      </c>
      <c r="AZ12" t="s">
        <v>200</v>
      </c>
      <c r="BA12" s="3"/>
      <c r="BB12" t="str">
        <f t="shared" si="2"/>
        <v>No scrap rate (No impact);No raw material available (High);</v>
      </c>
    </row>
    <row r="13" spans="1:55" x14ac:dyDescent="0.3">
      <c r="A13" t="s">
        <v>758</v>
      </c>
      <c r="B13" t="s">
        <v>759</v>
      </c>
      <c r="C13" t="s">
        <v>723</v>
      </c>
      <c r="D13" t="s">
        <v>724</v>
      </c>
      <c r="G13" t="s">
        <v>725</v>
      </c>
      <c r="H13" t="s">
        <v>197</v>
      </c>
      <c r="I13" t="s">
        <v>760</v>
      </c>
      <c r="L13">
        <v>25</v>
      </c>
      <c r="M13">
        <v>1</v>
      </c>
      <c r="N13" t="s">
        <v>198</v>
      </c>
      <c r="O13">
        <v>0</v>
      </c>
      <c r="P13" t="s">
        <v>198</v>
      </c>
      <c r="Q13" t="s">
        <v>199</v>
      </c>
      <c r="R13" s="3"/>
      <c r="W13" t="s">
        <v>200</v>
      </c>
      <c r="X13" s="25"/>
      <c r="Y13" s="26"/>
      <c r="Z13" s="27"/>
      <c r="AA13" t="s">
        <v>25</v>
      </c>
      <c r="AB13" t="s">
        <v>201</v>
      </c>
      <c r="AC13" s="3"/>
      <c r="AH13" t="s">
        <v>202</v>
      </c>
      <c r="AK13" t="s">
        <v>203</v>
      </c>
      <c r="AP13" t="s">
        <v>200</v>
      </c>
      <c r="AR13" s="25"/>
      <c r="AT13" s="25">
        <v>0</v>
      </c>
      <c r="AU13" s="26"/>
      <c r="AV13" s="26"/>
      <c r="AW13" s="26"/>
      <c r="AX13" s="26" t="str">
        <f t="shared" si="0"/>
        <v/>
      </c>
      <c r="AY13" t="str">
        <f t="shared" si="1"/>
        <v/>
      </c>
      <c r="AZ13" t="s">
        <v>200</v>
      </c>
      <c r="BA13" s="3"/>
      <c r="BB13" t="str">
        <f t="shared" si="2"/>
        <v>No scrap rate (No impact);</v>
      </c>
    </row>
    <row r="14" spans="1:55" x14ac:dyDescent="0.3">
      <c r="A14" t="s">
        <v>761</v>
      </c>
      <c r="B14" t="s">
        <v>762</v>
      </c>
      <c r="C14" t="s">
        <v>723</v>
      </c>
      <c r="D14" t="s">
        <v>724</v>
      </c>
      <c r="G14" t="s">
        <v>725</v>
      </c>
      <c r="H14" t="s">
        <v>197</v>
      </c>
      <c r="L14">
        <v>16</v>
      </c>
      <c r="M14">
        <v>1</v>
      </c>
      <c r="N14" t="s">
        <v>198</v>
      </c>
      <c r="O14">
        <v>0</v>
      </c>
      <c r="P14" t="s">
        <v>198</v>
      </c>
      <c r="Q14" t="s">
        <v>199</v>
      </c>
      <c r="R14" s="3"/>
      <c r="W14" t="s">
        <v>200</v>
      </c>
      <c r="X14" s="25"/>
      <c r="Y14" s="26"/>
      <c r="Z14" s="27"/>
      <c r="AA14" t="s">
        <v>25</v>
      </c>
      <c r="AB14" t="s">
        <v>201</v>
      </c>
      <c r="AC14" s="3"/>
      <c r="AH14" t="s">
        <v>202</v>
      </c>
      <c r="AK14" t="s">
        <v>203</v>
      </c>
      <c r="AP14" t="s">
        <v>200</v>
      </c>
      <c r="AR14" s="25"/>
      <c r="AT14" s="25">
        <v>0</v>
      </c>
      <c r="AU14" s="26"/>
      <c r="AV14" s="26"/>
      <c r="AW14" s="26"/>
      <c r="AX14" s="26" t="str">
        <f t="shared" si="0"/>
        <v/>
      </c>
      <c r="AY14" t="str">
        <f t="shared" si="1"/>
        <v/>
      </c>
      <c r="AZ14" t="s">
        <v>200</v>
      </c>
      <c r="BA14" s="3"/>
      <c r="BB14" t="str">
        <f t="shared" si="2"/>
        <v>No scrap rate (No impact);No raw material available (High);</v>
      </c>
    </row>
    <row r="15" spans="1:55" x14ac:dyDescent="0.3">
      <c r="A15" t="s">
        <v>763</v>
      </c>
      <c r="B15" t="s">
        <v>764</v>
      </c>
      <c r="C15" t="s">
        <v>723</v>
      </c>
      <c r="D15" t="s">
        <v>724</v>
      </c>
      <c r="G15" t="s">
        <v>765</v>
      </c>
      <c r="H15" t="s">
        <v>766</v>
      </c>
      <c r="L15">
        <v>1</v>
      </c>
      <c r="M15">
        <v>1</v>
      </c>
      <c r="N15" t="s">
        <v>198</v>
      </c>
      <c r="O15">
        <v>0</v>
      </c>
      <c r="P15" t="s">
        <v>198</v>
      </c>
      <c r="Q15" t="s">
        <v>199</v>
      </c>
      <c r="R15" s="3"/>
      <c r="W15" t="s">
        <v>200</v>
      </c>
      <c r="X15" s="25"/>
      <c r="Y15" s="26"/>
      <c r="Z15" s="27"/>
      <c r="AA15" t="s">
        <v>25</v>
      </c>
      <c r="AB15" t="s">
        <v>201</v>
      </c>
      <c r="AC15" s="3"/>
      <c r="AH15" t="s">
        <v>202</v>
      </c>
      <c r="AK15" t="s">
        <v>203</v>
      </c>
      <c r="AP15" t="s">
        <v>200</v>
      </c>
      <c r="AR15" s="25"/>
      <c r="AT15" s="25">
        <v>0</v>
      </c>
      <c r="AU15" s="26"/>
      <c r="AV15" s="26"/>
      <c r="AW15" s="26"/>
      <c r="AX15" s="26" t="str">
        <f t="shared" si="0"/>
        <v/>
      </c>
      <c r="AY15" t="str">
        <f t="shared" si="1"/>
        <v/>
      </c>
      <c r="AZ15" t="s">
        <v>200</v>
      </c>
      <c r="BA15" s="3"/>
      <c r="BB15" t="str">
        <f t="shared" si="2"/>
        <v>No scrap rate (No impact);No raw material available (High);</v>
      </c>
    </row>
    <row r="16" spans="1:55" x14ac:dyDescent="0.3">
      <c r="A16" t="s">
        <v>767</v>
      </c>
      <c r="B16" t="s">
        <v>768</v>
      </c>
      <c r="C16" t="s">
        <v>723</v>
      </c>
      <c r="D16" t="s">
        <v>724</v>
      </c>
      <c r="G16" t="s">
        <v>769</v>
      </c>
      <c r="H16" t="s">
        <v>770</v>
      </c>
      <c r="L16">
        <v>25</v>
      </c>
      <c r="M16">
        <v>1</v>
      </c>
      <c r="N16" t="s">
        <v>198</v>
      </c>
      <c r="O16">
        <v>0</v>
      </c>
      <c r="P16" t="s">
        <v>198</v>
      </c>
      <c r="Q16" t="s">
        <v>199</v>
      </c>
      <c r="R16" s="3"/>
      <c r="W16" t="s">
        <v>200</v>
      </c>
      <c r="X16" s="25"/>
      <c r="Y16" s="26"/>
      <c r="Z16" s="27"/>
      <c r="AA16" t="s">
        <v>25</v>
      </c>
      <c r="AB16" t="s">
        <v>201</v>
      </c>
      <c r="AC16" s="3"/>
      <c r="AH16" t="s">
        <v>202</v>
      </c>
      <c r="AK16" t="s">
        <v>203</v>
      </c>
      <c r="AP16" t="s">
        <v>200</v>
      </c>
      <c r="AR16" s="25"/>
      <c r="AT16" s="25">
        <v>0</v>
      </c>
      <c r="AU16" s="26"/>
      <c r="AV16" s="26"/>
      <c r="AW16" s="26"/>
      <c r="AX16" s="26" t="str">
        <f t="shared" si="0"/>
        <v/>
      </c>
      <c r="AY16" t="str">
        <f t="shared" si="1"/>
        <v/>
      </c>
      <c r="AZ16" t="s">
        <v>200</v>
      </c>
      <c r="BA16" s="3"/>
      <c r="BB16" t="str">
        <f t="shared" si="2"/>
        <v>No scrap rate (No impact);No raw material available (High);</v>
      </c>
    </row>
    <row r="17" spans="1:54" x14ac:dyDescent="0.3">
      <c r="A17" t="s">
        <v>771</v>
      </c>
      <c r="B17" t="s">
        <v>772</v>
      </c>
      <c r="C17" t="s">
        <v>723</v>
      </c>
      <c r="D17" t="s">
        <v>724</v>
      </c>
      <c r="G17" t="s">
        <v>773</v>
      </c>
      <c r="H17" t="s">
        <v>774</v>
      </c>
      <c r="L17">
        <v>25</v>
      </c>
      <c r="M17">
        <v>1</v>
      </c>
      <c r="N17" t="s">
        <v>198</v>
      </c>
      <c r="O17">
        <v>0</v>
      </c>
      <c r="P17" t="s">
        <v>198</v>
      </c>
      <c r="Q17" t="s">
        <v>199</v>
      </c>
      <c r="R17" s="3"/>
      <c r="W17" t="s">
        <v>200</v>
      </c>
      <c r="X17" s="25"/>
      <c r="Y17" s="26"/>
      <c r="Z17" s="27"/>
      <c r="AA17" t="s">
        <v>25</v>
      </c>
      <c r="AB17" t="s">
        <v>201</v>
      </c>
      <c r="AC17" s="3"/>
      <c r="AH17" t="s">
        <v>202</v>
      </c>
      <c r="AK17" t="s">
        <v>203</v>
      </c>
      <c r="AP17" t="s">
        <v>200</v>
      </c>
      <c r="AR17" s="25"/>
      <c r="AT17" s="25">
        <v>0</v>
      </c>
      <c r="AU17" s="26"/>
      <c r="AV17" s="26"/>
      <c r="AW17" s="26"/>
      <c r="AX17" s="26" t="str">
        <f t="shared" si="0"/>
        <v/>
      </c>
      <c r="AY17" t="str">
        <f t="shared" si="1"/>
        <v/>
      </c>
      <c r="AZ17" t="s">
        <v>200</v>
      </c>
      <c r="BA17" s="3"/>
      <c r="BB17" t="str">
        <f t="shared" si="2"/>
        <v>No scrap rate (No impact);No raw material available (High);</v>
      </c>
    </row>
    <row r="18" spans="1:54" x14ac:dyDescent="0.3">
      <c r="A18" t="s">
        <v>775</v>
      </c>
      <c r="B18" t="s">
        <v>776</v>
      </c>
      <c r="C18" t="s">
        <v>723</v>
      </c>
      <c r="D18" t="s">
        <v>724</v>
      </c>
      <c r="G18" t="s">
        <v>777</v>
      </c>
      <c r="H18" t="s">
        <v>313</v>
      </c>
      <c r="L18">
        <v>25</v>
      </c>
      <c r="M18">
        <v>1</v>
      </c>
      <c r="N18" t="s">
        <v>198</v>
      </c>
      <c r="O18">
        <v>0</v>
      </c>
      <c r="P18" t="s">
        <v>198</v>
      </c>
      <c r="Q18" t="s">
        <v>199</v>
      </c>
      <c r="R18" s="3"/>
      <c r="W18" t="s">
        <v>200</v>
      </c>
      <c r="X18" s="25"/>
      <c r="Y18" s="26"/>
      <c r="Z18" s="27"/>
      <c r="AA18" t="s">
        <v>25</v>
      </c>
      <c r="AB18" t="s">
        <v>201</v>
      </c>
      <c r="AC18" s="3"/>
      <c r="AH18" t="s">
        <v>202</v>
      </c>
      <c r="AK18" t="s">
        <v>203</v>
      </c>
      <c r="AP18" t="s">
        <v>200</v>
      </c>
      <c r="AR18" s="25"/>
      <c r="AT18" s="25">
        <v>0</v>
      </c>
      <c r="AU18" s="26"/>
      <c r="AV18" s="26"/>
      <c r="AW18" s="26"/>
      <c r="AX18" s="26" t="str">
        <f t="shared" si="0"/>
        <v/>
      </c>
      <c r="AY18" t="str">
        <f t="shared" si="1"/>
        <v/>
      </c>
      <c r="AZ18" t="s">
        <v>200</v>
      </c>
      <c r="BA18" s="3"/>
      <c r="BB18" t="str">
        <f t="shared" si="2"/>
        <v>No scrap rate (No impact);No raw material available (High);</v>
      </c>
    </row>
    <row r="19" spans="1:54" x14ac:dyDescent="0.3">
      <c r="A19" t="s">
        <v>778</v>
      </c>
      <c r="B19" t="s">
        <v>779</v>
      </c>
      <c r="C19" t="s">
        <v>723</v>
      </c>
      <c r="D19" t="s">
        <v>724</v>
      </c>
      <c r="G19" t="s">
        <v>777</v>
      </c>
      <c r="H19" t="s">
        <v>313</v>
      </c>
      <c r="L19">
        <v>1000</v>
      </c>
      <c r="M19">
        <v>1</v>
      </c>
      <c r="N19" t="s">
        <v>198</v>
      </c>
      <c r="O19">
        <v>0</v>
      </c>
      <c r="P19" t="s">
        <v>198</v>
      </c>
      <c r="Q19" t="s">
        <v>199</v>
      </c>
      <c r="R19" s="3"/>
      <c r="W19" t="s">
        <v>200</v>
      </c>
      <c r="X19" s="25"/>
      <c r="Y19" s="26"/>
      <c r="Z19" s="27"/>
      <c r="AA19" t="s">
        <v>25</v>
      </c>
      <c r="AB19" t="s">
        <v>201</v>
      </c>
      <c r="AC19" s="3"/>
      <c r="AH19" t="s">
        <v>202</v>
      </c>
      <c r="AK19" t="s">
        <v>203</v>
      </c>
      <c r="AP19" t="s">
        <v>200</v>
      </c>
      <c r="AR19" s="25"/>
      <c r="AT19" s="25">
        <v>0</v>
      </c>
      <c r="AU19" s="26"/>
      <c r="AV19" s="26"/>
      <c r="AW19" s="26"/>
      <c r="AX19" s="26" t="str">
        <f t="shared" si="0"/>
        <v/>
      </c>
      <c r="AY19" t="str">
        <f t="shared" si="1"/>
        <v/>
      </c>
      <c r="AZ19" t="s">
        <v>200</v>
      </c>
      <c r="BA19" s="3"/>
      <c r="BB19" t="str">
        <f t="shared" si="2"/>
        <v>No scrap rate (No impact);No raw material available (High);</v>
      </c>
    </row>
    <row r="20" spans="1:54" x14ac:dyDescent="0.3">
      <c r="A20" t="s">
        <v>780</v>
      </c>
      <c r="B20" t="s">
        <v>781</v>
      </c>
      <c r="C20" t="s">
        <v>723</v>
      </c>
      <c r="D20" t="s">
        <v>724</v>
      </c>
      <c r="G20" t="s">
        <v>777</v>
      </c>
      <c r="H20" t="s">
        <v>313</v>
      </c>
      <c r="L20">
        <v>25</v>
      </c>
      <c r="M20">
        <v>1</v>
      </c>
      <c r="N20" t="s">
        <v>198</v>
      </c>
      <c r="O20">
        <v>0</v>
      </c>
      <c r="P20" t="s">
        <v>198</v>
      </c>
      <c r="Q20" t="s">
        <v>199</v>
      </c>
      <c r="R20" s="3"/>
      <c r="W20" t="s">
        <v>200</v>
      </c>
      <c r="X20" s="25"/>
      <c r="Y20" s="26"/>
      <c r="Z20" s="27"/>
      <c r="AA20" t="s">
        <v>25</v>
      </c>
      <c r="AB20" t="s">
        <v>201</v>
      </c>
      <c r="AC20" s="3"/>
      <c r="AH20" t="s">
        <v>202</v>
      </c>
      <c r="AK20" t="s">
        <v>203</v>
      </c>
      <c r="AP20" t="s">
        <v>200</v>
      </c>
      <c r="AR20" s="25"/>
      <c r="AT20" s="25">
        <v>0</v>
      </c>
      <c r="AU20" s="26"/>
      <c r="AV20" s="26"/>
      <c r="AW20" s="26"/>
      <c r="AX20" s="26" t="str">
        <f t="shared" si="0"/>
        <v/>
      </c>
      <c r="AY20" t="str">
        <f t="shared" si="1"/>
        <v/>
      </c>
      <c r="AZ20" t="s">
        <v>200</v>
      </c>
      <c r="BA20" s="3"/>
      <c r="BB20" t="str">
        <f t="shared" si="2"/>
        <v>No scrap rate (No impact);No raw material available (High);</v>
      </c>
    </row>
    <row r="21" spans="1:54" x14ac:dyDescent="0.3">
      <c r="A21" t="s">
        <v>782</v>
      </c>
      <c r="B21" t="s">
        <v>783</v>
      </c>
      <c r="C21" t="s">
        <v>723</v>
      </c>
      <c r="D21" t="s">
        <v>724</v>
      </c>
      <c r="G21" t="s">
        <v>784</v>
      </c>
      <c r="H21" t="s">
        <v>785</v>
      </c>
      <c r="L21">
        <v>1</v>
      </c>
      <c r="M21">
        <v>1</v>
      </c>
      <c r="N21" t="s">
        <v>198</v>
      </c>
      <c r="O21">
        <v>0</v>
      </c>
      <c r="P21" t="s">
        <v>198</v>
      </c>
      <c r="Q21" t="s">
        <v>199</v>
      </c>
      <c r="R21" s="3"/>
      <c r="W21" t="s">
        <v>200</v>
      </c>
      <c r="X21" s="25"/>
      <c r="Y21" s="26"/>
      <c r="Z21" s="27"/>
      <c r="AA21" t="s">
        <v>25</v>
      </c>
      <c r="AB21" t="s">
        <v>201</v>
      </c>
      <c r="AC21" s="3"/>
      <c r="AH21" t="s">
        <v>202</v>
      </c>
      <c r="AK21" t="s">
        <v>203</v>
      </c>
      <c r="AP21" t="s">
        <v>200</v>
      </c>
      <c r="AR21" s="25"/>
      <c r="AT21" s="25">
        <v>0</v>
      </c>
      <c r="AU21" s="26"/>
      <c r="AV21" s="26"/>
      <c r="AW21" s="26"/>
      <c r="AX21" s="26" t="str">
        <f t="shared" si="0"/>
        <v/>
      </c>
      <c r="AY21" t="str">
        <f t="shared" si="1"/>
        <v/>
      </c>
      <c r="AZ21" t="s">
        <v>200</v>
      </c>
      <c r="BA21" s="3"/>
      <c r="BB21" t="str">
        <f t="shared" si="2"/>
        <v>No scrap rate (No impact);No raw material available (High);</v>
      </c>
    </row>
    <row r="22" spans="1:54" x14ac:dyDescent="0.3">
      <c r="A22" t="s">
        <v>786</v>
      </c>
      <c r="B22" t="s">
        <v>787</v>
      </c>
      <c r="C22" t="s">
        <v>723</v>
      </c>
      <c r="D22" t="s">
        <v>724</v>
      </c>
      <c r="G22" t="s">
        <v>788</v>
      </c>
      <c r="H22" t="s">
        <v>789</v>
      </c>
      <c r="L22">
        <v>25</v>
      </c>
      <c r="M22">
        <v>1</v>
      </c>
      <c r="N22" t="s">
        <v>198</v>
      </c>
      <c r="O22">
        <v>0</v>
      </c>
      <c r="P22" t="s">
        <v>198</v>
      </c>
      <c r="Q22" t="s">
        <v>199</v>
      </c>
      <c r="R22" s="3"/>
      <c r="W22" t="s">
        <v>200</v>
      </c>
      <c r="X22" s="25"/>
      <c r="Y22" s="26"/>
      <c r="Z22" s="27"/>
      <c r="AA22" t="s">
        <v>25</v>
      </c>
      <c r="AB22" t="s">
        <v>201</v>
      </c>
      <c r="AC22" s="3"/>
      <c r="AH22" t="s">
        <v>202</v>
      </c>
      <c r="AK22" t="s">
        <v>203</v>
      </c>
      <c r="AP22" t="s">
        <v>200</v>
      </c>
      <c r="AR22" s="25"/>
      <c r="AT22" s="25">
        <v>0</v>
      </c>
      <c r="AU22" s="26"/>
      <c r="AV22" s="26"/>
      <c r="AW22" s="26"/>
      <c r="AX22" s="26" t="str">
        <f t="shared" si="0"/>
        <v/>
      </c>
      <c r="AY22" t="str">
        <f t="shared" si="1"/>
        <v/>
      </c>
      <c r="AZ22" t="s">
        <v>200</v>
      </c>
      <c r="BA22" s="3"/>
      <c r="BB22" t="str">
        <f t="shared" si="2"/>
        <v>No scrap rate (No impact);No raw material available (High);</v>
      </c>
    </row>
    <row r="23" spans="1:54" x14ac:dyDescent="0.3">
      <c r="A23" t="s">
        <v>790</v>
      </c>
      <c r="B23" t="s">
        <v>791</v>
      </c>
      <c r="C23" t="s">
        <v>792</v>
      </c>
      <c r="D23" t="s">
        <v>793</v>
      </c>
      <c r="G23" t="s">
        <v>725</v>
      </c>
      <c r="H23" t="s">
        <v>197</v>
      </c>
      <c r="L23">
        <v>0</v>
      </c>
      <c r="M23">
        <v>1</v>
      </c>
      <c r="N23" t="s">
        <v>198</v>
      </c>
      <c r="O23">
        <v>0</v>
      </c>
      <c r="P23" t="s">
        <v>198</v>
      </c>
      <c r="R23" s="3"/>
      <c r="W23" t="s">
        <v>200</v>
      </c>
      <c r="X23" s="25"/>
      <c r="Y23" s="26"/>
      <c r="Z23" s="27"/>
      <c r="AA23" t="s">
        <v>25</v>
      </c>
      <c r="AB23" t="s">
        <v>201</v>
      </c>
      <c r="AC23" s="3"/>
      <c r="AH23" t="s">
        <v>202</v>
      </c>
      <c r="AK23" t="s">
        <v>203</v>
      </c>
      <c r="AP23" t="s">
        <v>200</v>
      </c>
      <c r="AR23" s="25"/>
      <c r="AT23" s="25">
        <v>0</v>
      </c>
      <c r="AU23" s="26"/>
      <c r="AV23" s="26"/>
      <c r="AW23" s="26"/>
      <c r="AX23" s="26" t="str">
        <f t="shared" si="0"/>
        <v/>
      </c>
      <c r="AY23" t="str">
        <f t="shared" si="1"/>
        <v/>
      </c>
      <c r="AZ23" t="s">
        <v>200</v>
      </c>
      <c r="BA23" s="3"/>
      <c r="BB23" t="str">
        <f t="shared" si="2"/>
        <v>No scrap rate (No impact);No raw material available (High);</v>
      </c>
    </row>
    <row r="24" spans="1:54" x14ac:dyDescent="0.3">
      <c r="A24" t="s">
        <v>794</v>
      </c>
      <c r="B24" t="s">
        <v>795</v>
      </c>
      <c r="C24" t="s">
        <v>792</v>
      </c>
      <c r="D24" t="s">
        <v>793</v>
      </c>
      <c r="G24" t="s">
        <v>796</v>
      </c>
      <c r="H24" t="s">
        <v>797</v>
      </c>
      <c r="L24">
        <v>25</v>
      </c>
      <c r="M24">
        <v>1</v>
      </c>
      <c r="N24" t="s">
        <v>198</v>
      </c>
      <c r="O24">
        <v>0</v>
      </c>
      <c r="P24" t="s">
        <v>198</v>
      </c>
      <c r="Q24" t="s">
        <v>199</v>
      </c>
      <c r="R24" s="3"/>
      <c r="W24" t="s">
        <v>200</v>
      </c>
      <c r="X24" s="25"/>
      <c r="Y24" s="26"/>
      <c r="Z24" s="27"/>
      <c r="AA24" t="s">
        <v>25</v>
      </c>
      <c r="AB24" t="s">
        <v>201</v>
      </c>
      <c r="AC24" s="3"/>
      <c r="AH24" t="s">
        <v>202</v>
      </c>
      <c r="AK24" t="s">
        <v>203</v>
      </c>
      <c r="AP24" t="s">
        <v>200</v>
      </c>
      <c r="AR24" s="25"/>
      <c r="AT24" s="25">
        <v>0</v>
      </c>
      <c r="AU24" s="26"/>
      <c r="AV24" s="26"/>
      <c r="AW24" s="26"/>
      <c r="AX24" s="26" t="str">
        <f t="shared" si="0"/>
        <v/>
      </c>
      <c r="AY24" t="str">
        <f t="shared" si="1"/>
        <v/>
      </c>
      <c r="AZ24" t="s">
        <v>200</v>
      </c>
      <c r="BA24" s="3"/>
      <c r="BB24" t="str">
        <f t="shared" si="2"/>
        <v>No scrap rate (No impact);No raw material available (High);</v>
      </c>
    </row>
    <row r="25" spans="1:54" x14ac:dyDescent="0.3">
      <c r="A25" t="s">
        <v>798</v>
      </c>
      <c r="B25" t="s">
        <v>799</v>
      </c>
      <c r="C25" t="s">
        <v>723</v>
      </c>
      <c r="D25" t="s">
        <v>724</v>
      </c>
      <c r="G25" t="s">
        <v>800</v>
      </c>
      <c r="H25" t="s">
        <v>801</v>
      </c>
      <c r="L25">
        <v>25</v>
      </c>
      <c r="M25">
        <v>1</v>
      </c>
      <c r="N25" t="s">
        <v>198</v>
      </c>
      <c r="O25">
        <v>0</v>
      </c>
      <c r="P25" t="s">
        <v>198</v>
      </c>
      <c r="Q25" t="s">
        <v>199</v>
      </c>
      <c r="R25" s="3"/>
      <c r="W25" t="s">
        <v>200</v>
      </c>
      <c r="X25" s="25"/>
      <c r="Y25" s="26"/>
      <c r="Z25" s="27"/>
      <c r="AA25" t="s">
        <v>25</v>
      </c>
      <c r="AB25" t="s">
        <v>201</v>
      </c>
      <c r="AC25" s="3"/>
      <c r="AH25" t="s">
        <v>202</v>
      </c>
      <c r="AK25" t="s">
        <v>203</v>
      </c>
      <c r="AP25" t="s">
        <v>200</v>
      </c>
      <c r="AR25" s="25"/>
      <c r="AT25" s="25">
        <v>0</v>
      </c>
      <c r="AU25" s="26"/>
      <c r="AV25" s="26"/>
      <c r="AW25" s="26"/>
      <c r="AX25" s="26" t="str">
        <f t="shared" si="0"/>
        <v/>
      </c>
      <c r="AY25" t="str">
        <f t="shared" si="1"/>
        <v/>
      </c>
      <c r="AZ25" t="s">
        <v>200</v>
      </c>
      <c r="BA25" s="3"/>
      <c r="BB25" t="str">
        <f t="shared" si="2"/>
        <v>No scrap rate (No impact);No raw material available (High);</v>
      </c>
    </row>
    <row r="26" spans="1:54" x14ac:dyDescent="0.3">
      <c r="A26" t="s">
        <v>802</v>
      </c>
      <c r="B26" t="s">
        <v>803</v>
      </c>
      <c r="C26" t="s">
        <v>723</v>
      </c>
      <c r="D26" t="s">
        <v>724</v>
      </c>
      <c r="G26" t="s">
        <v>800</v>
      </c>
      <c r="H26" t="s">
        <v>801</v>
      </c>
      <c r="L26">
        <v>25</v>
      </c>
      <c r="M26">
        <v>1</v>
      </c>
      <c r="N26" t="s">
        <v>198</v>
      </c>
      <c r="O26">
        <v>0</v>
      </c>
      <c r="P26" t="s">
        <v>198</v>
      </c>
      <c r="Q26" t="s">
        <v>199</v>
      </c>
      <c r="R26" s="3"/>
      <c r="W26" t="s">
        <v>200</v>
      </c>
      <c r="X26" s="25"/>
      <c r="Y26" s="26"/>
      <c r="Z26" s="27"/>
      <c r="AA26" t="s">
        <v>25</v>
      </c>
      <c r="AB26" t="s">
        <v>201</v>
      </c>
      <c r="AC26" s="3"/>
      <c r="AH26" t="s">
        <v>202</v>
      </c>
      <c r="AK26" t="s">
        <v>203</v>
      </c>
      <c r="AP26" t="s">
        <v>200</v>
      </c>
      <c r="AR26" s="25"/>
      <c r="AT26" s="25">
        <v>0</v>
      </c>
      <c r="AU26" s="26"/>
      <c r="AV26" s="26"/>
      <c r="AW26" s="26"/>
      <c r="AX26" s="26" t="str">
        <f t="shared" si="0"/>
        <v/>
      </c>
      <c r="AY26" t="str">
        <f t="shared" si="1"/>
        <v/>
      </c>
      <c r="AZ26" t="s">
        <v>200</v>
      </c>
      <c r="BA26" s="3"/>
      <c r="BB26" t="str">
        <f t="shared" si="2"/>
        <v>No scrap rate (No impact);No raw material available (High);</v>
      </c>
    </row>
    <row r="27" spans="1:54" x14ac:dyDescent="0.3">
      <c r="A27" t="s">
        <v>804</v>
      </c>
      <c r="B27" t="s">
        <v>805</v>
      </c>
      <c r="C27" t="s">
        <v>792</v>
      </c>
      <c r="D27" t="s">
        <v>793</v>
      </c>
      <c r="G27" t="s">
        <v>806</v>
      </c>
      <c r="H27" t="s">
        <v>807</v>
      </c>
      <c r="L27">
        <v>917</v>
      </c>
      <c r="M27">
        <v>1</v>
      </c>
      <c r="N27" t="s">
        <v>198</v>
      </c>
      <c r="O27">
        <v>0</v>
      </c>
      <c r="P27" t="s">
        <v>198</v>
      </c>
      <c r="Q27" t="s">
        <v>199</v>
      </c>
      <c r="R27" s="3"/>
      <c r="W27" t="s">
        <v>200</v>
      </c>
      <c r="X27" s="25"/>
      <c r="Y27" s="26"/>
      <c r="Z27" s="27"/>
      <c r="AA27" t="s">
        <v>25</v>
      </c>
      <c r="AB27" t="s">
        <v>201</v>
      </c>
      <c r="AC27" s="3"/>
      <c r="AH27" t="s">
        <v>202</v>
      </c>
      <c r="AK27" t="s">
        <v>203</v>
      </c>
      <c r="AP27" t="s">
        <v>200</v>
      </c>
      <c r="AR27" s="25"/>
      <c r="AT27" s="25">
        <v>0</v>
      </c>
      <c r="AU27" s="26"/>
      <c r="AV27" s="26"/>
      <c r="AW27" s="26"/>
      <c r="AX27" s="26" t="str">
        <f t="shared" si="0"/>
        <v/>
      </c>
      <c r="AY27" t="str">
        <f t="shared" si="1"/>
        <v/>
      </c>
      <c r="AZ27" t="s">
        <v>200</v>
      </c>
      <c r="BA27" s="3"/>
      <c r="BB27" t="str">
        <f t="shared" si="2"/>
        <v>No scrap rate (No impact);No raw material available (High);</v>
      </c>
    </row>
    <row r="28" spans="1:54" x14ac:dyDescent="0.3">
      <c r="A28" t="s">
        <v>808</v>
      </c>
      <c r="B28" t="s">
        <v>809</v>
      </c>
      <c r="C28" t="s">
        <v>792</v>
      </c>
      <c r="D28" t="s">
        <v>793</v>
      </c>
      <c r="G28" t="s">
        <v>810</v>
      </c>
      <c r="H28" t="s">
        <v>811</v>
      </c>
      <c r="K28" t="s">
        <v>812</v>
      </c>
      <c r="L28">
        <v>12.5</v>
      </c>
      <c r="M28">
        <v>1</v>
      </c>
      <c r="N28" t="s">
        <v>198</v>
      </c>
      <c r="O28">
        <v>0</v>
      </c>
      <c r="P28" t="s">
        <v>198</v>
      </c>
      <c r="Q28" t="s">
        <v>199</v>
      </c>
      <c r="R28" s="3"/>
      <c r="W28" t="s">
        <v>200</v>
      </c>
      <c r="X28" s="25"/>
      <c r="Y28" s="26"/>
      <c r="Z28" s="27"/>
      <c r="AA28" t="s">
        <v>25</v>
      </c>
      <c r="AB28" t="s">
        <v>201</v>
      </c>
      <c r="AC28" s="3"/>
      <c r="AH28" t="s">
        <v>202</v>
      </c>
      <c r="AK28" t="s">
        <v>203</v>
      </c>
      <c r="AP28" t="s">
        <v>200</v>
      </c>
      <c r="AR28" s="25"/>
      <c r="AT28" s="25">
        <v>0</v>
      </c>
      <c r="AU28" s="26"/>
      <c r="AV28" s="26"/>
      <c r="AW28" s="26"/>
      <c r="AX28" s="26" t="str">
        <f t="shared" si="0"/>
        <v/>
      </c>
      <c r="AY28" t="str">
        <f t="shared" si="1"/>
        <v/>
      </c>
      <c r="AZ28" t="s">
        <v>200</v>
      </c>
      <c r="BA28" s="3"/>
      <c r="BB28" t="str">
        <f t="shared" si="2"/>
        <v>No scrap rate (No impact);</v>
      </c>
    </row>
    <row r="29" spans="1:54" x14ac:dyDescent="0.3">
      <c r="A29" t="s">
        <v>813</v>
      </c>
      <c r="B29" t="s">
        <v>814</v>
      </c>
      <c r="C29" t="s">
        <v>792</v>
      </c>
      <c r="D29" t="s">
        <v>793</v>
      </c>
      <c r="G29" t="s">
        <v>815</v>
      </c>
      <c r="H29" t="s">
        <v>816</v>
      </c>
      <c r="L29">
        <v>850</v>
      </c>
      <c r="M29">
        <v>1</v>
      </c>
      <c r="N29" t="s">
        <v>198</v>
      </c>
      <c r="O29">
        <v>0</v>
      </c>
      <c r="P29" t="s">
        <v>198</v>
      </c>
      <c r="Q29" t="s">
        <v>199</v>
      </c>
      <c r="R29" s="3"/>
      <c r="W29" t="s">
        <v>200</v>
      </c>
      <c r="X29" s="25"/>
      <c r="Y29" s="26"/>
      <c r="Z29" s="27"/>
      <c r="AA29" t="s">
        <v>25</v>
      </c>
      <c r="AB29" t="s">
        <v>201</v>
      </c>
      <c r="AC29" s="3"/>
      <c r="AH29" t="s">
        <v>202</v>
      </c>
      <c r="AK29" t="s">
        <v>203</v>
      </c>
      <c r="AP29" t="s">
        <v>200</v>
      </c>
      <c r="AR29" s="25"/>
      <c r="AT29" s="25">
        <v>0</v>
      </c>
      <c r="AU29" s="26"/>
      <c r="AV29" s="26"/>
      <c r="AW29" s="26"/>
      <c r="AX29" s="26" t="str">
        <f t="shared" si="0"/>
        <v/>
      </c>
      <c r="AY29" t="str">
        <f t="shared" si="1"/>
        <v/>
      </c>
      <c r="AZ29" t="s">
        <v>200</v>
      </c>
      <c r="BA29" s="3"/>
      <c r="BB29" t="str">
        <f t="shared" si="2"/>
        <v>No scrap rate (No impact);No raw material available (High);</v>
      </c>
    </row>
    <row r="30" spans="1:54" x14ac:dyDescent="0.3">
      <c r="A30" t="s">
        <v>817</v>
      </c>
      <c r="B30" t="s">
        <v>818</v>
      </c>
      <c r="C30" t="s">
        <v>792</v>
      </c>
      <c r="D30" t="s">
        <v>793</v>
      </c>
      <c r="G30" t="s">
        <v>769</v>
      </c>
      <c r="H30" t="s">
        <v>770</v>
      </c>
      <c r="L30">
        <v>25</v>
      </c>
      <c r="M30">
        <v>1</v>
      </c>
      <c r="N30" t="s">
        <v>198</v>
      </c>
      <c r="O30">
        <v>0</v>
      </c>
      <c r="P30" t="s">
        <v>198</v>
      </c>
      <c r="Q30" t="s">
        <v>199</v>
      </c>
      <c r="R30" s="3"/>
      <c r="W30" t="s">
        <v>200</v>
      </c>
      <c r="X30" s="25"/>
      <c r="Y30" s="26"/>
      <c r="Z30" s="27"/>
      <c r="AA30" t="s">
        <v>25</v>
      </c>
      <c r="AB30" t="s">
        <v>201</v>
      </c>
      <c r="AC30" s="3"/>
      <c r="AH30" t="s">
        <v>202</v>
      </c>
      <c r="AK30" t="s">
        <v>203</v>
      </c>
      <c r="AP30" t="s">
        <v>200</v>
      </c>
      <c r="AR30" s="25"/>
      <c r="AT30" s="25">
        <v>0</v>
      </c>
      <c r="AU30" s="26"/>
      <c r="AV30" s="26"/>
      <c r="AW30" s="26"/>
      <c r="AX30" s="26" t="str">
        <f t="shared" si="0"/>
        <v/>
      </c>
      <c r="AY30" t="str">
        <f t="shared" si="1"/>
        <v/>
      </c>
      <c r="AZ30" t="s">
        <v>200</v>
      </c>
      <c r="BA30" s="3"/>
      <c r="BB30" t="str">
        <f t="shared" si="2"/>
        <v>No scrap rate (No impact);No raw material available (High);</v>
      </c>
    </row>
    <row r="31" spans="1:54" x14ac:dyDescent="0.3">
      <c r="A31" t="s">
        <v>819</v>
      </c>
      <c r="B31" t="s">
        <v>820</v>
      </c>
      <c r="C31" t="s">
        <v>792</v>
      </c>
      <c r="D31" t="s">
        <v>793</v>
      </c>
      <c r="L31">
        <v>1038</v>
      </c>
      <c r="M31">
        <v>1</v>
      </c>
      <c r="N31" t="s">
        <v>198</v>
      </c>
      <c r="O31">
        <v>0</v>
      </c>
      <c r="P31" t="s">
        <v>198</v>
      </c>
      <c r="Q31" t="s">
        <v>199</v>
      </c>
      <c r="R31" s="3"/>
      <c r="W31" t="s">
        <v>200</v>
      </c>
      <c r="X31" s="25"/>
      <c r="Y31" s="26"/>
      <c r="Z31" s="27"/>
      <c r="AA31" t="s">
        <v>25</v>
      </c>
      <c r="AB31" t="s">
        <v>201</v>
      </c>
      <c r="AC31" s="3"/>
      <c r="AH31" t="s">
        <v>202</v>
      </c>
      <c r="AK31" t="s">
        <v>203</v>
      </c>
      <c r="AP31" t="s">
        <v>200</v>
      </c>
      <c r="AR31" s="25"/>
      <c r="AT31" s="25">
        <v>0</v>
      </c>
      <c r="AU31" s="26"/>
      <c r="AV31" s="26"/>
      <c r="AW31" s="26"/>
      <c r="AX31" s="26" t="str">
        <f t="shared" si="0"/>
        <v/>
      </c>
      <c r="AY31" t="str">
        <f t="shared" si="1"/>
        <v/>
      </c>
      <c r="AZ31" t="s">
        <v>200</v>
      </c>
      <c r="BA31" s="3"/>
      <c r="BB31" t="str">
        <f t="shared" si="2"/>
        <v>Supplier code empty (High);No scrap rate (No impact);No raw material available (High);</v>
      </c>
    </row>
    <row r="32" spans="1:54" x14ac:dyDescent="0.3">
      <c r="A32" t="s">
        <v>821</v>
      </c>
      <c r="B32" t="s">
        <v>822</v>
      </c>
      <c r="C32" t="s">
        <v>792</v>
      </c>
      <c r="D32" t="s">
        <v>793</v>
      </c>
      <c r="G32" t="s">
        <v>823</v>
      </c>
      <c r="H32" t="s">
        <v>824</v>
      </c>
      <c r="K32" t="s">
        <v>825</v>
      </c>
      <c r="L32">
        <v>25</v>
      </c>
      <c r="M32">
        <v>1</v>
      </c>
      <c r="N32" t="s">
        <v>198</v>
      </c>
      <c r="O32">
        <v>0</v>
      </c>
      <c r="P32" t="s">
        <v>198</v>
      </c>
      <c r="Q32" t="s">
        <v>199</v>
      </c>
      <c r="R32" s="3"/>
      <c r="W32" t="s">
        <v>200</v>
      </c>
      <c r="X32" s="25"/>
      <c r="Y32" s="26"/>
      <c r="Z32" s="27"/>
      <c r="AA32" t="s">
        <v>25</v>
      </c>
      <c r="AB32" t="s">
        <v>201</v>
      </c>
      <c r="AC32" s="3"/>
      <c r="AH32" t="s">
        <v>202</v>
      </c>
      <c r="AK32" t="s">
        <v>203</v>
      </c>
      <c r="AP32" t="s">
        <v>200</v>
      </c>
      <c r="AR32" s="25"/>
      <c r="AT32" s="25">
        <v>0</v>
      </c>
      <c r="AU32" s="26"/>
      <c r="AV32" s="26"/>
      <c r="AW32" s="26"/>
      <c r="AX32" s="26" t="str">
        <f t="shared" si="0"/>
        <v/>
      </c>
      <c r="AY32" t="str">
        <f t="shared" si="1"/>
        <v/>
      </c>
      <c r="AZ32" t="s">
        <v>200</v>
      </c>
      <c r="BA32" s="3"/>
      <c r="BB32" t="str">
        <f t="shared" si="2"/>
        <v>No scrap rate (No impact);</v>
      </c>
    </row>
    <row r="33" spans="1:54" x14ac:dyDescent="0.3">
      <c r="A33" t="s">
        <v>826</v>
      </c>
      <c r="B33" t="s">
        <v>827</v>
      </c>
      <c r="C33" t="s">
        <v>723</v>
      </c>
      <c r="D33" t="s">
        <v>724</v>
      </c>
      <c r="G33" t="s">
        <v>725</v>
      </c>
      <c r="H33" t="s">
        <v>197</v>
      </c>
      <c r="L33">
        <v>200</v>
      </c>
      <c r="M33">
        <v>1</v>
      </c>
      <c r="N33" t="s">
        <v>198</v>
      </c>
      <c r="O33">
        <v>0</v>
      </c>
      <c r="P33" t="s">
        <v>198</v>
      </c>
      <c r="Q33" t="s">
        <v>199</v>
      </c>
      <c r="R33" s="3"/>
      <c r="W33" t="s">
        <v>200</v>
      </c>
      <c r="X33" s="25"/>
      <c r="Y33" s="26"/>
      <c r="Z33" s="27"/>
      <c r="AA33" t="s">
        <v>25</v>
      </c>
      <c r="AB33" t="s">
        <v>201</v>
      </c>
      <c r="AC33" s="3"/>
      <c r="AH33" t="s">
        <v>202</v>
      </c>
      <c r="AK33" t="s">
        <v>203</v>
      </c>
      <c r="AP33" t="s">
        <v>200</v>
      </c>
      <c r="AR33" s="25"/>
      <c r="AT33" s="25">
        <v>0</v>
      </c>
      <c r="AU33" s="26"/>
      <c r="AV33" s="26"/>
      <c r="AW33" s="26"/>
      <c r="AX33" s="26" t="str">
        <f t="shared" si="0"/>
        <v/>
      </c>
      <c r="AY33" t="str">
        <f t="shared" si="1"/>
        <v/>
      </c>
      <c r="AZ33" t="s">
        <v>200</v>
      </c>
      <c r="BA33" s="3"/>
      <c r="BB33" t="str">
        <f t="shared" si="2"/>
        <v>No scrap rate (No impact);No raw material available (High);</v>
      </c>
    </row>
    <row r="34" spans="1:54" x14ac:dyDescent="0.3">
      <c r="A34" t="s">
        <v>828</v>
      </c>
      <c r="B34" t="s">
        <v>829</v>
      </c>
      <c r="C34" t="s">
        <v>723</v>
      </c>
      <c r="D34" t="s">
        <v>724</v>
      </c>
      <c r="G34" t="s">
        <v>725</v>
      </c>
      <c r="H34" t="s">
        <v>197</v>
      </c>
      <c r="L34">
        <v>200</v>
      </c>
      <c r="M34">
        <v>1</v>
      </c>
      <c r="N34" t="s">
        <v>198</v>
      </c>
      <c r="O34">
        <v>0</v>
      </c>
      <c r="P34" t="s">
        <v>198</v>
      </c>
      <c r="Q34" t="s">
        <v>199</v>
      </c>
      <c r="R34" s="3"/>
      <c r="W34" t="s">
        <v>200</v>
      </c>
      <c r="X34" s="25"/>
      <c r="Y34" s="26"/>
      <c r="Z34" s="27"/>
      <c r="AA34" t="s">
        <v>25</v>
      </c>
      <c r="AB34" t="s">
        <v>201</v>
      </c>
      <c r="AC34" s="3"/>
      <c r="AH34" t="s">
        <v>202</v>
      </c>
      <c r="AK34" t="s">
        <v>203</v>
      </c>
      <c r="AP34" t="s">
        <v>200</v>
      </c>
      <c r="AR34" s="25"/>
      <c r="AT34" s="25">
        <v>0</v>
      </c>
      <c r="AU34" s="26"/>
      <c r="AV34" s="26"/>
      <c r="AW34" s="26"/>
      <c r="AX34" s="26" t="str">
        <f t="shared" si="0"/>
        <v/>
      </c>
      <c r="AY34" t="str">
        <f t="shared" si="1"/>
        <v/>
      </c>
      <c r="AZ34" t="s">
        <v>200</v>
      </c>
      <c r="BA34" s="3"/>
      <c r="BB34" t="str">
        <f t="shared" si="2"/>
        <v>No scrap rate (No impact);No raw material available (High);</v>
      </c>
    </row>
    <row r="35" spans="1:54" x14ac:dyDescent="0.3">
      <c r="A35" t="s">
        <v>830</v>
      </c>
      <c r="B35" t="s">
        <v>831</v>
      </c>
      <c r="C35" t="s">
        <v>723</v>
      </c>
      <c r="D35" t="s">
        <v>724</v>
      </c>
      <c r="G35" t="s">
        <v>832</v>
      </c>
      <c r="H35" t="s">
        <v>833</v>
      </c>
      <c r="K35" t="s">
        <v>825</v>
      </c>
      <c r="L35">
        <v>25</v>
      </c>
      <c r="M35">
        <v>1</v>
      </c>
      <c r="N35" t="s">
        <v>198</v>
      </c>
      <c r="O35">
        <v>0</v>
      </c>
      <c r="P35" t="s">
        <v>198</v>
      </c>
      <c r="Q35" t="s">
        <v>199</v>
      </c>
      <c r="R35" s="3"/>
      <c r="W35" t="s">
        <v>200</v>
      </c>
      <c r="X35" s="25"/>
      <c r="Y35" s="26"/>
      <c r="Z35" s="27"/>
      <c r="AA35" t="s">
        <v>25</v>
      </c>
      <c r="AB35" t="s">
        <v>201</v>
      </c>
      <c r="AC35" s="3"/>
      <c r="AH35" t="s">
        <v>202</v>
      </c>
      <c r="AK35" t="s">
        <v>203</v>
      </c>
      <c r="AP35" t="s">
        <v>200</v>
      </c>
      <c r="AR35" s="25"/>
      <c r="AT35" s="25">
        <v>0</v>
      </c>
      <c r="AU35" s="26"/>
      <c r="AV35" s="26"/>
      <c r="AW35" s="26"/>
      <c r="AX35" s="26" t="str">
        <f t="shared" si="0"/>
        <v/>
      </c>
      <c r="AY35" t="str">
        <f t="shared" si="1"/>
        <v/>
      </c>
      <c r="AZ35" t="s">
        <v>200</v>
      </c>
      <c r="BA35" s="3"/>
      <c r="BB35" t="str">
        <f t="shared" si="2"/>
        <v>No scrap rate (No impact);</v>
      </c>
    </row>
    <row r="36" spans="1:54" x14ac:dyDescent="0.3">
      <c r="A36" t="s">
        <v>834</v>
      </c>
      <c r="B36" t="s">
        <v>835</v>
      </c>
      <c r="C36" t="s">
        <v>723</v>
      </c>
      <c r="D36" t="s">
        <v>724</v>
      </c>
      <c r="G36" t="s">
        <v>836</v>
      </c>
      <c r="H36" t="s">
        <v>837</v>
      </c>
      <c r="L36">
        <v>1000</v>
      </c>
      <c r="M36">
        <v>1</v>
      </c>
      <c r="N36" t="s">
        <v>198</v>
      </c>
      <c r="O36">
        <v>0</v>
      </c>
      <c r="P36" t="s">
        <v>198</v>
      </c>
      <c r="Q36" t="s">
        <v>199</v>
      </c>
      <c r="R36" s="3"/>
      <c r="W36" t="s">
        <v>200</v>
      </c>
      <c r="X36" s="25"/>
      <c r="Y36" s="26"/>
      <c r="Z36" s="27"/>
      <c r="AA36" t="s">
        <v>25</v>
      </c>
      <c r="AB36" t="s">
        <v>201</v>
      </c>
      <c r="AC36" s="3"/>
      <c r="AH36" t="s">
        <v>202</v>
      </c>
      <c r="AK36" t="s">
        <v>203</v>
      </c>
      <c r="AP36" t="s">
        <v>200</v>
      </c>
      <c r="AR36" s="25"/>
      <c r="AT36" s="25">
        <v>0</v>
      </c>
      <c r="AU36" s="26"/>
      <c r="AV36" s="26"/>
      <c r="AW36" s="26"/>
      <c r="AX36" s="26" t="str">
        <f t="shared" si="0"/>
        <v/>
      </c>
      <c r="AY36" t="str">
        <f t="shared" si="1"/>
        <v/>
      </c>
      <c r="AZ36" t="s">
        <v>200</v>
      </c>
      <c r="BA36" s="3"/>
      <c r="BB36" t="str">
        <f t="shared" si="2"/>
        <v>No scrap rate (No impact);No raw material available (High);</v>
      </c>
    </row>
    <row r="37" spans="1:54" x14ac:dyDescent="0.3">
      <c r="A37" t="s">
        <v>838</v>
      </c>
      <c r="B37" t="s">
        <v>839</v>
      </c>
      <c r="C37" t="s">
        <v>723</v>
      </c>
      <c r="D37" t="s">
        <v>724</v>
      </c>
      <c r="G37" t="s">
        <v>840</v>
      </c>
      <c r="H37" t="s">
        <v>841</v>
      </c>
      <c r="K37" t="s">
        <v>812</v>
      </c>
      <c r="L37">
        <v>900</v>
      </c>
      <c r="M37">
        <v>1</v>
      </c>
      <c r="N37" t="s">
        <v>198</v>
      </c>
      <c r="O37">
        <v>0</v>
      </c>
      <c r="P37" t="s">
        <v>198</v>
      </c>
      <c r="Q37" t="s">
        <v>199</v>
      </c>
      <c r="R37" s="3"/>
      <c r="W37" t="s">
        <v>200</v>
      </c>
      <c r="X37" s="25"/>
      <c r="Y37" s="26"/>
      <c r="Z37" s="27"/>
      <c r="AA37" t="s">
        <v>25</v>
      </c>
      <c r="AB37" t="s">
        <v>201</v>
      </c>
      <c r="AC37" s="3"/>
      <c r="AH37" t="s">
        <v>202</v>
      </c>
      <c r="AK37" t="s">
        <v>203</v>
      </c>
      <c r="AP37" t="s">
        <v>200</v>
      </c>
      <c r="AR37" s="25"/>
      <c r="AT37" s="25">
        <v>0</v>
      </c>
      <c r="AU37" s="26"/>
      <c r="AV37" s="26"/>
      <c r="AW37" s="26"/>
      <c r="AX37" s="26" t="str">
        <f t="shared" si="0"/>
        <v/>
      </c>
      <c r="AY37" t="str">
        <f t="shared" si="1"/>
        <v/>
      </c>
      <c r="AZ37" t="s">
        <v>200</v>
      </c>
      <c r="BA37" s="3"/>
      <c r="BB37" t="str">
        <f t="shared" si="2"/>
        <v>No scrap rate (No impact);</v>
      </c>
    </row>
    <row r="38" spans="1:54" x14ac:dyDescent="0.3">
      <c r="A38" t="s">
        <v>842</v>
      </c>
      <c r="B38" t="s">
        <v>843</v>
      </c>
      <c r="C38" t="s">
        <v>723</v>
      </c>
      <c r="D38" t="s">
        <v>724</v>
      </c>
      <c r="G38" t="s">
        <v>836</v>
      </c>
      <c r="H38" t="s">
        <v>837</v>
      </c>
      <c r="I38" t="s">
        <v>844</v>
      </c>
      <c r="L38">
        <v>20</v>
      </c>
      <c r="M38">
        <v>1</v>
      </c>
      <c r="N38" t="s">
        <v>198</v>
      </c>
      <c r="O38">
        <v>0</v>
      </c>
      <c r="P38" t="s">
        <v>198</v>
      </c>
      <c r="Q38" t="s">
        <v>199</v>
      </c>
      <c r="R38" s="3"/>
      <c r="W38" t="s">
        <v>200</v>
      </c>
      <c r="X38" s="25"/>
      <c r="Y38" s="26"/>
      <c r="Z38" s="27"/>
      <c r="AA38" t="s">
        <v>25</v>
      </c>
      <c r="AB38" t="s">
        <v>201</v>
      </c>
      <c r="AC38" s="3"/>
      <c r="AH38" t="s">
        <v>202</v>
      </c>
      <c r="AK38" t="s">
        <v>203</v>
      </c>
      <c r="AP38" t="s">
        <v>200</v>
      </c>
      <c r="AR38" s="25"/>
      <c r="AT38" s="25">
        <v>0</v>
      </c>
      <c r="AU38" s="26"/>
      <c r="AV38" s="26"/>
      <c r="AW38" s="26"/>
      <c r="AX38" s="26" t="str">
        <f t="shared" si="0"/>
        <v/>
      </c>
      <c r="AY38" t="str">
        <f t="shared" si="1"/>
        <v/>
      </c>
      <c r="AZ38" t="s">
        <v>200</v>
      </c>
      <c r="BA38" s="3"/>
      <c r="BB38" t="str">
        <f t="shared" si="2"/>
        <v>No scrap rate (No impact);</v>
      </c>
    </row>
    <row r="39" spans="1:54" x14ac:dyDescent="0.3">
      <c r="A39" t="s">
        <v>845</v>
      </c>
      <c r="B39" t="s">
        <v>846</v>
      </c>
      <c r="C39" t="s">
        <v>723</v>
      </c>
      <c r="D39" t="s">
        <v>724</v>
      </c>
      <c r="G39" t="s">
        <v>847</v>
      </c>
      <c r="H39" t="s">
        <v>848</v>
      </c>
      <c r="L39">
        <v>15</v>
      </c>
      <c r="M39">
        <v>1</v>
      </c>
      <c r="N39" t="s">
        <v>198</v>
      </c>
      <c r="O39">
        <v>0</v>
      </c>
      <c r="P39" t="s">
        <v>198</v>
      </c>
      <c r="Q39" t="s">
        <v>199</v>
      </c>
      <c r="R39" s="3"/>
      <c r="W39" t="s">
        <v>200</v>
      </c>
      <c r="X39" s="25"/>
      <c r="Y39" s="26"/>
      <c r="Z39" s="27"/>
      <c r="AA39" t="s">
        <v>25</v>
      </c>
      <c r="AB39" t="s">
        <v>201</v>
      </c>
      <c r="AC39" s="3"/>
      <c r="AH39" t="s">
        <v>202</v>
      </c>
      <c r="AK39" t="s">
        <v>203</v>
      </c>
      <c r="AP39" t="s">
        <v>200</v>
      </c>
      <c r="AR39" s="25"/>
      <c r="AT39" s="25">
        <v>0</v>
      </c>
      <c r="AU39" s="26"/>
      <c r="AV39" s="26"/>
      <c r="AW39" s="26"/>
      <c r="AX39" s="26" t="str">
        <f t="shared" si="0"/>
        <v/>
      </c>
      <c r="AY39" t="str">
        <f t="shared" si="1"/>
        <v/>
      </c>
      <c r="AZ39" t="s">
        <v>200</v>
      </c>
      <c r="BA39" s="3"/>
      <c r="BB39" t="str">
        <f t="shared" si="2"/>
        <v>No scrap rate (No impact);No raw material available (High);</v>
      </c>
    </row>
    <row r="40" spans="1:54" x14ac:dyDescent="0.3">
      <c r="A40" t="s">
        <v>849</v>
      </c>
      <c r="B40" t="s">
        <v>850</v>
      </c>
      <c r="C40" t="s">
        <v>723</v>
      </c>
      <c r="D40" t="s">
        <v>724</v>
      </c>
      <c r="G40" t="s">
        <v>851</v>
      </c>
      <c r="H40" t="s">
        <v>852</v>
      </c>
      <c r="I40" t="s">
        <v>844</v>
      </c>
      <c r="L40">
        <v>800</v>
      </c>
      <c r="M40">
        <v>1</v>
      </c>
      <c r="N40" t="s">
        <v>198</v>
      </c>
      <c r="O40">
        <v>0</v>
      </c>
      <c r="P40" t="s">
        <v>198</v>
      </c>
      <c r="Q40" t="s">
        <v>757</v>
      </c>
      <c r="R40" s="3"/>
      <c r="W40" t="s">
        <v>200</v>
      </c>
      <c r="X40" s="25"/>
      <c r="Y40" s="26"/>
      <c r="Z40" s="27"/>
      <c r="AA40" t="s">
        <v>25</v>
      </c>
      <c r="AB40" t="s">
        <v>201</v>
      </c>
      <c r="AC40" s="3"/>
      <c r="AH40" t="s">
        <v>202</v>
      </c>
      <c r="AK40" t="s">
        <v>203</v>
      </c>
      <c r="AP40" t="s">
        <v>200</v>
      </c>
      <c r="AR40" s="25"/>
      <c r="AT40" s="25">
        <v>0</v>
      </c>
      <c r="AU40" s="26"/>
      <c r="AV40" s="26"/>
      <c r="AW40" s="26"/>
      <c r="AX40" s="26" t="str">
        <f t="shared" si="0"/>
        <v/>
      </c>
      <c r="AY40" t="str">
        <f t="shared" si="1"/>
        <v/>
      </c>
      <c r="AZ40" t="s">
        <v>200</v>
      </c>
      <c r="BA40" s="3"/>
      <c r="BB40" t="str">
        <f t="shared" si="2"/>
        <v>No scrap rate (No impact);</v>
      </c>
    </row>
    <row r="41" spans="1:54" x14ac:dyDescent="0.3">
      <c r="A41" t="s">
        <v>853</v>
      </c>
      <c r="B41" t="s">
        <v>854</v>
      </c>
      <c r="C41" t="s">
        <v>723</v>
      </c>
      <c r="D41" t="s">
        <v>724</v>
      </c>
      <c r="G41" t="s">
        <v>855</v>
      </c>
      <c r="H41" t="s">
        <v>856</v>
      </c>
      <c r="I41" t="s">
        <v>844</v>
      </c>
      <c r="L41">
        <v>1</v>
      </c>
      <c r="M41">
        <v>1</v>
      </c>
      <c r="N41" t="s">
        <v>198</v>
      </c>
      <c r="O41">
        <v>0</v>
      </c>
      <c r="P41" t="s">
        <v>198</v>
      </c>
      <c r="Q41" t="s">
        <v>757</v>
      </c>
      <c r="R41" s="3"/>
      <c r="W41" t="s">
        <v>200</v>
      </c>
      <c r="X41" s="25"/>
      <c r="Y41" s="26"/>
      <c r="Z41" s="27"/>
      <c r="AA41" t="s">
        <v>25</v>
      </c>
      <c r="AB41" t="s">
        <v>201</v>
      </c>
      <c r="AC41" s="3"/>
      <c r="AH41" t="s">
        <v>202</v>
      </c>
      <c r="AK41" t="s">
        <v>203</v>
      </c>
      <c r="AP41" t="s">
        <v>200</v>
      </c>
      <c r="AR41" s="25"/>
      <c r="AT41" s="25">
        <v>0</v>
      </c>
      <c r="AU41" s="26"/>
      <c r="AV41" s="26"/>
      <c r="AW41" s="26"/>
      <c r="AX41" s="26" t="str">
        <f t="shared" si="0"/>
        <v/>
      </c>
      <c r="AY41" t="str">
        <f t="shared" si="1"/>
        <v/>
      </c>
      <c r="AZ41" t="s">
        <v>200</v>
      </c>
      <c r="BA41" s="3"/>
      <c r="BB41" t="str">
        <f t="shared" si="2"/>
        <v>No scrap rate (No impact);</v>
      </c>
    </row>
    <row r="42" spans="1:54" x14ac:dyDescent="0.3">
      <c r="A42" t="s">
        <v>857</v>
      </c>
      <c r="B42" t="s">
        <v>858</v>
      </c>
      <c r="C42" t="s">
        <v>723</v>
      </c>
      <c r="D42" t="s">
        <v>724</v>
      </c>
      <c r="G42" t="s">
        <v>855</v>
      </c>
      <c r="H42" t="s">
        <v>856</v>
      </c>
      <c r="I42" t="s">
        <v>844</v>
      </c>
      <c r="L42">
        <v>1</v>
      </c>
      <c r="M42">
        <v>1</v>
      </c>
      <c r="N42" t="s">
        <v>198</v>
      </c>
      <c r="O42">
        <v>0</v>
      </c>
      <c r="P42" t="s">
        <v>198</v>
      </c>
      <c r="Q42" t="s">
        <v>757</v>
      </c>
      <c r="R42" s="3"/>
      <c r="W42" t="s">
        <v>200</v>
      </c>
      <c r="X42" s="25"/>
      <c r="Y42" s="26"/>
      <c r="Z42" s="27"/>
      <c r="AA42" t="s">
        <v>25</v>
      </c>
      <c r="AB42" t="s">
        <v>201</v>
      </c>
      <c r="AC42" s="3"/>
      <c r="AH42" t="s">
        <v>202</v>
      </c>
      <c r="AK42" t="s">
        <v>203</v>
      </c>
      <c r="AP42" t="s">
        <v>200</v>
      </c>
      <c r="AR42" s="25"/>
      <c r="AT42" s="25">
        <v>0</v>
      </c>
      <c r="AU42" s="26"/>
      <c r="AV42" s="26"/>
      <c r="AW42" s="26"/>
      <c r="AX42" s="26" t="str">
        <f t="shared" si="0"/>
        <v/>
      </c>
      <c r="AY42" t="str">
        <f t="shared" si="1"/>
        <v/>
      </c>
      <c r="AZ42" t="s">
        <v>200</v>
      </c>
      <c r="BA42" s="3"/>
      <c r="BB42" t="str">
        <f t="shared" si="2"/>
        <v>No scrap rate (No impact);</v>
      </c>
    </row>
    <row r="43" spans="1:54" x14ac:dyDescent="0.3">
      <c r="A43" t="s">
        <v>859</v>
      </c>
      <c r="B43" t="s">
        <v>860</v>
      </c>
      <c r="C43" t="s">
        <v>723</v>
      </c>
      <c r="D43" t="s">
        <v>724</v>
      </c>
      <c r="G43" t="s">
        <v>861</v>
      </c>
      <c r="H43" t="s">
        <v>862</v>
      </c>
      <c r="I43" t="s">
        <v>844</v>
      </c>
      <c r="L43">
        <v>1</v>
      </c>
      <c r="M43">
        <v>0</v>
      </c>
      <c r="N43" t="s">
        <v>198</v>
      </c>
      <c r="O43">
        <v>0</v>
      </c>
      <c r="P43" t="s">
        <v>198</v>
      </c>
      <c r="Q43" t="s">
        <v>757</v>
      </c>
      <c r="R43" s="3"/>
      <c r="W43" t="s">
        <v>200</v>
      </c>
      <c r="X43" s="25"/>
      <c r="Y43" s="26"/>
      <c r="Z43" s="27"/>
      <c r="AA43" t="s">
        <v>25</v>
      </c>
      <c r="AB43" t="s">
        <v>201</v>
      </c>
      <c r="AC43" s="3"/>
      <c r="AH43" t="s">
        <v>202</v>
      </c>
      <c r="AK43" t="s">
        <v>203</v>
      </c>
      <c r="AP43" t="s">
        <v>200</v>
      </c>
      <c r="AR43" s="25"/>
      <c r="AT43" s="25">
        <v>0</v>
      </c>
      <c r="AU43" s="26"/>
      <c r="AV43" s="26"/>
      <c r="AW43" s="26"/>
      <c r="AX43" s="26" t="str">
        <f t="shared" si="0"/>
        <v/>
      </c>
      <c r="AY43" t="str">
        <f t="shared" si="1"/>
        <v/>
      </c>
      <c r="AZ43" t="s">
        <v>200</v>
      </c>
      <c r="BA43" s="3"/>
      <c r="BB43" t="str">
        <f t="shared" si="2"/>
        <v>No scrap rate (No impact);</v>
      </c>
    </row>
    <row r="44" spans="1:54" x14ac:dyDescent="0.3">
      <c r="A44" t="s">
        <v>863</v>
      </c>
      <c r="B44" t="s">
        <v>864</v>
      </c>
      <c r="C44" t="s">
        <v>723</v>
      </c>
      <c r="D44" t="s">
        <v>724</v>
      </c>
      <c r="G44" t="s">
        <v>865</v>
      </c>
      <c r="H44" t="s">
        <v>866</v>
      </c>
      <c r="L44">
        <v>0</v>
      </c>
      <c r="M44">
        <v>1</v>
      </c>
      <c r="N44" t="s">
        <v>198</v>
      </c>
      <c r="O44">
        <v>0</v>
      </c>
      <c r="P44" t="s">
        <v>198</v>
      </c>
      <c r="R44" s="3"/>
      <c r="W44" t="s">
        <v>200</v>
      </c>
      <c r="X44" s="25"/>
      <c r="Y44" s="26"/>
      <c r="Z44" s="27"/>
      <c r="AA44" t="s">
        <v>25</v>
      </c>
      <c r="AB44" t="s">
        <v>201</v>
      </c>
      <c r="AC44" s="3"/>
      <c r="AH44" t="s">
        <v>202</v>
      </c>
      <c r="AK44" t="s">
        <v>203</v>
      </c>
      <c r="AP44" t="s">
        <v>200</v>
      </c>
      <c r="AR44" s="25"/>
      <c r="AT44" s="25">
        <v>0</v>
      </c>
      <c r="AU44" s="26"/>
      <c r="AV44" s="26"/>
      <c r="AW44" s="26"/>
      <c r="AX44" s="26" t="str">
        <f t="shared" si="0"/>
        <v/>
      </c>
      <c r="AY44" t="str">
        <f t="shared" si="1"/>
        <v/>
      </c>
      <c r="AZ44" t="s">
        <v>200</v>
      </c>
      <c r="BA44" s="3"/>
      <c r="BB44" t="str">
        <f t="shared" si="2"/>
        <v>No scrap rate (No impact);No raw material available (High);</v>
      </c>
    </row>
    <row r="45" spans="1:54" x14ac:dyDescent="0.3">
      <c r="A45" t="s">
        <v>867</v>
      </c>
      <c r="B45" t="s">
        <v>868</v>
      </c>
      <c r="C45" t="s">
        <v>723</v>
      </c>
      <c r="D45" t="s">
        <v>724</v>
      </c>
      <c r="G45" t="s">
        <v>869</v>
      </c>
      <c r="H45" t="s">
        <v>870</v>
      </c>
      <c r="L45">
        <v>0</v>
      </c>
      <c r="M45">
        <v>350</v>
      </c>
      <c r="N45" t="s">
        <v>198</v>
      </c>
      <c r="O45">
        <v>0</v>
      </c>
      <c r="P45" t="s">
        <v>198</v>
      </c>
      <c r="R45" s="3"/>
      <c r="W45" t="s">
        <v>200</v>
      </c>
      <c r="X45" s="25"/>
      <c r="Y45" s="26"/>
      <c r="Z45" s="27"/>
      <c r="AA45" t="s">
        <v>25</v>
      </c>
      <c r="AB45" t="s">
        <v>201</v>
      </c>
      <c r="AC45" s="3"/>
      <c r="AH45" t="s">
        <v>202</v>
      </c>
      <c r="AK45" t="s">
        <v>203</v>
      </c>
      <c r="AP45" t="s">
        <v>200</v>
      </c>
      <c r="AR45" s="25"/>
      <c r="AT45" s="25">
        <v>0</v>
      </c>
      <c r="AU45" s="26"/>
      <c r="AV45" s="26"/>
      <c r="AW45" s="26"/>
      <c r="AX45" s="26" t="str">
        <f t="shared" si="0"/>
        <v/>
      </c>
      <c r="AY45" t="str">
        <f t="shared" si="1"/>
        <v/>
      </c>
      <c r="AZ45" t="s">
        <v>200</v>
      </c>
      <c r="BA45" s="3"/>
      <c r="BB45" t="str">
        <f t="shared" si="2"/>
        <v>No scrap rate (No impact);No raw material available (High);</v>
      </c>
    </row>
    <row r="46" spans="1:54" x14ac:dyDescent="0.3">
      <c r="A46" t="s">
        <v>871</v>
      </c>
      <c r="B46" t="s">
        <v>872</v>
      </c>
      <c r="C46" t="s">
        <v>723</v>
      </c>
      <c r="D46" t="s">
        <v>724</v>
      </c>
      <c r="G46" t="s">
        <v>873</v>
      </c>
      <c r="H46" t="s">
        <v>874</v>
      </c>
      <c r="K46" t="s">
        <v>825</v>
      </c>
      <c r="L46">
        <v>0</v>
      </c>
      <c r="M46">
        <v>1</v>
      </c>
      <c r="N46" t="s">
        <v>198</v>
      </c>
      <c r="O46">
        <v>0</v>
      </c>
      <c r="P46" t="s">
        <v>198</v>
      </c>
      <c r="R46" s="3"/>
      <c r="W46" t="s">
        <v>200</v>
      </c>
      <c r="X46" s="25"/>
      <c r="Y46" s="26"/>
      <c r="Z46" s="27"/>
      <c r="AA46" t="s">
        <v>25</v>
      </c>
      <c r="AB46" t="s">
        <v>201</v>
      </c>
      <c r="AC46" s="3"/>
      <c r="AH46" t="s">
        <v>202</v>
      </c>
      <c r="AK46" t="s">
        <v>203</v>
      </c>
      <c r="AP46" t="s">
        <v>200</v>
      </c>
      <c r="AR46" s="25"/>
      <c r="AT46" s="25">
        <v>0</v>
      </c>
      <c r="AU46" s="26"/>
      <c r="AV46" s="26"/>
      <c r="AW46" s="26"/>
      <c r="AX46" s="26" t="str">
        <f t="shared" si="0"/>
        <v/>
      </c>
      <c r="AY46" t="str">
        <f t="shared" si="1"/>
        <v/>
      </c>
      <c r="AZ46" t="s">
        <v>200</v>
      </c>
      <c r="BA46" s="3"/>
      <c r="BB46" t="str">
        <f t="shared" si="2"/>
        <v>No scrap rate (No impact);</v>
      </c>
    </row>
    <row r="47" spans="1:54" x14ac:dyDescent="0.3">
      <c r="A47" t="s">
        <v>875</v>
      </c>
      <c r="B47" t="s">
        <v>876</v>
      </c>
      <c r="C47" t="s">
        <v>723</v>
      </c>
      <c r="D47" t="s">
        <v>724</v>
      </c>
      <c r="G47" t="s">
        <v>877</v>
      </c>
      <c r="H47" t="s">
        <v>878</v>
      </c>
      <c r="K47" t="s">
        <v>825</v>
      </c>
      <c r="L47">
        <v>0</v>
      </c>
      <c r="M47">
        <v>220</v>
      </c>
      <c r="N47" t="s">
        <v>198</v>
      </c>
      <c r="O47">
        <v>0</v>
      </c>
      <c r="P47" t="s">
        <v>198</v>
      </c>
      <c r="R47" s="3"/>
      <c r="W47" t="s">
        <v>200</v>
      </c>
      <c r="X47" s="25"/>
      <c r="Y47" s="26"/>
      <c r="Z47" s="27"/>
      <c r="AA47" t="s">
        <v>25</v>
      </c>
      <c r="AB47" t="s">
        <v>201</v>
      </c>
      <c r="AC47" s="3"/>
      <c r="AH47" t="s">
        <v>202</v>
      </c>
      <c r="AK47" t="s">
        <v>203</v>
      </c>
      <c r="AP47" t="s">
        <v>200</v>
      </c>
      <c r="AR47" s="25"/>
      <c r="AT47" s="25">
        <v>0</v>
      </c>
      <c r="AU47" s="26"/>
      <c r="AV47" s="26"/>
      <c r="AW47" s="26"/>
      <c r="AX47" s="26" t="str">
        <f t="shared" si="0"/>
        <v/>
      </c>
      <c r="AY47" t="str">
        <f t="shared" si="1"/>
        <v/>
      </c>
      <c r="AZ47" t="s">
        <v>200</v>
      </c>
      <c r="BA47" s="3"/>
      <c r="BB47" t="str">
        <f t="shared" si="2"/>
        <v>No scrap rate (No impact);</v>
      </c>
    </row>
    <row r="48" spans="1:54" x14ac:dyDescent="0.3">
      <c r="A48" t="s">
        <v>879</v>
      </c>
      <c r="B48" t="s">
        <v>880</v>
      </c>
      <c r="C48" t="s">
        <v>723</v>
      </c>
      <c r="D48" t="s">
        <v>724</v>
      </c>
      <c r="G48" t="s">
        <v>881</v>
      </c>
      <c r="H48" t="s">
        <v>882</v>
      </c>
      <c r="K48" t="s">
        <v>825</v>
      </c>
      <c r="L48">
        <v>0</v>
      </c>
      <c r="M48">
        <v>1000</v>
      </c>
      <c r="N48" t="s">
        <v>198</v>
      </c>
      <c r="O48">
        <v>0</v>
      </c>
      <c r="P48" t="s">
        <v>198</v>
      </c>
      <c r="R48" s="3"/>
      <c r="W48" t="s">
        <v>200</v>
      </c>
      <c r="X48" s="25"/>
      <c r="Y48" s="26"/>
      <c r="Z48" s="27"/>
      <c r="AA48" t="s">
        <v>25</v>
      </c>
      <c r="AB48" t="s">
        <v>201</v>
      </c>
      <c r="AC48" s="3"/>
      <c r="AH48" t="s">
        <v>202</v>
      </c>
      <c r="AK48" t="s">
        <v>203</v>
      </c>
      <c r="AP48" t="s">
        <v>200</v>
      </c>
      <c r="AR48" s="25"/>
      <c r="AT48" s="25">
        <v>0</v>
      </c>
      <c r="AU48" s="26"/>
      <c r="AV48" s="26"/>
      <c r="AW48" s="26"/>
      <c r="AX48" s="26" t="str">
        <f t="shared" si="0"/>
        <v/>
      </c>
      <c r="AY48" t="str">
        <f t="shared" si="1"/>
        <v/>
      </c>
      <c r="AZ48" t="s">
        <v>200</v>
      </c>
      <c r="BA48" s="3"/>
      <c r="BB48" t="str">
        <f t="shared" si="2"/>
        <v>No scrap rate (No impact);</v>
      </c>
    </row>
    <row r="49" spans="1:54" x14ac:dyDescent="0.3">
      <c r="A49" t="s">
        <v>883</v>
      </c>
      <c r="B49" t="s">
        <v>884</v>
      </c>
      <c r="C49" t="s">
        <v>723</v>
      </c>
      <c r="D49" t="s">
        <v>724</v>
      </c>
      <c r="G49" t="s">
        <v>885</v>
      </c>
      <c r="H49" t="s">
        <v>886</v>
      </c>
      <c r="K49" t="s">
        <v>825</v>
      </c>
      <c r="L49">
        <v>0</v>
      </c>
      <c r="M49">
        <v>624</v>
      </c>
      <c r="N49" t="s">
        <v>198</v>
      </c>
      <c r="O49">
        <v>0</v>
      </c>
      <c r="P49" t="s">
        <v>198</v>
      </c>
      <c r="R49" s="3"/>
      <c r="W49" t="s">
        <v>200</v>
      </c>
      <c r="X49" s="25"/>
      <c r="Y49" s="26"/>
      <c r="Z49" s="27"/>
      <c r="AA49" t="s">
        <v>25</v>
      </c>
      <c r="AB49" t="s">
        <v>201</v>
      </c>
      <c r="AC49" s="3"/>
      <c r="AH49" t="s">
        <v>202</v>
      </c>
      <c r="AK49" t="s">
        <v>203</v>
      </c>
      <c r="AP49" t="s">
        <v>200</v>
      </c>
      <c r="AR49" s="25"/>
      <c r="AT49" s="25">
        <v>0</v>
      </c>
      <c r="AU49" s="26"/>
      <c r="AV49" s="26"/>
      <c r="AW49" s="26"/>
      <c r="AX49" s="26" t="str">
        <f t="shared" si="0"/>
        <v/>
      </c>
      <c r="AY49" t="str">
        <f t="shared" si="1"/>
        <v/>
      </c>
      <c r="AZ49" t="s">
        <v>200</v>
      </c>
      <c r="BA49" s="3"/>
      <c r="BB49" t="str">
        <f t="shared" si="2"/>
        <v>No scrap rate (No impact);</v>
      </c>
    </row>
    <row r="50" spans="1:54" x14ac:dyDescent="0.3">
      <c r="A50" t="s">
        <v>887</v>
      </c>
      <c r="B50" t="s">
        <v>888</v>
      </c>
      <c r="C50" t="s">
        <v>723</v>
      </c>
      <c r="D50" t="s">
        <v>724</v>
      </c>
      <c r="G50" t="s">
        <v>889</v>
      </c>
      <c r="H50" t="s">
        <v>890</v>
      </c>
      <c r="L50">
        <v>0</v>
      </c>
      <c r="M50">
        <v>1</v>
      </c>
      <c r="N50" t="s">
        <v>198</v>
      </c>
      <c r="O50">
        <v>0</v>
      </c>
      <c r="P50" t="s">
        <v>198</v>
      </c>
      <c r="R50" s="3"/>
      <c r="W50" t="s">
        <v>200</v>
      </c>
      <c r="X50" s="25"/>
      <c r="Y50" s="26"/>
      <c r="Z50" s="27"/>
      <c r="AA50" t="s">
        <v>25</v>
      </c>
      <c r="AB50" t="s">
        <v>201</v>
      </c>
      <c r="AC50" s="3"/>
      <c r="AH50" t="s">
        <v>202</v>
      </c>
      <c r="AK50" t="s">
        <v>203</v>
      </c>
      <c r="AP50" t="s">
        <v>200</v>
      </c>
      <c r="AR50" s="25"/>
      <c r="AT50" s="25">
        <v>0</v>
      </c>
      <c r="AU50" s="26"/>
      <c r="AV50" s="26"/>
      <c r="AW50" s="26"/>
      <c r="AX50" s="26" t="str">
        <f t="shared" si="0"/>
        <v/>
      </c>
      <c r="AY50" t="str">
        <f t="shared" si="1"/>
        <v/>
      </c>
      <c r="AZ50" t="s">
        <v>200</v>
      </c>
      <c r="BA50" s="3"/>
      <c r="BB50" t="str">
        <f t="shared" si="2"/>
        <v>No scrap rate (No impact);No raw material available (High);</v>
      </c>
    </row>
    <row r="51" spans="1:54" x14ac:dyDescent="0.3">
      <c r="A51" t="s">
        <v>891</v>
      </c>
      <c r="B51" t="s">
        <v>892</v>
      </c>
      <c r="C51" t="s">
        <v>723</v>
      </c>
      <c r="D51" t="s">
        <v>724</v>
      </c>
      <c r="G51" t="s">
        <v>873</v>
      </c>
      <c r="H51" t="s">
        <v>874</v>
      </c>
      <c r="K51" t="s">
        <v>825</v>
      </c>
      <c r="L51">
        <v>0</v>
      </c>
      <c r="M51">
        <v>1000</v>
      </c>
      <c r="N51" t="s">
        <v>198</v>
      </c>
      <c r="O51">
        <v>0</v>
      </c>
      <c r="P51" t="s">
        <v>198</v>
      </c>
      <c r="R51" s="3"/>
      <c r="W51" t="s">
        <v>200</v>
      </c>
      <c r="X51" s="25"/>
      <c r="Y51" s="26"/>
      <c r="Z51" s="27"/>
      <c r="AA51" t="s">
        <v>25</v>
      </c>
      <c r="AB51" t="s">
        <v>201</v>
      </c>
      <c r="AC51" s="3"/>
      <c r="AH51" t="s">
        <v>202</v>
      </c>
      <c r="AK51" t="s">
        <v>203</v>
      </c>
      <c r="AP51" t="s">
        <v>200</v>
      </c>
      <c r="AR51" s="25"/>
      <c r="AT51" s="25">
        <v>0</v>
      </c>
      <c r="AU51" s="26"/>
      <c r="AV51" s="26"/>
      <c r="AW51" s="26"/>
      <c r="AX51" s="26" t="str">
        <f t="shared" si="0"/>
        <v/>
      </c>
      <c r="AY51" t="str">
        <f t="shared" si="1"/>
        <v/>
      </c>
      <c r="AZ51" t="s">
        <v>200</v>
      </c>
      <c r="BA51" s="3"/>
      <c r="BB51" t="str">
        <f t="shared" si="2"/>
        <v>No scrap rate (No impact);</v>
      </c>
    </row>
    <row r="52" spans="1:54" x14ac:dyDescent="0.3">
      <c r="A52" t="s">
        <v>893</v>
      </c>
      <c r="B52" t="s">
        <v>894</v>
      </c>
      <c r="C52" t="s">
        <v>723</v>
      </c>
      <c r="D52" t="s">
        <v>724</v>
      </c>
      <c r="G52" t="s">
        <v>895</v>
      </c>
      <c r="H52" t="s">
        <v>896</v>
      </c>
      <c r="L52">
        <v>0</v>
      </c>
      <c r="M52">
        <v>1</v>
      </c>
      <c r="N52" t="s">
        <v>198</v>
      </c>
      <c r="O52">
        <v>0</v>
      </c>
      <c r="P52" t="s">
        <v>198</v>
      </c>
      <c r="R52" s="3"/>
      <c r="W52" t="s">
        <v>200</v>
      </c>
      <c r="X52" s="25"/>
      <c r="Y52" s="26"/>
      <c r="Z52" s="27"/>
      <c r="AA52" t="s">
        <v>25</v>
      </c>
      <c r="AB52" t="s">
        <v>201</v>
      </c>
      <c r="AC52" s="3"/>
      <c r="AH52" t="s">
        <v>202</v>
      </c>
      <c r="AK52" t="s">
        <v>203</v>
      </c>
      <c r="AP52" t="s">
        <v>200</v>
      </c>
      <c r="AR52" s="25"/>
      <c r="AT52" s="25">
        <v>0</v>
      </c>
      <c r="AU52" s="26"/>
      <c r="AV52" s="26"/>
      <c r="AW52" s="26"/>
      <c r="AX52" s="26" t="str">
        <f t="shared" si="0"/>
        <v/>
      </c>
      <c r="AY52" t="str">
        <f t="shared" si="1"/>
        <v/>
      </c>
      <c r="AZ52" t="s">
        <v>200</v>
      </c>
      <c r="BA52" s="3"/>
      <c r="BB52" t="str">
        <f t="shared" si="2"/>
        <v>No scrap rate (No impact);No raw material available (High);</v>
      </c>
    </row>
    <row r="53" spans="1:54" x14ac:dyDescent="0.3">
      <c r="A53" t="s">
        <v>897</v>
      </c>
      <c r="B53" t="s">
        <v>898</v>
      </c>
      <c r="C53" t="s">
        <v>723</v>
      </c>
      <c r="D53" t="s">
        <v>724</v>
      </c>
      <c r="G53" t="s">
        <v>899</v>
      </c>
      <c r="H53" t="s">
        <v>900</v>
      </c>
      <c r="K53" t="s">
        <v>825</v>
      </c>
      <c r="L53">
        <v>0</v>
      </c>
      <c r="M53">
        <v>0</v>
      </c>
      <c r="N53" t="s">
        <v>198</v>
      </c>
      <c r="O53">
        <v>0</v>
      </c>
      <c r="P53" t="s">
        <v>198</v>
      </c>
      <c r="R53" s="3"/>
      <c r="W53" t="s">
        <v>200</v>
      </c>
      <c r="X53" s="25"/>
      <c r="Y53" s="26"/>
      <c r="Z53" s="27"/>
      <c r="AA53" t="s">
        <v>25</v>
      </c>
      <c r="AB53" t="s">
        <v>201</v>
      </c>
      <c r="AC53" s="3"/>
      <c r="AH53" t="s">
        <v>202</v>
      </c>
      <c r="AK53" t="s">
        <v>203</v>
      </c>
      <c r="AP53" t="s">
        <v>200</v>
      </c>
      <c r="AR53" s="25"/>
      <c r="AT53" s="25">
        <v>0</v>
      </c>
      <c r="AU53" s="26"/>
      <c r="AV53" s="26"/>
      <c r="AW53" s="26"/>
      <c r="AX53" s="26" t="str">
        <f t="shared" si="0"/>
        <v/>
      </c>
      <c r="AY53" t="str">
        <f t="shared" si="1"/>
        <v/>
      </c>
      <c r="AZ53" t="s">
        <v>200</v>
      </c>
      <c r="BA53" s="3"/>
      <c r="BB53" t="str">
        <f t="shared" si="2"/>
        <v>No scrap rate (No impact);</v>
      </c>
    </row>
    <row r="54" spans="1:54" x14ac:dyDescent="0.3">
      <c r="A54" t="s">
        <v>901</v>
      </c>
      <c r="B54" t="s">
        <v>902</v>
      </c>
      <c r="C54" t="s">
        <v>747</v>
      </c>
      <c r="D54" t="s">
        <v>748</v>
      </c>
      <c r="G54" t="s">
        <v>903</v>
      </c>
      <c r="H54" t="s">
        <v>361</v>
      </c>
      <c r="L54">
        <v>0</v>
      </c>
      <c r="M54">
        <v>0.192</v>
      </c>
      <c r="N54" t="s">
        <v>198</v>
      </c>
      <c r="O54">
        <v>0.192</v>
      </c>
      <c r="P54" t="s">
        <v>198</v>
      </c>
      <c r="Q54" t="s">
        <v>199</v>
      </c>
      <c r="R54" s="3"/>
      <c r="W54" t="s">
        <v>200</v>
      </c>
      <c r="X54" s="25"/>
      <c r="Y54" s="26"/>
      <c r="Z54" s="27"/>
      <c r="AA54" t="s">
        <v>25</v>
      </c>
      <c r="AB54" t="s">
        <v>201</v>
      </c>
      <c r="AC54" s="3"/>
      <c r="AH54" t="s">
        <v>202</v>
      </c>
      <c r="AK54" t="s">
        <v>203</v>
      </c>
      <c r="AP54" t="s">
        <v>200</v>
      </c>
      <c r="AR54" s="25"/>
      <c r="AT54" s="25">
        <v>0</v>
      </c>
      <c r="AU54" s="26"/>
      <c r="AV54" s="26"/>
      <c r="AW54" s="26"/>
      <c r="AX54" s="26" t="str">
        <f t="shared" si="0"/>
        <v/>
      </c>
      <c r="AY54" t="str">
        <f t="shared" si="1"/>
        <v/>
      </c>
      <c r="AZ54" t="s">
        <v>200</v>
      </c>
      <c r="BA54" s="3"/>
      <c r="BB54" t="str">
        <f t="shared" si="2"/>
        <v>No scrap rate (No impact);No raw material available (High);</v>
      </c>
    </row>
    <row r="55" spans="1:54" x14ac:dyDescent="0.3">
      <c r="A55" t="s">
        <v>904</v>
      </c>
      <c r="B55" t="s">
        <v>905</v>
      </c>
      <c r="C55" t="s">
        <v>906</v>
      </c>
      <c r="D55" t="s">
        <v>907</v>
      </c>
      <c r="G55" t="s">
        <v>908</v>
      </c>
      <c r="H55" t="s">
        <v>909</v>
      </c>
      <c r="J55" t="s">
        <v>910</v>
      </c>
      <c r="L55">
        <v>1</v>
      </c>
      <c r="M55">
        <v>0.08</v>
      </c>
      <c r="N55" t="s">
        <v>198</v>
      </c>
      <c r="O55">
        <v>0.05</v>
      </c>
      <c r="P55" t="s">
        <v>198</v>
      </c>
      <c r="Q55" t="s">
        <v>199</v>
      </c>
      <c r="R55" s="3"/>
      <c r="W55" t="s">
        <v>200</v>
      </c>
      <c r="X55" s="25"/>
      <c r="Y55" s="26"/>
      <c r="Z55" s="27"/>
      <c r="AA55" t="s">
        <v>25</v>
      </c>
      <c r="AB55" t="s">
        <v>201</v>
      </c>
      <c r="AC55" s="3"/>
      <c r="AH55" t="s">
        <v>202</v>
      </c>
      <c r="AK55" t="s">
        <v>203</v>
      </c>
      <c r="AP55" t="s">
        <v>200</v>
      </c>
      <c r="AR55" s="25"/>
      <c r="AT55" s="25">
        <v>0</v>
      </c>
      <c r="AU55" s="26"/>
      <c r="AV55" s="26"/>
      <c r="AW55" s="26"/>
      <c r="AX55" s="26" t="str">
        <f t="shared" si="0"/>
        <v/>
      </c>
      <c r="AY55" t="str">
        <f t="shared" si="1"/>
        <v/>
      </c>
      <c r="AZ55" t="s">
        <v>200</v>
      </c>
      <c r="BA55" s="3"/>
      <c r="BB55" t="str">
        <f t="shared" si="2"/>
        <v>No scrap rate (No impact);</v>
      </c>
    </row>
    <row r="56" spans="1:54" x14ac:dyDescent="0.3">
      <c r="A56" t="s">
        <v>911</v>
      </c>
      <c r="B56" t="s">
        <v>912</v>
      </c>
      <c r="C56" t="s">
        <v>913</v>
      </c>
      <c r="D56" t="s">
        <v>914</v>
      </c>
      <c r="G56" t="s">
        <v>915</v>
      </c>
      <c r="H56" t="s">
        <v>197</v>
      </c>
      <c r="L56">
        <v>0</v>
      </c>
      <c r="M56">
        <v>0</v>
      </c>
      <c r="N56" t="s">
        <v>198</v>
      </c>
      <c r="O56">
        <v>0</v>
      </c>
      <c r="P56" t="s">
        <v>198</v>
      </c>
      <c r="R56" s="3"/>
      <c r="W56" t="s">
        <v>200</v>
      </c>
      <c r="X56" s="25"/>
      <c r="Y56" s="26"/>
      <c r="Z56" s="27"/>
      <c r="AA56" t="s">
        <v>25</v>
      </c>
      <c r="AB56" t="s">
        <v>201</v>
      </c>
      <c r="AC56" s="3"/>
      <c r="AH56" t="s">
        <v>202</v>
      </c>
      <c r="AK56" t="s">
        <v>203</v>
      </c>
      <c r="AP56" t="s">
        <v>200</v>
      </c>
      <c r="AR56" s="25"/>
      <c r="AT56" s="25">
        <v>0</v>
      </c>
      <c r="AU56" s="26"/>
      <c r="AV56" s="26"/>
      <c r="AW56" s="26"/>
      <c r="AX56" s="26" t="str">
        <f t="shared" si="0"/>
        <v/>
      </c>
      <c r="AY56" t="str">
        <f t="shared" si="1"/>
        <v/>
      </c>
      <c r="AZ56" t="s">
        <v>200</v>
      </c>
      <c r="BA56" s="3"/>
      <c r="BB56" t="str">
        <f t="shared" si="2"/>
        <v>No scrap rate (No impact);No raw material available (High);</v>
      </c>
    </row>
    <row r="57" spans="1:54" x14ac:dyDescent="0.3">
      <c r="A57" t="s">
        <v>916</v>
      </c>
      <c r="B57" t="s">
        <v>917</v>
      </c>
      <c r="C57" t="s">
        <v>918</v>
      </c>
      <c r="D57" t="s">
        <v>919</v>
      </c>
      <c r="G57" t="s">
        <v>920</v>
      </c>
      <c r="H57" t="s">
        <v>921</v>
      </c>
      <c r="L57">
        <v>1400</v>
      </c>
      <c r="M57">
        <v>7.0000000000000001E-3</v>
      </c>
      <c r="N57" t="s">
        <v>198</v>
      </c>
      <c r="O57">
        <v>0</v>
      </c>
      <c r="P57" t="s">
        <v>198</v>
      </c>
      <c r="Q57" t="s">
        <v>199</v>
      </c>
      <c r="R57" s="3"/>
      <c r="W57" t="s">
        <v>200</v>
      </c>
      <c r="X57" s="25"/>
      <c r="Y57" s="26"/>
      <c r="Z57" s="27"/>
      <c r="AA57" t="s">
        <v>25</v>
      </c>
      <c r="AB57" t="s">
        <v>201</v>
      </c>
      <c r="AC57" s="3"/>
      <c r="AH57" t="s">
        <v>202</v>
      </c>
      <c r="AK57" t="s">
        <v>203</v>
      </c>
      <c r="AP57" t="s">
        <v>200</v>
      </c>
      <c r="AR57" s="25"/>
      <c r="AT57" s="25">
        <v>0</v>
      </c>
      <c r="AU57" s="26"/>
      <c r="AV57" s="26"/>
      <c r="AW57" s="26"/>
      <c r="AX57" s="26" t="str">
        <f t="shared" si="0"/>
        <v/>
      </c>
      <c r="AY57" t="str">
        <f t="shared" si="1"/>
        <v/>
      </c>
      <c r="AZ57" t="s">
        <v>200</v>
      </c>
      <c r="BA57" s="3"/>
      <c r="BB57" t="str">
        <f t="shared" si="2"/>
        <v>No scrap rate (No impact);No raw material available (High);</v>
      </c>
    </row>
    <row r="58" spans="1:54" x14ac:dyDescent="0.3">
      <c r="A58" t="s">
        <v>922</v>
      </c>
      <c r="B58" t="s">
        <v>923</v>
      </c>
      <c r="C58" t="s">
        <v>747</v>
      </c>
      <c r="D58" t="s">
        <v>748</v>
      </c>
      <c r="G58" t="s">
        <v>924</v>
      </c>
      <c r="H58" t="s">
        <v>925</v>
      </c>
      <c r="J58" t="s">
        <v>926</v>
      </c>
      <c r="K58" t="s">
        <v>927</v>
      </c>
      <c r="L58">
        <v>1</v>
      </c>
      <c r="M58">
        <v>0.184</v>
      </c>
      <c r="N58" t="s">
        <v>198</v>
      </c>
      <c r="O58">
        <v>0</v>
      </c>
      <c r="P58" t="s">
        <v>198</v>
      </c>
      <c r="Q58" t="s">
        <v>199</v>
      </c>
      <c r="R58" s="3"/>
      <c r="W58" t="s">
        <v>200</v>
      </c>
      <c r="X58" s="25"/>
      <c r="Y58" s="26"/>
      <c r="Z58" s="27"/>
      <c r="AA58" t="s">
        <v>25</v>
      </c>
      <c r="AB58" t="s">
        <v>201</v>
      </c>
      <c r="AC58" s="3"/>
      <c r="AH58" t="s">
        <v>202</v>
      </c>
      <c r="AK58" t="s">
        <v>203</v>
      </c>
      <c r="AP58" t="s">
        <v>200</v>
      </c>
      <c r="AR58" s="25"/>
      <c r="AT58" s="25">
        <v>0</v>
      </c>
      <c r="AU58" s="26"/>
      <c r="AV58" s="26"/>
      <c r="AW58" s="26"/>
      <c r="AX58" s="26" t="str">
        <f t="shared" si="0"/>
        <v/>
      </c>
      <c r="AY58" t="str">
        <f t="shared" si="1"/>
        <v/>
      </c>
      <c r="AZ58" t="s">
        <v>200</v>
      </c>
      <c r="BA58" s="3"/>
      <c r="BB58" t="str">
        <f t="shared" si="2"/>
        <v>No scrap rate (No impact);</v>
      </c>
    </row>
    <row r="59" spans="1:54" x14ac:dyDescent="0.3">
      <c r="A59" t="s">
        <v>928</v>
      </c>
      <c r="B59" t="s">
        <v>929</v>
      </c>
      <c r="C59" t="s">
        <v>747</v>
      </c>
      <c r="D59" t="s">
        <v>748</v>
      </c>
      <c r="G59" t="s">
        <v>725</v>
      </c>
      <c r="H59" t="s">
        <v>197</v>
      </c>
      <c r="J59" t="s">
        <v>930</v>
      </c>
      <c r="L59">
        <v>1</v>
      </c>
      <c r="M59">
        <v>5.0000000000000001E-3</v>
      </c>
      <c r="N59" t="s">
        <v>198</v>
      </c>
      <c r="O59">
        <v>0</v>
      </c>
      <c r="P59" t="s">
        <v>198</v>
      </c>
      <c r="Q59" t="s">
        <v>199</v>
      </c>
      <c r="R59" s="3"/>
      <c r="W59" t="s">
        <v>200</v>
      </c>
      <c r="X59" s="25"/>
      <c r="Y59" s="26"/>
      <c r="Z59" s="27"/>
      <c r="AA59" t="s">
        <v>25</v>
      </c>
      <c r="AB59" t="s">
        <v>201</v>
      </c>
      <c r="AC59" s="3"/>
      <c r="AH59" t="s">
        <v>202</v>
      </c>
      <c r="AK59" t="s">
        <v>203</v>
      </c>
      <c r="AP59" t="s">
        <v>200</v>
      </c>
      <c r="AR59" s="25"/>
      <c r="AT59" s="25">
        <v>0</v>
      </c>
      <c r="AU59" s="26"/>
      <c r="AV59" s="26"/>
      <c r="AW59" s="26"/>
      <c r="AX59" s="26" t="str">
        <f t="shared" si="0"/>
        <v/>
      </c>
      <c r="AY59" t="str">
        <f t="shared" si="1"/>
        <v/>
      </c>
      <c r="AZ59" t="s">
        <v>200</v>
      </c>
      <c r="BA59" s="3"/>
      <c r="BB59" t="str">
        <f t="shared" si="2"/>
        <v>No scrap rate (No impact);</v>
      </c>
    </row>
    <row r="60" spans="1:54" x14ac:dyDescent="0.3">
      <c r="A60" t="s">
        <v>931</v>
      </c>
      <c r="B60" t="s">
        <v>932</v>
      </c>
      <c r="C60" t="s">
        <v>747</v>
      </c>
      <c r="D60" t="s">
        <v>748</v>
      </c>
      <c r="G60" t="s">
        <v>933</v>
      </c>
      <c r="H60" t="s">
        <v>934</v>
      </c>
      <c r="K60" t="s">
        <v>935</v>
      </c>
      <c r="L60">
        <v>1</v>
      </c>
      <c r="M60">
        <v>0.10100000000000001</v>
      </c>
      <c r="N60" t="s">
        <v>198</v>
      </c>
      <c r="O60">
        <v>0</v>
      </c>
      <c r="P60" t="s">
        <v>198</v>
      </c>
      <c r="Q60" t="s">
        <v>199</v>
      </c>
      <c r="R60" s="3"/>
      <c r="W60" t="s">
        <v>200</v>
      </c>
      <c r="X60" s="25"/>
      <c r="Y60" s="26"/>
      <c r="Z60" s="27"/>
      <c r="AA60" t="s">
        <v>25</v>
      </c>
      <c r="AB60" t="s">
        <v>201</v>
      </c>
      <c r="AC60" s="3"/>
      <c r="AH60" t="s">
        <v>202</v>
      </c>
      <c r="AK60" t="s">
        <v>203</v>
      </c>
      <c r="AP60" t="s">
        <v>200</v>
      </c>
      <c r="AR60" s="25"/>
      <c r="AT60" s="25">
        <v>0</v>
      </c>
      <c r="AU60" s="26"/>
      <c r="AV60" s="26"/>
      <c r="AW60" s="26"/>
      <c r="AX60" s="26" t="str">
        <f t="shared" si="0"/>
        <v/>
      </c>
      <c r="AY60" t="str">
        <f t="shared" si="1"/>
        <v/>
      </c>
      <c r="AZ60" t="s">
        <v>200</v>
      </c>
      <c r="BA60" s="3"/>
      <c r="BB60" t="str">
        <f t="shared" si="2"/>
        <v>No scrap rate (No impact);</v>
      </c>
    </row>
    <row r="61" spans="1:54" x14ac:dyDescent="0.3">
      <c r="A61" t="s">
        <v>936</v>
      </c>
      <c r="B61" t="s">
        <v>937</v>
      </c>
      <c r="C61" t="s">
        <v>938</v>
      </c>
      <c r="D61" t="s">
        <v>939</v>
      </c>
      <c r="L61">
        <v>1</v>
      </c>
      <c r="M61">
        <v>0.05</v>
      </c>
      <c r="N61" t="s">
        <v>198</v>
      </c>
      <c r="O61">
        <v>0</v>
      </c>
      <c r="P61" t="s">
        <v>198</v>
      </c>
      <c r="Q61" t="s">
        <v>199</v>
      </c>
      <c r="R61" s="3"/>
      <c r="W61" t="s">
        <v>200</v>
      </c>
      <c r="X61" s="25"/>
      <c r="Y61" s="26"/>
      <c r="Z61" s="27"/>
      <c r="AA61" t="s">
        <v>25</v>
      </c>
      <c r="AB61" t="s">
        <v>201</v>
      </c>
      <c r="AC61" s="3"/>
      <c r="AH61" t="s">
        <v>202</v>
      </c>
      <c r="AK61" t="s">
        <v>203</v>
      </c>
      <c r="AP61" t="s">
        <v>200</v>
      </c>
      <c r="AR61" s="25"/>
      <c r="AT61" s="25">
        <v>0</v>
      </c>
      <c r="AU61" s="26"/>
      <c r="AV61" s="26"/>
      <c r="AW61" s="26"/>
      <c r="AX61" s="26" t="str">
        <f t="shared" si="0"/>
        <v/>
      </c>
      <c r="AY61" t="str">
        <f t="shared" si="1"/>
        <v/>
      </c>
      <c r="AZ61" t="s">
        <v>200</v>
      </c>
      <c r="BA61" s="3"/>
      <c r="BB61" t="str">
        <f t="shared" si="2"/>
        <v>Supplier code empty (High);No scrap rate (No impact);No raw material available (High);</v>
      </c>
    </row>
    <row r="62" spans="1:54" x14ac:dyDescent="0.3">
      <c r="A62" t="s">
        <v>940</v>
      </c>
      <c r="B62" t="s">
        <v>941</v>
      </c>
      <c r="C62" t="s">
        <v>938</v>
      </c>
      <c r="D62" t="s">
        <v>939</v>
      </c>
      <c r="G62" t="s">
        <v>942</v>
      </c>
      <c r="H62" t="s">
        <v>943</v>
      </c>
      <c r="L62">
        <v>1500</v>
      </c>
      <c r="M62">
        <v>0</v>
      </c>
      <c r="N62" t="s">
        <v>198</v>
      </c>
      <c r="O62">
        <v>0</v>
      </c>
      <c r="P62" t="s">
        <v>198</v>
      </c>
      <c r="Q62" t="s">
        <v>199</v>
      </c>
      <c r="R62" s="3"/>
      <c r="W62" t="s">
        <v>200</v>
      </c>
      <c r="X62" s="25"/>
      <c r="Y62" s="26"/>
      <c r="Z62" s="27"/>
      <c r="AA62" t="s">
        <v>25</v>
      </c>
      <c r="AB62" t="s">
        <v>201</v>
      </c>
      <c r="AC62" s="3"/>
      <c r="AH62" t="s">
        <v>202</v>
      </c>
      <c r="AK62" t="s">
        <v>203</v>
      </c>
      <c r="AP62" t="s">
        <v>200</v>
      </c>
      <c r="AR62" s="25"/>
      <c r="AT62" s="25">
        <v>0</v>
      </c>
      <c r="AU62" s="26"/>
      <c r="AV62" s="26"/>
      <c r="AW62" s="26"/>
      <c r="AX62" s="26" t="str">
        <f t="shared" si="0"/>
        <v/>
      </c>
      <c r="AY62" t="str">
        <f t="shared" si="1"/>
        <v/>
      </c>
      <c r="AZ62" t="s">
        <v>200</v>
      </c>
      <c r="BA62" s="3"/>
      <c r="BB62" t="str">
        <f t="shared" si="2"/>
        <v>No scrap rate (No impact);No raw material available (High);</v>
      </c>
    </row>
    <row r="63" spans="1:54" x14ac:dyDescent="0.3">
      <c r="A63" t="s">
        <v>944</v>
      </c>
      <c r="B63" t="s">
        <v>945</v>
      </c>
      <c r="C63" t="s">
        <v>946</v>
      </c>
      <c r="D63" t="s">
        <v>947</v>
      </c>
      <c r="G63" t="s">
        <v>933</v>
      </c>
      <c r="H63" t="s">
        <v>934</v>
      </c>
      <c r="J63" t="s">
        <v>926</v>
      </c>
      <c r="L63">
        <v>1</v>
      </c>
      <c r="M63">
        <v>0.19600000000000001</v>
      </c>
      <c r="N63" t="s">
        <v>198</v>
      </c>
      <c r="O63">
        <v>0.19600000000000001</v>
      </c>
      <c r="P63" t="s">
        <v>198</v>
      </c>
      <c r="Q63" t="s">
        <v>199</v>
      </c>
      <c r="R63" s="3"/>
      <c r="W63" t="s">
        <v>200</v>
      </c>
      <c r="X63" s="25"/>
      <c r="Y63" s="26"/>
      <c r="Z63" s="27"/>
      <c r="AA63" t="s">
        <v>25</v>
      </c>
      <c r="AB63" t="s">
        <v>201</v>
      </c>
      <c r="AC63" s="3"/>
      <c r="AH63" t="s">
        <v>202</v>
      </c>
      <c r="AK63" t="s">
        <v>203</v>
      </c>
      <c r="AP63" t="s">
        <v>200</v>
      </c>
      <c r="AR63" s="25"/>
      <c r="AT63" s="25">
        <v>0</v>
      </c>
      <c r="AU63" s="26"/>
      <c r="AV63" s="26"/>
      <c r="AW63" s="26"/>
      <c r="AX63" s="26" t="str">
        <f t="shared" si="0"/>
        <v/>
      </c>
      <c r="AY63" t="str">
        <f t="shared" si="1"/>
        <v/>
      </c>
      <c r="AZ63" t="s">
        <v>200</v>
      </c>
      <c r="BA63" s="3"/>
      <c r="BB63" t="str">
        <f t="shared" si="2"/>
        <v>No scrap rate (No impact);</v>
      </c>
    </row>
    <row r="64" spans="1:54" x14ac:dyDescent="0.3">
      <c r="A64" t="s">
        <v>948</v>
      </c>
      <c r="B64" t="s">
        <v>949</v>
      </c>
      <c r="C64" t="s">
        <v>747</v>
      </c>
      <c r="D64" t="s">
        <v>748</v>
      </c>
      <c r="G64" t="s">
        <v>950</v>
      </c>
      <c r="H64" t="s">
        <v>951</v>
      </c>
      <c r="K64" t="s">
        <v>927</v>
      </c>
      <c r="L64">
        <v>1</v>
      </c>
      <c r="M64">
        <v>1</v>
      </c>
      <c r="N64" t="s">
        <v>198</v>
      </c>
      <c r="O64">
        <v>0</v>
      </c>
      <c r="P64" t="s">
        <v>198</v>
      </c>
      <c r="Q64" t="s">
        <v>199</v>
      </c>
      <c r="R64" s="3"/>
      <c r="W64" t="s">
        <v>200</v>
      </c>
      <c r="X64" s="25"/>
      <c r="Y64" s="26"/>
      <c r="Z64" s="27"/>
      <c r="AA64" t="s">
        <v>25</v>
      </c>
      <c r="AB64" t="s">
        <v>201</v>
      </c>
      <c r="AC64" s="3"/>
      <c r="AH64" t="s">
        <v>202</v>
      </c>
      <c r="AK64" t="s">
        <v>203</v>
      </c>
      <c r="AP64" t="s">
        <v>200</v>
      </c>
      <c r="AR64" s="25"/>
      <c r="AT64" s="25">
        <v>0</v>
      </c>
      <c r="AU64" s="26"/>
      <c r="AV64" s="26"/>
      <c r="AW64" s="26"/>
      <c r="AX64" s="26" t="str">
        <f t="shared" si="0"/>
        <v/>
      </c>
      <c r="AY64" t="str">
        <f t="shared" si="1"/>
        <v/>
      </c>
      <c r="AZ64" t="s">
        <v>200</v>
      </c>
      <c r="BA64" s="3"/>
      <c r="BB64" t="str">
        <f t="shared" si="2"/>
        <v>No scrap rate (No impact);</v>
      </c>
    </row>
    <row r="65" spans="1:54" x14ac:dyDescent="0.3">
      <c r="A65" t="s">
        <v>952</v>
      </c>
      <c r="B65" t="s">
        <v>953</v>
      </c>
      <c r="C65" t="s">
        <v>747</v>
      </c>
      <c r="D65" t="s">
        <v>748</v>
      </c>
      <c r="G65" t="s">
        <v>954</v>
      </c>
      <c r="H65" t="s">
        <v>955</v>
      </c>
      <c r="L65">
        <v>1</v>
      </c>
      <c r="M65">
        <v>1</v>
      </c>
      <c r="N65" t="s">
        <v>198</v>
      </c>
      <c r="O65">
        <v>0</v>
      </c>
      <c r="P65" t="s">
        <v>198</v>
      </c>
      <c r="Q65" t="s">
        <v>199</v>
      </c>
      <c r="R65" s="3"/>
      <c r="W65" t="s">
        <v>200</v>
      </c>
      <c r="X65" s="25"/>
      <c r="Y65" s="26"/>
      <c r="Z65" s="27"/>
      <c r="AA65" t="s">
        <v>25</v>
      </c>
      <c r="AB65" t="s">
        <v>201</v>
      </c>
      <c r="AC65" s="3"/>
      <c r="AH65" t="s">
        <v>202</v>
      </c>
      <c r="AK65" t="s">
        <v>203</v>
      </c>
      <c r="AP65" t="s">
        <v>200</v>
      </c>
      <c r="AR65" s="25"/>
      <c r="AT65" s="25">
        <v>0</v>
      </c>
      <c r="AU65" s="26"/>
      <c r="AV65" s="26"/>
      <c r="AW65" s="26"/>
      <c r="AX65" s="26" t="str">
        <f t="shared" si="0"/>
        <v/>
      </c>
      <c r="AY65" t="str">
        <f t="shared" si="1"/>
        <v/>
      </c>
      <c r="AZ65" t="s">
        <v>200</v>
      </c>
      <c r="BA65" s="3"/>
      <c r="BB65" t="str">
        <f t="shared" si="2"/>
        <v>No scrap rate (No impact);No raw material available (High);</v>
      </c>
    </row>
    <row r="66" spans="1:54" x14ac:dyDescent="0.3">
      <c r="A66" t="s">
        <v>956</v>
      </c>
      <c r="B66" t="s">
        <v>957</v>
      </c>
      <c r="C66" t="s">
        <v>747</v>
      </c>
      <c r="D66" t="s">
        <v>748</v>
      </c>
      <c r="G66" t="s">
        <v>958</v>
      </c>
      <c r="H66" t="s">
        <v>959</v>
      </c>
      <c r="J66" t="s">
        <v>960</v>
      </c>
      <c r="K66" t="s">
        <v>961</v>
      </c>
      <c r="L66">
        <v>0</v>
      </c>
      <c r="M66">
        <v>13</v>
      </c>
      <c r="N66" t="s">
        <v>198</v>
      </c>
      <c r="O66">
        <v>20</v>
      </c>
      <c r="P66" t="s">
        <v>198</v>
      </c>
      <c r="Q66" t="s">
        <v>199</v>
      </c>
      <c r="R66" s="3"/>
      <c r="W66" t="s">
        <v>200</v>
      </c>
      <c r="X66" s="25"/>
      <c r="Y66" s="26"/>
      <c r="Z66" s="27"/>
      <c r="AA66" t="s">
        <v>25</v>
      </c>
      <c r="AB66" t="s">
        <v>201</v>
      </c>
      <c r="AC66" s="3"/>
      <c r="AH66" t="s">
        <v>202</v>
      </c>
      <c r="AK66" t="s">
        <v>203</v>
      </c>
      <c r="AP66" t="s">
        <v>200</v>
      </c>
      <c r="AR66" s="25"/>
      <c r="AT66" s="25">
        <v>0</v>
      </c>
      <c r="AU66" s="26"/>
      <c r="AV66" s="26"/>
      <c r="AW66" s="26"/>
      <c r="AX66" s="26" t="str">
        <f t="shared" si="0"/>
        <v/>
      </c>
      <c r="AY66" t="str">
        <f t="shared" si="1"/>
        <v/>
      </c>
      <c r="AZ66" t="s">
        <v>200</v>
      </c>
      <c r="BA66" s="3"/>
      <c r="BB66" t="str">
        <f t="shared" si="2"/>
        <v>No scrap rate (No impact);</v>
      </c>
    </row>
    <row r="67" spans="1:54" x14ac:dyDescent="0.3">
      <c r="A67" t="s">
        <v>962</v>
      </c>
      <c r="B67" t="s">
        <v>963</v>
      </c>
      <c r="C67" t="s">
        <v>747</v>
      </c>
      <c r="D67" t="s">
        <v>748</v>
      </c>
      <c r="G67" t="s">
        <v>725</v>
      </c>
      <c r="H67" t="s">
        <v>197</v>
      </c>
      <c r="J67" t="s">
        <v>960</v>
      </c>
      <c r="K67" t="s">
        <v>961</v>
      </c>
      <c r="L67">
        <v>0</v>
      </c>
      <c r="M67">
        <v>25</v>
      </c>
      <c r="N67" t="s">
        <v>198</v>
      </c>
      <c r="O67">
        <v>25</v>
      </c>
      <c r="P67" t="s">
        <v>198</v>
      </c>
      <c r="Q67" t="s">
        <v>199</v>
      </c>
      <c r="R67" s="3"/>
      <c r="W67" t="s">
        <v>200</v>
      </c>
      <c r="X67" s="25"/>
      <c r="Y67" s="26"/>
      <c r="Z67" s="27"/>
      <c r="AA67" t="s">
        <v>25</v>
      </c>
      <c r="AB67" t="s">
        <v>201</v>
      </c>
      <c r="AC67" s="3"/>
      <c r="AH67" t="s">
        <v>202</v>
      </c>
      <c r="AK67" t="s">
        <v>203</v>
      </c>
      <c r="AP67" t="s">
        <v>200</v>
      </c>
      <c r="AR67" s="25"/>
      <c r="AT67" s="25">
        <v>0</v>
      </c>
      <c r="AU67" s="26"/>
      <c r="AV67" s="26"/>
      <c r="AW67" s="26"/>
      <c r="AX67" s="26" t="str">
        <f t="shared" ref="AX67:AX130" si="3">IF(COUNT(AU67,AV67,AW67)=0,"",ROUND(AVERAGE(AU67,AV67,AW67),3))</f>
        <v/>
      </c>
      <c r="AY67" t="str">
        <f t="shared" ref="AY67:AY130" si="4">IF(AO67="","",ROUND(AO67*IF(M67="",0,M67)*(1+IF(AR67="",0,AR67)),5))</f>
        <v/>
      </c>
      <c r="AZ67" t="s">
        <v>200</v>
      </c>
      <c r="BA67" s="3"/>
      <c r="BB67" t="str">
        <f t="shared" ref="BB67:BB130" si="5">IF(AND(A67&lt;&gt;"",G67=""),"Supplier code empty (High);","")&amp;IF(AND(X67&lt;&gt;"",OR(X67&gt;1,X67&lt;0)),"Incorrect PDS value (High);",IF(AND(X67&lt;&gt;"",X67&gt;0.5),"High PDS value (Medium);",""))&amp;IF(AND(Y67&lt;&gt;"",OR(Y67&gt;5,Y67&lt;1)),"Incorrect DQR value (High);",IF(AND(Y67&lt;&gt;"",Y67&gt;4),"Incorrect DQR value (Medium);",IF(AND(Y67&lt;&gt;"",Y67&gt;3),"Incorrect DQR value (Low);","")))&amp;IF(AND(V67&lt;&gt;"",OR(V67&lt;=0,V67&gt;100)),"Unusual PCF value might be wrong (High);","")&amp;IF(AND(AT67&lt;&gt;"",OR(AT67&gt;1,AT67&lt;0)),"Incorrect PDS value (High);",IF(AND(AT67&lt;&gt;"",AT67&gt;0.5),"High PDS value (Medium);",""))&amp;IF(AND(AX67&lt;&gt;"",OR(AX67&gt;5,AX67&lt;1)),"Incorrect DQR value (High);",IF(AND(AX67&lt;&gt;"",AX67&gt;4),"Incorrect DQR value (Medium);",IF(AND(AX67&lt;&gt;"",AX67&gt;3),"Incorrect DQR value (Low);","")))&amp;IF(AND(AR67&lt;&gt;"",OR(AR67&gt;1,AR67&lt;0)),"Incorrect scrap rate (High);",IF(AND(A67&lt;&gt;"",AR67=0),"No scrap rate (No impact);",""))&amp;IF(AND(A67&lt;&gt;"",I67="",J67="",K67=""),"No raw material available (High);","")&amp;""</f>
        <v>No scrap rate (No impact);</v>
      </c>
    </row>
    <row r="68" spans="1:54" x14ac:dyDescent="0.3">
      <c r="A68" t="s">
        <v>964</v>
      </c>
      <c r="B68" t="s">
        <v>965</v>
      </c>
      <c r="C68" t="s">
        <v>966</v>
      </c>
      <c r="D68" t="s">
        <v>967</v>
      </c>
      <c r="G68" t="s">
        <v>725</v>
      </c>
      <c r="H68" t="s">
        <v>197</v>
      </c>
      <c r="L68">
        <v>1</v>
      </c>
      <c r="M68">
        <v>1</v>
      </c>
      <c r="N68" t="s">
        <v>198</v>
      </c>
      <c r="O68">
        <v>0</v>
      </c>
      <c r="P68" t="s">
        <v>198</v>
      </c>
      <c r="Q68" t="s">
        <v>199</v>
      </c>
      <c r="R68" s="3"/>
      <c r="W68" t="s">
        <v>200</v>
      </c>
      <c r="X68" s="25"/>
      <c r="Y68" s="26"/>
      <c r="Z68" s="27"/>
      <c r="AA68" t="s">
        <v>25</v>
      </c>
      <c r="AB68" t="s">
        <v>201</v>
      </c>
      <c r="AC68" s="3"/>
      <c r="AH68" t="s">
        <v>202</v>
      </c>
      <c r="AK68" t="s">
        <v>203</v>
      </c>
      <c r="AP68" t="s">
        <v>200</v>
      </c>
      <c r="AR68" s="25"/>
      <c r="AT68" s="25">
        <v>0</v>
      </c>
      <c r="AU68" s="26"/>
      <c r="AV68" s="26"/>
      <c r="AW68" s="26"/>
      <c r="AX68" s="26" t="str">
        <f t="shared" si="3"/>
        <v/>
      </c>
      <c r="AY68" t="str">
        <f t="shared" si="4"/>
        <v/>
      </c>
      <c r="AZ68" t="s">
        <v>200</v>
      </c>
      <c r="BA68" s="3"/>
      <c r="BB68" t="str">
        <f t="shared" si="5"/>
        <v>No scrap rate (No impact);No raw material available (High);</v>
      </c>
    </row>
    <row r="69" spans="1:54" x14ac:dyDescent="0.3">
      <c r="A69" t="s">
        <v>968</v>
      </c>
      <c r="B69" t="s">
        <v>969</v>
      </c>
      <c r="C69" t="s">
        <v>966</v>
      </c>
      <c r="D69" t="s">
        <v>967</v>
      </c>
      <c r="G69" t="s">
        <v>970</v>
      </c>
      <c r="H69" t="s">
        <v>971</v>
      </c>
      <c r="L69">
        <v>1</v>
      </c>
      <c r="M69">
        <v>1</v>
      </c>
      <c r="N69" t="s">
        <v>198</v>
      </c>
      <c r="O69">
        <v>0</v>
      </c>
      <c r="P69" t="s">
        <v>198</v>
      </c>
      <c r="Q69" t="s">
        <v>199</v>
      </c>
      <c r="R69" s="3"/>
      <c r="W69" t="s">
        <v>200</v>
      </c>
      <c r="X69" s="25"/>
      <c r="Y69" s="26"/>
      <c r="Z69" s="27"/>
      <c r="AA69" t="s">
        <v>25</v>
      </c>
      <c r="AB69" t="s">
        <v>201</v>
      </c>
      <c r="AC69" s="3"/>
      <c r="AH69" t="s">
        <v>202</v>
      </c>
      <c r="AK69" t="s">
        <v>203</v>
      </c>
      <c r="AP69" t="s">
        <v>200</v>
      </c>
      <c r="AR69" s="25"/>
      <c r="AT69" s="25">
        <v>0</v>
      </c>
      <c r="AU69" s="26"/>
      <c r="AV69" s="26"/>
      <c r="AW69" s="26"/>
      <c r="AX69" s="26" t="str">
        <f t="shared" si="3"/>
        <v/>
      </c>
      <c r="AY69" t="str">
        <f t="shared" si="4"/>
        <v/>
      </c>
      <c r="AZ69" t="s">
        <v>200</v>
      </c>
      <c r="BA69" s="3"/>
      <c r="BB69" t="str">
        <f t="shared" si="5"/>
        <v>No scrap rate (No impact);No raw material available (High);</v>
      </c>
    </row>
    <row r="70" spans="1:54" x14ac:dyDescent="0.3">
      <c r="A70" t="s">
        <v>972</v>
      </c>
      <c r="B70" t="s">
        <v>973</v>
      </c>
      <c r="C70" t="s">
        <v>946</v>
      </c>
      <c r="D70" t="s">
        <v>947</v>
      </c>
      <c r="G70" t="s">
        <v>933</v>
      </c>
      <c r="H70" t="s">
        <v>934</v>
      </c>
      <c r="J70" t="s">
        <v>926</v>
      </c>
      <c r="L70">
        <v>1</v>
      </c>
      <c r="M70">
        <v>0.45500000000000002</v>
      </c>
      <c r="N70" t="s">
        <v>198</v>
      </c>
      <c r="O70">
        <v>0.45500000000000002</v>
      </c>
      <c r="P70" t="s">
        <v>198</v>
      </c>
      <c r="Q70" t="s">
        <v>199</v>
      </c>
      <c r="R70" s="3"/>
      <c r="W70" t="s">
        <v>200</v>
      </c>
      <c r="X70" s="25"/>
      <c r="Y70" s="26"/>
      <c r="Z70" s="27"/>
      <c r="AA70" t="s">
        <v>25</v>
      </c>
      <c r="AB70" t="s">
        <v>201</v>
      </c>
      <c r="AC70" s="3"/>
      <c r="AH70" t="s">
        <v>202</v>
      </c>
      <c r="AK70" t="s">
        <v>203</v>
      </c>
      <c r="AP70" t="s">
        <v>200</v>
      </c>
      <c r="AR70" s="25"/>
      <c r="AT70" s="25">
        <v>0</v>
      </c>
      <c r="AU70" s="26"/>
      <c r="AV70" s="26"/>
      <c r="AW70" s="26"/>
      <c r="AX70" s="26" t="str">
        <f t="shared" si="3"/>
        <v/>
      </c>
      <c r="AY70" t="str">
        <f t="shared" si="4"/>
        <v/>
      </c>
      <c r="AZ70" t="s">
        <v>200</v>
      </c>
      <c r="BA70" s="3"/>
      <c r="BB70" t="str">
        <f t="shared" si="5"/>
        <v>No scrap rate (No impact);</v>
      </c>
    </row>
    <row r="71" spans="1:54" x14ac:dyDescent="0.3">
      <c r="A71" t="s">
        <v>974</v>
      </c>
      <c r="B71" t="s">
        <v>975</v>
      </c>
      <c r="C71" t="s">
        <v>747</v>
      </c>
      <c r="D71" t="s">
        <v>748</v>
      </c>
      <c r="G71" t="s">
        <v>976</v>
      </c>
      <c r="H71" t="s">
        <v>977</v>
      </c>
      <c r="K71" t="s">
        <v>961</v>
      </c>
      <c r="L71">
        <v>50</v>
      </c>
      <c r="M71">
        <v>9</v>
      </c>
      <c r="N71" t="s">
        <v>198</v>
      </c>
      <c r="O71">
        <v>9</v>
      </c>
      <c r="P71" t="s">
        <v>198</v>
      </c>
      <c r="Q71" t="s">
        <v>199</v>
      </c>
      <c r="R71" s="3"/>
      <c r="W71" t="s">
        <v>200</v>
      </c>
      <c r="X71" s="25"/>
      <c r="Y71" s="26"/>
      <c r="Z71" s="27"/>
      <c r="AA71" t="s">
        <v>25</v>
      </c>
      <c r="AB71" t="s">
        <v>201</v>
      </c>
      <c r="AC71" s="3"/>
      <c r="AH71" t="s">
        <v>202</v>
      </c>
      <c r="AK71" t="s">
        <v>203</v>
      </c>
      <c r="AP71" t="s">
        <v>200</v>
      </c>
      <c r="AR71" s="25"/>
      <c r="AT71" s="25">
        <v>0</v>
      </c>
      <c r="AU71" s="26"/>
      <c r="AV71" s="26"/>
      <c r="AW71" s="26"/>
      <c r="AX71" s="26" t="str">
        <f t="shared" si="3"/>
        <v/>
      </c>
      <c r="AY71" t="str">
        <f t="shared" si="4"/>
        <v/>
      </c>
      <c r="AZ71" t="s">
        <v>200</v>
      </c>
      <c r="BA71" s="3"/>
      <c r="BB71" t="str">
        <f t="shared" si="5"/>
        <v>No scrap rate (No impact);</v>
      </c>
    </row>
    <row r="72" spans="1:54" x14ac:dyDescent="0.3">
      <c r="A72" t="s">
        <v>978</v>
      </c>
      <c r="B72" t="s">
        <v>979</v>
      </c>
      <c r="C72" t="s">
        <v>938</v>
      </c>
      <c r="D72" t="s">
        <v>939</v>
      </c>
      <c r="G72" t="s">
        <v>980</v>
      </c>
      <c r="H72" t="s">
        <v>981</v>
      </c>
      <c r="L72">
        <v>660</v>
      </c>
      <c r="M72">
        <v>1.4999999999999999E-2</v>
      </c>
      <c r="N72" t="s">
        <v>198</v>
      </c>
      <c r="O72">
        <v>0</v>
      </c>
      <c r="P72" t="s">
        <v>198</v>
      </c>
      <c r="Q72" t="s">
        <v>199</v>
      </c>
      <c r="R72" s="3"/>
      <c r="W72" t="s">
        <v>200</v>
      </c>
      <c r="X72" s="25"/>
      <c r="Y72" s="26"/>
      <c r="Z72" s="27"/>
      <c r="AA72" t="s">
        <v>25</v>
      </c>
      <c r="AB72" t="s">
        <v>201</v>
      </c>
      <c r="AC72" s="3"/>
      <c r="AH72" t="s">
        <v>202</v>
      </c>
      <c r="AK72" t="s">
        <v>203</v>
      </c>
      <c r="AP72" t="s">
        <v>200</v>
      </c>
      <c r="AR72" s="25"/>
      <c r="AT72" s="25">
        <v>0</v>
      </c>
      <c r="AU72" s="26"/>
      <c r="AV72" s="26"/>
      <c r="AW72" s="26"/>
      <c r="AX72" s="26" t="str">
        <f t="shared" si="3"/>
        <v/>
      </c>
      <c r="AY72" t="str">
        <f t="shared" si="4"/>
        <v/>
      </c>
      <c r="AZ72" t="s">
        <v>200</v>
      </c>
      <c r="BA72" s="3"/>
      <c r="BB72" t="str">
        <f t="shared" si="5"/>
        <v>No scrap rate (No impact);No raw material available (High);</v>
      </c>
    </row>
    <row r="73" spans="1:54" x14ac:dyDescent="0.3">
      <c r="A73" t="s">
        <v>982</v>
      </c>
      <c r="B73" t="s">
        <v>983</v>
      </c>
      <c r="C73" t="s">
        <v>946</v>
      </c>
      <c r="D73" t="s">
        <v>947</v>
      </c>
      <c r="G73" t="s">
        <v>984</v>
      </c>
      <c r="H73" t="s">
        <v>985</v>
      </c>
      <c r="K73" t="s">
        <v>986</v>
      </c>
      <c r="L73">
        <v>1</v>
      </c>
      <c r="M73">
        <v>5.0000000000000001E-3</v>
      </c>
      <c r="N73" t="s">
        <v>198</v>
      </c>
      <c r="O73">
        <v>0</v>
      </c>
      <c r="P73" t="s">
        <v>198</v>
      </c>
      <c r="Q73" t="s">
        <v>199</v>
      </c>
      <c r="R73" s="3"/>
      <c r="W73" t="s">
        <v>200</v>
      </c>
      <c r="X73" s="25"/>
      <c r="Y73" s="26"/>
      <c r="Z73" s="27"/>
      <c r="AA73" t="s">
        <v>25</v>
      </c>
      <c r="AB73" t="s">
        <v>201</v>
      </c>
      <c r="AC73" s="3"/>
      <c r="AH73" t="s">
        <v>202</v>
      </c>
      <c r="AK73" t="s">
        <v>203</v>
      </c>
      <c r="AP73" t="s">
        <v>200</v>
      </c>
      <c r="AR73" s="25"/>
      <c r="AT73" s="25">
        <v>0</v>
      </c>
      <c r="AU73" s="26"/>
      <c r="AV73" s="26"/>
      <c r="AW73" s="26"/>
      <c r="AX73" s="26" t="str">
        <f t="shared" si="3"/>
        <v/>
      </c>
      <c r="AY73" t="str">
        <f t="shared" si="4"/>
        <v/>
      </c>
      <c r="AZ73" t="s">
        <v>200</v>
      </c>
      <c r="BA73" s="3"/>
      <c r="BB73" t="str">
        <f t="shared" si="5"/>
        <v>No scrap rate (No impact);</v>
      </c>
    </row>
    <row r="74" spans="1:54" x14ac:dyDescent="0.3">
      <c r="A74" t="s">
        <v>987</v>
      </c>
      <c r="B74" t="s">
        <v>988</v>
      </c>
      <c r="C74" t="s">
        <v>938</v>
      </c>
      <c r="D74" t="s">
        <v>939</v>
      </c>
      <c r="L74">
        <v>1900</v>
      </c>
      <c r="M74">
        <v>0.05</v>
      </c>
      <c r="N74" t="s">
        <v>198</v>
      </c>
      <c r="O74">
        <v>0</v>
      </c>
      <c r="P74" t="s">
        <v>198</v>
      </c>
      <c r="Q74" t="s">
        <v>199</v>
      </c>
      <c r="R74" s="3"/>
      <c r="W74" t="s">
        <v>200</v>
      </c>
      <c r="X74" s="25"/>
      <c r="Y74" s="26"/>
      <c r="Z74" s="27"/>
      <c r="AA74" t="s">
        <v>25</v>
      </c>
      <c r="AB74" t="s">
        <v>201</v>
      </c>
      <c r="AC74" s="3"/>
      <c r="AH74" t="s">
        <v>202</v>
      </c>
      <c r="AK74" t="s">
        <v>203</v>
      </c>
      <c r="AP74" t="s">
        <v>200</v>
      </c>
      <c r="AR74" s="25"/>
      <c r="AT74" s="25">
        <v>0</v>
      </c>
      <c r="AU74" s="26"/>
      <c r="AV74" s="26"/>
      <c r="AW74" s="26"/>
      <c r="AX74" s="26" t="str">
        <f t="shared" si="3"/>
        <v/>
      </c>
      <c r="AY74" t="str">
        <f t="shared" si="4"/>
        <v/>
      </c>
      <c r="AZ74" t="s">
        <v>200</v>
      </c>
      <c r="BA74" s="3"/>
      <c r="BB74" t="str">
        <f t="shared" si="5"/>
        <v>Supplier code empty (High);No scrap rate (No impact);No raw material available (High);</v>
      </c>
    </row>
    <row r="75" spans="1:54" x14ac:dyDescent="0.3">
      <c r="A75" t="s">
        <v>989</v>
      </c>
      <c r="B75" t="s">
        <v>990</v>
      </c>
      <c r="C75" t="s">
        <v>946</v>
      </c>
      <c r="D75" t="s">
        <v>947</v>
      </c>
      <c r="G75" t="s">
        <v>933</v>
      </c>
      <c r="H75" t="s">
        <v>934</v>
      </c>
      <c r="J75" t="s">
        <v>926</v>
      </c>
      <c r="L75">
        <v>1</v>
      </c>
      <c r="M75">
        <v>0.307</v>
      </c>
      <c r="N75" t="s">
        <v>198</v>
      </c>
      <c r="O75">
        <v>0.307</v>
      </c>
      <c r="P75" t="s">
        <v>198</v>
      </c>
      <c r="Q75" t="s">
        <v>199</v>
      </c>
      <c r="R75" s="3"/>
      <c r="W75" t="s">
        <v>200</v>
      </c>
      <c r="X75" s="25"/>
      <c r="Y75" s="26"/>
      <c r="Z75" s="27"/>
      <c r="AA75" t="s">
        <v>25</v>
      </c>
      <c r="AB75" t="s">
        <v>201</v>
      </c>
      <c r="AC75" s="3"/>
      <c r="AH75" t="s">
        <v>202</v>
      </c>
      <c r="AK75" t="s">
        <v>203</v>
      </c>
      <c r="AP75" t="s">
        <v>200</v>
      </c>
      <c r="AR75" s="25"/>
      <c r="AT75" s="25">
        <v>0</v>
      </c>
      <c r="AU75" s="26"/>
      <c r="AV75" s="26"/>
      <c r="AW75" s="26"/>
      <c r="AX75" s="26" t="str">
        <f t="shared" si="3"/>
        <v/>
      </c>
      <c r="AY75" t="str">
        <f t="shared" si="4"/>
        <v/>
      </c>
      <c r="AZ75" t="s">
        <v>200</v>
      </c>
      <c r="BA75" s="3"/>
      <c r="BB75" t="str">
        <f t="shared" si="5"/>
        <v>No scrap rate (No impact);</v>
      </c>
    </row>
    <row r="76" spans="1:54" x14ac:dyDescent="0.3">
      <c r="A76" t="s">
        <v>991</v>
      </c>
      <c r="B76" t="s">
        <v>992</v>
      </c>
      <c r="C76" t="s">
        <v>938</v>
      </c>
      <c r="D76" t="s">
        <v>939</v>
      </c>
      <c r="L76">
        <v>1</v>
      </c>
      <c r="M76">
        <v>0.05</v>
      </c>
      <c r="N76" t="s">
        <v>198</v>
      </c>
      <c r="O76">
        <v>0</v>
      </c>
      <c r="P76" t="s">
        <v>198</v>
      </c>
      <c r="Q76" t="s">
        <v>199</v>
      </c>
      <c r="R76" s="3"/>
      <c r="W76" t="s">
        <v>200</v>
      </c>
      <c r="X76" s="25"/>
      <c r="Y76" s="26"/>
      <c r="Z76" s="27"/>
      <c r="AA76" t="s">
        <v>25</v>
      </c>
      <c r="AB76" t="s">
        <v>201</v>
      </c>
      <c r="AC76" s="3"/>
      <c r="AH76" t="s">
        <v>202</v>
      </c>
      <c r="AK76" t="s">
        <v>203</v>
      </c>
      <c r="AP76" t="s">
        <v>200</v>
      </c>
      <c r="AR76" s="25"/>
      <c r="AT76" s="25">
        <v>0</v>
      </c>
      <c r="AU76" s="26"/>
      <c r="AV76" s="26"/>
      <c r="AW76" s="26"/>
      <c r="AX76" s="26" t="str">
        <f t="shared" si="3"/>
        <v/>
      </c>
      <c r="AY76" t="str">
        <f t="shared" si="4"/>
        <v/>
      </c>
      <c r="AZ76" t="s">
        <v>200</v>
      </c>
      <c r="BA76" s="3"/>
      <c r="BB76" t="str">
        <f t="shared" si="5"/>
        <v>Supplier code empty (High);No scrap rate (No impact);No raw material available (High);</v>
      </c>
    </row>
    <row r="77" spans="1:54" x14ac:dyDescent="0.3">
      <c r="A77" t="s">
        <v>993</v>
      </c>
      <c r="B77" t="s">
        <v>994</v>
      </c>
      <c r="C77" t="s">
        <v>995</v>
      </c>
      <c r="D77" t="s">
        <v>996</v>
      </c>
      <c r="G77" t="s">
        <v>997</v>
      </c>
      <c r="H77" t="s">
        <v>998</v>
      </c>
      <c r="K77" t="s">
        <v>986</v>
      </c>
      <c r="L77">
        <v>2400</v>
      </c>
      <c r="M77">
        <v>6.4000000000000001E-2</v>
      </c>
      <c r="N77" t="s">
        <v>198</v>
      </c>
      <c r="O77">
        <v>6.4000000000000001E-2</v>
      </c>
      <c r="P77" t="s">
        <v>198</v>
      </c>
      <c r="Q77" t="s">
        <v>199</v>
      </c>
      <c r="R77" s="3"/>
      <c r="W77" t="s">
        <v>200</v>
      </c>
      <c r="X77" s="25"/>
      <c r="Y77" s="26"/>
      <c r="Z77" s="27"/>
      <c r="AA77" t="s">
        <v>25</v>
      </c>
      <c r="AB77" t="s">
        <v>201</v>
      </c>
      <c r="AC77" s="3"/>
      <c r="AH77" t="s">
        <v>202</v>
      </c>
      <c r="AK77" t="s">
        <v>203</v>
      </c>
      <c r="AP77" t="s">
        <v>200</v>
      </c>
      <c r="AR77" s="25"/>
      <c r="AT77" s="25">
        <v>0</v>
      </c>
      <c r="AU77" s="26"/>
      <c r="AV77" s="26"/>
      <c r="AW77" s="26"/>
      <c r="AX77" s="26" t="str">
        <f t="shared" si="3"/>
        <v/>
      </c>
      <c r="AY77" t="str">
        <f t="shared" si="4"/>
        <v/>
      </c>
      <c r="AZ77" t="s">
        <v>200</v>
      </c>
      <c r="BA77" s="3"/>
      <c r="BB77" t="str">
        <f t="shared" si="5"/>
        <v>No scrap rate (No impact);</v>
      </c>
    </row>
    <row r="78" spans="1:54" x14ac:dyDescent="0.3">
      <c r="A78" t="s">
        <v>999</v>
      </c>
      <c r="B78" t="s">
        <v>1000</v>
      </c>
      <c r="C78" t="s">
        <v>946</v>
      </c>
      <c r="D78" t="s">
        <v>947</v>
      </c>
      <c r="G78" t="s">
        <v>933</v>
      </c>
      <c r="H78" t="s">
        <v>934</v>
      </c>
      <c r="J78" t="s">
        <v>926</v>
      </c>
      <c r="L78">
        <v>1</v>
      </c>
      <c r="M78">
        <v>0.64200000000000002</v>
      </c>
      <c r="N78" t="s">
        <v>198</v>
      </c>
      <c r="O78">
        <v>0.64200000000000002</v>
      </c>
      <c r="P78" t="s">
        <v>198</v>
      </c>
      <c r="Q78" t="s">
        <v>199</v>
      </c>
      <c r="R78" s="3"/>
      <c r="W78" t="s">
        <v>200</v>
      </c>
      <c r="X78" s="25"/>
      <c r="Y78" s="26"/>
      <c r="Z78" s="27"/>
      <c r="AA78" t="s">
        <v>25</v>
      </c>
      <c r="AB78" t="s">
        <v>201</v>
      </c>
      <c r="AC78" s="3"/>
      <c r="AH78" t="s">
        <v>202</v>
      </c>
      <c r="AK78" t="s">
        <v>203</v>
      </c>
      <c r="AP78" t="s">
        <v>200</v>
      </c>
      <c r="AR78" s="25"/>
      <c r="AT78" s="25">
        <v>0</v>
      </c>
      <c r="AU78" s="26"/>
      <c r="AV78" s="26"/>
      <c r="AW78" s="26"/>
      <c r="AX78" s="26" t="str">
        <f t="shared" si="3"/>
        <v/>
      </c>
      <c r="AY78" t="str">
        <f t="shared" si="4"/>
        <v/>
      </c>
      <c r="AZ78" t="s">
        <v>200</v>
      </c>
      <c r="BA78" s="3"/>
      <c r="BB78" t="str">
        <f t="shared" si="5"/>
        <v>No scrap rate (No impact);</v>
      </c>
    </row>
    <row r="79" spans="1:54" x14ac:dyDescent="0.3">
      <c r="A79" t="s">
        <v>1001</v>
      </c>
      <c r="B79" t="s">
        <v>1002</v>
      </c>
      <c r="C79" t="s">
        <v>946</v>
      </c>
      <c r="D79" t="s">
        <v>947</v>
      </c>
      <c r="G79" t="s">
        <v>933</v>
      </c>
      <c r="H79" t="s">
        <v>934</v>
      </c>
      <c r="J79" t="s">
        <v>926</v>
      </c>
      <c r="L79">
        <v>1</v>
      </c>
      <c r="M79">
        <v>0.309</v>
      </c>
      <c r="N79" t="s">
        <v>198</v>
      </c>
      <c r="O79">
        <v>0.309</v>
      </c>
      <c r="P79" t="s">
        <v>198</v>
      </c>
      <c r="Q79" t="s">
        <v>199</v>
      </c>
      <c r="R79" s="3"/>
      <c r="W79" t="s">
        <v>200</v>
      </c>
      <c r="X79" s="25"/>
      <c r="Y79" s="26"/>
      <c r="Z79" s="27"/>
      <c r="AA79" t="s">
        <v>25</v>
      </c>
      <c r="AB79" t="s">
        <v>201</v>
      </c>
      <c r="AC79" s="3"/>
      <c r="AH79" t="s">
        <v>202</v>
      </c>
      <c r="AK79" t="s">
        <v>203</v>
      </c>
      <c r="AP79" t="s">
        <v>200</v>
      </c>
      <c r="AR79" s="25"/>
      <c r="AT79" s="25">
        <v>0</v>
      </c>
      <c r="AU79" s="26"/>
      <c r="AV79" s="26"/>
      <c r="AW79" s="26"/>
      <c r="AX79" s="26" t="str">
        <f t="shared" si="3"/>
        <v/>
      </c>
      <c r="AY79" t="str">
        <f t="shared" si="4"/>
        <v/>
      </c>
      <c r="AZ79" t="s">
        <v>200</v>
      </c>
      <c r="BA79" s="3"/>
      <c r="BB79" t="str">
        <f t="shared" si="5"/>
        <v>No scrap rate (No impact);</v>
      </c>
    </row>
    <row r="80" spans="1:54" x14ac:dyDescent="0.3">
      <c r="A80" t="s">
        <v>1003</v>
      </c>
      <c r="B80" t="s">
        <v>1004</v>
      </c>
      <c r="C80" t="s">
        <v>995</v>
      </c>
      <c r="D80" t="s">
        <v>996</v>
      </c>
      <c r="G80" t="s">
        <v>1005</v>
      </c>
      <c r="H80" t="s">
        <v>1006</v>
      </c>
      <c r="J80" t="s">
        <v>1007</v>
      </c>
      <c r="L80">
        <v>1150</v>
      </c>
      <c r="M80">
        <v>1.2E-2</v>
      </c>
      <c r="N80" t="s">
        <v>198</v>
      </c>
      <c r="O80">
        <v>0</v>
      </c>
      <c r="P80" t="s">
        <v>198</v>
      </c>
      <c r="Q80" t="s">
        <v>199</v>
      </c>
      <c r="R80" s="3"/>
      <c r="W80" t="s">
        <v>200</v>
      </c>
      <c r="X80" s="25"/>
      <c r="Y80" s="26"/>
      <c r="Z80" s="27"/>
      <c r="AA80" t="s">
        <v>25</v>
      </c>
      <c r="AB80" t="s">
        <v>201</v>
      </c>
      <c r="AC80" s="3"/>
      <c r="AH80" t="s">
        <v>202</v>
      </c>
      <c r="AK80" t="s">
        <v>203</v>
      </c>
      <c r="AP80" t="s">
        <v>200</v>
      </c>
      <c r="AR80" s="25"/>
      <c r="AT80" s="25">
        <v>0</v>
      </c>
      <c r="AU80" s="26"/>
      <c r="AV80" s="26"/>
      <c r="AW80" s="26"/>
      <c r="AX80" s="26" t="str">
        <f t="shared" si="3"/>
        <v/>
      </c>
      <c r="AY80" t="str">
        <f t="shared" si="4"/>
        <v/>
      </c>
      <c r="AZ80" t="s">
        <v>200</v>
      </c>
      <c r="BA80" s="3"/>
      <c r="BB80" t="str">
        <f t="shared" si="5"/>
        <v>No scrap rate (No impact);</v>
      </c>
    </row>
    <row r="81" spans="1:54" x14ac:dyDescent="0.3">
      <c r="A81" t="s">
        <v>1008</v>
      </c>
      <c r="B81" t="s">
        <v>1009</v>
      </c>
      <c r="C81" t="s">
        <v>946</v>
      </c>
      <c r="D81" t="s">
        <v>947</v>
      </c>
      <c r="G81" t="s">
        <v>933</v>
      </c>
      <c r="H81" t="s">
        <v>934</v>
      </c>
      <c r="J81" t="s">
        <v>926</v>
      </c>
      <c r="L81">
        <v>1</v>
      </c>
      <c r="M81">
        <v>0.40500000000000003</v>
      </c>
      <c r="N81" t="s">
        <v>198</v>
      </c>
      <c r="O81">
        <v>0.40500000000000003</v>
      </c>
      <c r="P81" t="s">
        <v>198</v>
      </c>
      <c r="Q81" t="s">
        <v>199</v>
      </c>
      <c r="R81" s="3"/>
      <c r="W81" t="s">
        <v>200</v>
      </c>
      <c r="X81" s="25"/>
      <c r="Y81" s="26"/>
      <c r="Z81" s="27"/>
      <c r="AA81" t="s">
        <v>25</v>
      </c>
      <c r="AB81" t="s">
        <v>201</v>
      </c>
      <c r="AC81" s="3"/>
      <c r="AH81" t="s">
        <v>202</v>
      </c>
      <c r="AK81" t="s">
        <v>203</v>
      </c>
      <c r="AP81" t="s">
        <v>200</v>
      </c>
      <c r="AR81" s="25"/>
      <c r="AT81" s="25">
        <v>0</v>
      </c>
      <c r="AU81" s="26"/>
      <c r="AV81" s="26"/>
      <c r="AW81" s="26"/>
      <c r="AX81" s="26" t="str">
        <f t="shared" si="3"/>
        <v/>
      </c>
      <c r="AY81" t="str">
        <f t="shared" si="4"/>
        <v/>
      </c>
      <c r="AZ81" t="s">
        <v>200</v>
      </c>
      <c r="BA81" s="3"/>
      <c r="BB81" t="str">
        <f t="shared" si="5"/>
        <v>No scrap rate (No impact);</v>
      </c>
    </row>
    <row r="82" spans="1:54" x14ac:dyDescent="0.3">
      <c r="A82" t="s">
        <v>1010</v>
      </c>
      <c r="B82" t="s">
        <v>1011</v>
      </c>
      <c r="C82" t="s">
        <v>946</v>
      </c>
      <c r="D82" t="s">
        <v>947</v>
      </c>
      <c r="G82" t="s">
        <v>933</v>
      </c>
      <c r="H82" t="s">
        <v>934</v>
      </c>
      <c r="J82" t="s">
        <v>926</v>
      </c>
      <c r="L82">
        <v>1</v>
      </c>
      <c r="M82">
        <v>0.42699999999999999</v>
      </c>
      <c r="N82" t="s">
        <v>198</v>
      </c>
      <c r="O82">
        <v>0.42699999999999999</v>
      </c>
      <c r="P82" t="s">
        <v>198</v>
      </c>
      <c r="Q82" t="s">
        <v>199</v>
      </c>
      <c r="R82" s="3"/>
      <c r="W82" t="s">
        <v>200</v>
      </c>
      <c r="X82" s="25"/>
      <c r="Y82" s="26"/>
      <c r="Z82" s="27"/>
      <c r="AA82" t="s">
        <v>25</v>
      </c>
      <c r="AB82" t="s">
        <v>201</v>
      </c>
      <c r="AC82" s="3"/>
      <c r="AH82" t="s">
        <v>202</v>
      </c>
      <c r="AK82" t="s">
        <v>203</v>
      </c>
      <c r="AP82" t="s">
        <v>200</v>
      </c>
      <c r="AR82" s="25"/>
      <c r="AT82" s="25">
        <v>0</v>
      </c>
      <c r="AU82" s="26"/>
      <c r="AV82" s="26"/>
      <c r="AW82" s="26"/>
      <c r="AX82" s="26" t="str">
        <f t="shared" si="3"/>
        <v/>
      </c>
      <c r="AY82" t="str">
        <f t="shared" si="4"/>
        <v/>
      </c>
      <c r="AZ82" t="s">
        <v>200</v>
      </c>
      <c r="BA82" s="3"/>
      <c r="BB82" t="str">
        <f t="shared" si="5"/>
        <v>No scrap rate (No impact);</v>
      </c>
    </row>
    <row r="83" spans="1:54" x14ac:dyDescent="0.3">
      <c r="A83" t="s">
        <v>1012</v>
      </c>
      <c r="B83" t="s">
        <v>1013</v>
      </c>
      <c r="C83" t="s">
        <v>906</v>
      </c>
      <c r="D83" t="s">
        <v>907</v>
      </c>
      <c r="G83" t="s">
        <v>1014</v>
      </c>
      <c r="H83" t="s">
        <v>1015</v>
      </c>
      <c r="J83" t="s">
        <v>910</v>
      </c>
      <c r="L83">
        <v>1</v>
      </c>
      <c r="M83">
        <v>6.4000000000000001E-2</v>
      </c>
      <c r="N83" t="s">
        <v>198</v>
      </c>
      <c r="O83">
        <v>0</v>
      </c>
      <c r="P83" t="s">
        <v>198</v>
      </c>
      <c r="Q83" t="s">
        <v>199</v>
      </c>
      <c r="R83" s="3"/>
      <c r="W83" t="s">
        <v>200</v>
      </c>
      <c r="X83" s="25"/>
      <c r="Y83" s="26"/>
      <c r="Z83" s="27"/>
      <c r="AA83" t="s">
        <v>25</v>
      </c>
      <c r="AB83" t="s">
        <v>201</v>
      </c>
      <c r="AC83" s="3"/>
      <c r="AH83" t="s">
        <v>202</v>
      </c>
      <c r="AK83" t="s">
        <v>203</v>
      </c>
      <c r="AP83" t="s">
        <v>200</v>
      </c>
      <c r="AR83" s="25"/>
      <c r="AT83" s="25">
        <v>0</v>
      </c>
      <c r="AU83" s="26"/>
      <c r="AV83" s="26"/>
      <c r="AW83" s="26"/>
      <c r="AX83" s="26" t="str">
        <f t="shared" si="3"/>
        <v/>
      </c>
      <c r="AY83" t="str">
        <f t="shared" si="4"/>
        <v/>
      </c>
      <c r="AZ83" t="s">
        <v>200</v>
      </c>
      <c r="BA83" s="3"/>
      <c r="BB83" t="str">
        <f t="shared" si="5"/>
        <v>No scrap rate (No impact);</v>
      </c>
    </row>
    <row r="84" spans="1:54" x14ac:dyDescent="0.3">
      <c r="A84" t="s">
        <v>1016</v>
      </c>
      <c r="B84" t="s">
        <v>1017</v>
      </c>
      <c r="C84" t="s">
        <v>1018</v>
      </c>
      <c r="D84" t="s">
        <v>1019</v>
      </c>
      <c r="G84" t="s">
        <v>1020</v>
      </c>
      <c r="H84" t="s">
        <v>1021</v>
      </c>
      <c r="K84" t="s">
        <v>927</v>
      </c>
      <c r="L84">
        <v>100</v>
      </c>
      <c r="M84">
        <v>4</v>
      </c>
      <c r="N84" t="s">
        <v>198</v>
      </c>
      <c r="O84">
        <v>0</v>
      </c>
      <c r="P84" t="s">
        <v>198</v>
      </c>
      <c r="Q84" t="s">
        <v>199</v>
      </c>
      <c r="R84" s="3"/>
      <c r="W84" t="s">
        <v>200</v>
      </c>
      <c r="X84" s="25"/>
      <c r="Y84" s="26"/>
      <c r="Z84" s="27"/>
      <c r="AA84" t="s">
        <v>25</v>
      </c>
      <c r="AB84" t="s">
        <v>201</v>
      </c>
      <c r="AC84" s="3"/>
      <c r="AH84" t="s">
        <v>202</v>
      </c>
      <c r="AK84" t="s">
        <v>203</v>
      </c>
      <c r="AP84" t="s">
        <v>200</v>
      </c>
      <c r="AR84" s="25"/>
      <c r="AT84" s="25">
        <v>0</v>
      </c>
      <c r="AU84" s="26"/>
      <c r="AV84" s="26"/>
      <c r="AW84" s="26"/>
      <c r="AX84" s="26" t="str">
        <f t="shared" si="3"/>
        <v/>
      </c>
      <c r="AY84" t="str">
        <f t="shared" si="4"/>
        <v/>
      </c>
      <c r="AZ84" t="s">
        <v>200</v>
      </c>
      <c r="BA84" s="3"/>
      <c r="BB84" t="str">
        <f t="shared" si="5"/>
        <v>No scrap rate (No impact);</v>
      </c>
    </row>
    <row r="85" spans="1:54" x14ac:dyDescent="0.3">
      <c r="A85" t="s">
        <v>1022</v>
      </c>
      <c r="B85" t="s">
        <v>1023</v>
      </c>
      <c r="C85" t="s">
        <v>995</v>
      </c>
      <c r="D85" t="s">
        <v>996</v>
      </c>
      <c r="G85" t="s">
        <v>1024</v>
      </c>
      <c r="H85" t="s">
        <v>1025</v>
      </c>
      <c r="J85" t="s">
        <v>1026</v>
      </c>
      <c r="L85">
        <v>1</v>
      </c>
      <c r="M85">
        <v>2.5999999999999999E-2</v>
      </c>
      <c r="N85" t="s">
        <v>198</v>
      </c>
      <c r="O85">
        <v>2.5999999999999999E-2</v>
      </c>
      <c r="P85" t="s">
        <v>198</v>
      </c>
      <c r="Q85" t="s">
        <v>199</v>
      </c>
      <c r="R85" s="3"/>
      <c r="W85" t="s">
        <v>200</v>
      </c>
      <c r="X85" s="25"/>
      <c r="Y85" s="26"/>
      <c r="Z85" s="27"/>
      <c r="AA85" t="s">
        <v>25</v>
      </c>
      <c r="AB85" t="s">
        <v>201</v>
      </c>
      <c r="AC85" s="3"/>
      <c r="AH85" t="s">
        <v>202</v>
      </c>
      <c r="AK85" t="s">
        <v>203</v>
      </c>
      <c r="AP85" t="s">
        <v>200</v>
      </c>
      <c r="AR85" s="25"/>
      <c r="AT85" s="25">
        <v>0</v>
      </c>
      <c r="AU85" s="26"/>
      <c r="AV85" s="26"/>
      <c r="AW85" s="26"/>
      <c r="AX85" s="26" t="str">
        <f t="shared" si="3"/>
        <v/>
      </c>
      <c r="AY85" t="str">
        <f t="shared" si="4"/>
        <v/>
      </c>
      <c r="AZ85" t="s">
        <v>200</v>
      </c>
      <c r="BA85" s="3"/>
      <c r="BB85" t="str">
        <f t="shared" si="5"/>
        <v>No scrap rate (No impact);</v>
      </c>
    </row>
    <row r="86" spans="1:54" x14ac:dyDescent="0.3">
      <c r="A86" t="s">
        <v>1027</v>
      </c>
      <c r="B86" t="s">
        <v>1028</v>
      </c>
      <c r="C86" t="s">
        <v>906</v>
      </c>
      <c r="D86" t="s">
        <v>907</v>
      </c>
      <c r="G86" t="s">
        <v>1029</v>
      </c>
      <c r="H86" t="s">
        <v>1030</v>
      </c>
      <c r="J86" t="s">
        <v>910</v>
      </c>
      <c r="L86">
        <v>1</v>
      </c>
      <c r="M86">
        <v>6.5000000000000002E-2</v>
      </c>
      <c r="N86" t="s">
        <v>198</v>
      </c>
      <c r="O86">
        <v>0</v>
      </c>
      <c r="P86" t="s">
        <v>198</v>
      </c>
      <c r="Q86" t="s">
        <v>199</v>
      </c>
      <c r="R86" s="3"/>
      <c r="W86" t="s">
        <v>200</v>
      </c>
      <c r="X86" s="25"/>
      <c r="Y86" s="26"/>
      <c r="Z86" s="27"/>
      <c r="AA86" t="s">
        <v>25</v>
      </c>
      <c r="AB86" t="s">
        <v>201</v>
      </c>
      <c r="AC86" s="3"/>
      <c r="AH86" t="s">
        <v>202</v>
      </c>
      <c r="AK86" t="s">
        <v>203</v>
      </c>
      <c r="AP86" t="s">
        <v>200</v>
      </c>
      <c r="AR86" s="25"/>
      <c r="AT86" s="25">
        <v>0</v>
      </c>
      <c r="AU86" s="26"/>
      <c r="AV86" s="26"/>
      <c r="AW86" s="26"/>
      <c r="AX86" s="26" t="str">
        <f t="shared" si="3"/>
        <v/>
      </c>
      <c r="AY86" t="str">
        <f t="shared" si="4"/>
        <v/>
      </c>
      <c r="AZ86" t="s">
        <v>200</v>
      </c>
      <c r="BA86" s="3"/>
      <c r="BB86" t="str">
        <f t="shared" si="5"/>
        <v>No scrap rate (No impact);</v>
      </c>
    </row>
    <row r="87" spans="1:54" x14ac:dyDescent="0.3">
      <c r="A87" t="s">
        <v>1031</v>
      </c>
      <c r="B87" t="s">
        <v>1032</v>
      </c>
      <c r="C87" t="s">
        <v>995</v>
      </c>
      <c r="D87" t="s">
        <v>996</v>
      </c>
      <c r="G87" t="s">
        <v>1024</v>
      </c>
      <c r="H87" t="s">
        <v>1025</v>
      </c>
      <c r="J87" t="s">
        <v>1026</v>
      </c>
      <c r="L87">
        <v>1</v>
      </c>
      <c r="M87">
        <v>2.8000000000000001E-2</v>
      </c>
      <c r="N87" t="s">
        <v>1033</v>
      </c>
      <c r="O87">
        <v>0</v>
      </c>
      <c r="P87" t="s">
        <v>1033</v>
      </c>
      <c r="Q87" t="s">
        <v>199</v>
      </c>
      <c r="R87" s="3"/>
      <c r="W87" t="s">
        <v>200</v>
      </c>
      <c r="X87" s="25"/>
      <c r="Y87" s="26"/>
      <c r="Z87" s="27"/>
      <c r="AA87" t="s">
        <v>25</v>
      </c>
      <c r="AB87" t="s">
        <v>201</v>
      </c>
      <c r="AC87" s="3"/>
      <c r="AH87" t="s">
        <v>202</v>
      </c>
      <c r="AK87" t="s">
        <v>203</v>
      </c>
      <c r="AP87" t="s">
        <v>200</v>
      </c>
      <c r="AR87" s="25"/>
      <c r="AT87" s="25">
        <v>0</v>
      </c>
      <c r="AU87" s="26"/>
      <c r="AV87" s="26"/>
      <c r="AW87" s="26"/>
      <c r="AX87" s="26" t="str">
        <f t="shared" si="3"/>
        <v/>
      </c>
      <c r="AY87" t="str">
        <f t="shared" si="4"/>
        <v/>
      </c>
      <c r="AZ87" t="s">
        <v>200</v>
      </c>
      <c r="BA87" s="3"/>
      <c r="BB87" t="str">
        <f t="shared" si="5"/>
        <v>No scrap rate (No impact);</v>
      </c>
    </row>
    <row r="88" spans="1:54" x14ac:dyDescent="0.3">
      <c r="A88" t="s">
        <v>1034</v>
      </c>
      <c r="B88" t="s">
        <v>1035</v>
      </c>
      <c r="C88" t="s">
        <v>995</v>
      </c>
      <c r="D88" t="s">
        <v>996</v>
      </c>
      <c r="G88" t="s">
        <v>1036</v>
      </c>
      <c r="H88" t="s">
        <v>1037</v>
      </c>
      <c r="L88">
        <v>30000</v>
      </c>
      <c r="M88">
        <v>1E-3</v>
      </c>
      <c r="N88" t="s">
        <v>198</v>
      </c>
      <c r="O88">
        <v>0</v>
      </c>
      <c r="P88" t="s">
        <v>198</v>
      </c>
      <c r="Q88" t="s">
        <v>199</v>
      </c>
      <c r="R88" s="3"/>
      <c r="W88" t="s">
        <v>200</v>
      </c>
      <c r="X88" s="25"/>
      <c r="Y88" s="26"/>
      <c r="Z88" s="27"/>
      <c r="AA88" t="s">
        <v>25</v>
      </c>
      <c r="AB88" t="s">
        <v>201</v>
      </c>
      <c r="AC88" s="3"/>
      <c r="AH88" t="s">
        <v>202</v>
      </c>
      <c r="AK88" t="s">
        <v>203</v>
      </c>
      <c r="AP88" t="s">
        <v>200</v>
      </c>
      <c r="AR88" s="25"/>
      <c r="AT88" s="25">
        <v>0</v>
      </c>
      <c r="AU88" s="26"/>
      <c r="AV88" s="26"/>
      <c r="AW88" s="26"/>
      <c r="AX88" s="26" t="str">
        <f t="shared" si="3"/>
        <v/>
      </c>
      <c r="AY88" t="str">
        <f t="shared" si="4"/>
        <v/>
      </c>
      <c r="AZ88" t="s">
        <v>200</v>
      </c>
      <c r="BA88" s="3"/>
      <c r="BB88" t="str">
        <f t="shared" si="5"/>
        <v>No scrap rate (No impact);No raw material available (High);</v>
      </c>
    </row>
    <row r="89" spans="1:54" x14ac:dyDescent="0.3">
      <c r="A89" t="s">
        <v>1038</v>
      </c>
      <c r="B89" t="s">
        <v>1039</v>
      </c>
      <c r="C89" t="s">
        <v>995</v>
      </c>
      <c r="D89" t="s">
        <v>996</v>
      </c>
      <c r="G89" t="s">
        <v>1036</v>
      </c>
      <c r="H89" t="s">
        <v>1037</v>
      </c>
      <c r="L89">
        <v>30000</v>
      </c>
      <c r="M89">
        <v>1E-3</v>
      </c>
      <c r="N89" t="s">
        <v>198</v>
      </c>
      <c r="O89">
        <v>0</v>
      </c>
      <c r="P89" t="s">
        <v>198</v>
      </c>
      <c r="Q89" t="s">
        <v>199</v>
      </c>
      <c r="R89" s="3"/>
      <c r="W89" t="s">
        <v>200</v>
      </c>
      <c r="X89" s="25"/>
      <c r="Y89" s="26"/>
      <c r="Z89" s="27"/>
      <c r="AA89" t="s">
        <v>25</v>
      </c>
      <c r="AB89" t="s">
        <v>201</v>
      </c>
      <c r="AC89" s="3"/>
      <c r="AH89" t="s">
        <v>202</v>
      </c>
      <c r="AK89" t="s">
        <v>203</v>
      </c>
      <c r="AP89" t="s">
        <v>200</v>
      </c>
      <c r="AR89" s="25"/>
      <c r="AT89" s="25">
        <v>0</v>
      </c>
      <c r="AU89" s="26"/>
      <c r="AV89" s="26"/>
      <c r="AW89" s="26"/>
      <c r="AX89" s="26" t="str">
        <f t="shared" si="3"/>
        <v/>
      </c>
      <c r="AY89" t="str">
        <f t="shared" si="4"/>
        <v/>
      </c>
      <c r="AZ89" t="s">
        <v>200</v>
      </c>
      <c r="BA89" s="3"/>
      <c r="BB89" t="str">
        <f t="shared" si="5"/>
        <v>No scrap rate (No impact);No raw material available (High);</v>
      </c>
    </row>
    <row r="90" spans="1:54" x14ac:dyDescent="0.3">
      <c r="A90" t="s">
        <v>1040</v>
      </c>
      <c r="B90" t="s">
        <v>1041</v>
      </c>
      <c r="C90" t="s">
        <v>946</v>
      </c>
      <c r="D90" t="s">
        <v>947</v>
      </c>
      <c r="G90" t="s">
        <v>933</v>
      </c>
      <c r="H90" t="s">
        <v>934</v>
      </c>
      <c r="J90" t="s">
        <v>926</v>
      </c>
      <c r="L90">
        <v>1</v>
      </c>
      <c r="M90">
        <v>0.52</v>
      </c>
      <c r="N90" t="s">
        <v>198</v>
      </c>
      <c r="O90">
        <v>0.52</v>
      </c>
      <c r="P90" t="s">
        <v>198</v>
      </c>
      <c r="Q90" t="s">
        <v>199</v>
      </c>
      <c r="R90" s="3"/>
      <c r="W90" t="s">
        <v>200</v>
      </c>
      <c r="X90" s="25"/>
      <c r="Y90" s="26"/>
      <c r="Z90" s="27"/>
      <c r="AA90" t="s">
        <v>25</v>
      </c>
      <c r="AB90" t="s">
        <v>201</v>
      </c>
      <c r="AC90" s="3"/>
      <c r="AH90" t="s">
        <v>202</v>
      </c>
      <c r="AK90" t="s">
        <v>203</v>
      </c>
      <c r="AP90" t="s">
        <v>200</v>
      </c>
      <c r="AR90" s="25"/>
      <c r="AT90" s="25">
        <v>0</v>
      </c>
      <c r="AU90" s="26"/>
      <c r="AV90" s="26"/>
      <c r="AW90" s="26"/>
      <c r="AX90" s="26" t="str">
        <f t="shared" si="3"/>
        <v/>
      </c>
      <c r="AY90" t="str">
        <f t="shared" si="4"/>
        <v/>
      </c>
      <c r="AZ90" t="s">
        <v>200</v>
      </c>
      <c r="BA90" s="3"/>
      <c r="BB90" t="str">
        <f t="shared" si="5"/>
        <v>No scrap rate (No impact);</v>
      </c>
    </row>
    <row r="91" spans="1:54" x14ac:dyDescent="0.3">
      <c r="A91" t="s">
        <v>1042</v>
      </c>
      <c r="B91" t="s">
        <v>1043</v>
      </c>
      <c r="C91" t="s">
        <v>995</v>
      </c>
      <c r="D91" t="s">
        <v>996</v>
      </c>
      <c r="G91" t="s">
        <v>1044</v>
      </c>
      <c r="H91" t="s">
        <v>1045</v>
      </c>
      <c r="J91" t="s">
        <v>1046</v>
      </c>
      <c r="L91">
        <v>900</v>
      </c>
      <c r="M91">
        <v>1.4E-2</v>
      </c>
      <c r="N91" t="s">
        <v>198</v>
      </c>
      <c r="O91">
        <v>15</v>
      </c>
      <c r="P91" t="s">
        <v>198</v>
      </c>
      <c r="Q91" t="s">
        <v>199</v>
      </c>
      <c r="R91" s="3"/>
      <c r="W91" t="s">
        <v>200</v>
      </c>
      <c r="X91" s="25"/>
      <c r="Y91" s="26"/>
      <c r="Z91" s="27"/>
      <c r="AA91" t="s">
        <v>25</v>
      </c>
      <c r="AB91" t="s">
        <v>201</v>
      </c>
      <c r="AC91" s="3"/>
      <c r="AH91" t="s">
        <v>202</v>
      </c>
      <c r="AK91" t="s">
        <v>203</v>
      </c>
      <c r="AP91" t="s">
        <v>200</v>
      </c>
      <c r="AR91" s="25"/>
      <c r="AT91" s="25">
        <v>0</v>
      </c>
      <c r="AU91" s="26"/>
      <c r="AV91" s="26"/>
      <c r="AW91" s="26"/>
      <c r="AX91" s="26" t="str">
        <f t="shared" si="3"/>
        <v/>
      </c>
      <c r="AY91" t="str">
        <f t="shared" si="4"/>
        <v/>
      </c>
      <c r="AZ91" t="s">
        <v>200</v>
      </c>
      <c r="BA91" s="3"/>
      <c r="BB91" t="str">
        <f t="shared" si="5"/>
        <v>No scrap rate (No impact);</v>
      </c>
    </row>
    <row r="92" spans="1:54" x14ac:dyDescent="0.3">
      <c r="A92" t="s">
        <v>1047</v>
      </c>
      <c r="B92" t="s">
        <v>1048</v>
      </c>
      <c r="C92" t="s">
        <v>995</v>
      </c>
      <c r="D92" t="s">
        <v>996</v>
      </c>
      <c r="G92" t="s">
        <v>1044</v>
      </c>
      <c r="H92" t="s">
        <v>1045</v>
      </c>
      <c r="J92" t="s">
        <v>1046</v>
      </c>
      <c r="L92">
        <v>800</v>
      </c>
      <c r="M92">
        <v>1.9E-2</v>
      </c>
      <c r="N92" t="s">
        <v>198</v>
      </c>
      <c r="O92">
        <v>0</v>
      </c>
      <c r="P92" t="s">
        <v>198</v>
      </c>
      <c r="Q92" t="s">
        <v>199</v>
      </c>
      <c r="R92" s="3"/>
      <c r="W92" t="s">
        <v>200</v>
      </c>
      <c r="X92" s="25"/>
      <c r="Y92" s="26"/>
      <c r="Z92" s="27"/>
      <c r="AA92" t="s">
        <v>25</v>
      </c>
      <c r="AB92" t="s">
        <v>201</v>
      </c>
      <c r="AC92" s="3"/>
      <c r="AH92" t="s">
        <v>202</v>
      </c>
      <c r="AK92" t="s">
        <v>203</v>
      </c>
      <c r="AP92" t="s">
        <v>200</v>
      </c>
      <c r="AR92" s="25"/>
      <c r="AT92" s="25">
        <v>0</v>
      </c>
      <c r="AU92" s="26"/>
      <c r="AV92" s="26"/>
      <c r="AW92" s="26"/>
      <c r="AX92" s="26" t="str">
        <f t="shared" si="3"/>
        <v/>
      </c>
      <c r="AY92" t="str">
        <f t="shared" si="4"/>
        <v/>
      </c>
      <c r="AZ92" t="s">
        <v>200</v>
      </c>
      <c r="BA92" s="3"/>
      <c r="BB92" t="str">
        <f t="shared" si="5"/>
        <v>No scrap rate (No impact);</v>
      </c>
    </row>
    <row r="93" spans="1:54" x14ac:dyDescent="0.3">
      <c r="A93" t="s">
        <v>1049</v>
      </c>
      <c r="B93" t="s">
        <v>1050</v>
      </c>
      <c r="C93" t="s">
        <v>747</v>
      </c>
      <c r="D93" t="s">
        <v>748</v>
      </c>
      <c r="G93" t="s">
        <v>725</v>
      </c>
      <c r="H93" t="s">
        <v>197</v>
      </c>
      <c r="J93" t="s">
        <v>1046</v>
      </c>
      <c r="L93">
        <v>1</v>
      </c>
      <c r="M93">
        <v>0.23899999999999999</v>
      </c>
      <c r="N93" t="s">
        <v>198</v>
      </c>
      <c r="O93">
        <v>0</v>
      </c>
      <c r="P93" t="s">
        <v>198</v>
      </c>
      <c r="Q93" t="s">
        <v>199</v>
      </c>
      <c r="R93" s="3"/>
      <c r="W93" t="s">
        <v>200</v>
      </c>
      <c r="X93" s="25"/>
      <c r="Y93" s="26"/>
      <c r="Z93" s="27"/>
      <c r="AA93" t="s">
        <v>25</v>
      </c>
      <c r="AB93" t="s">
        <v>201</v>
      </c>
      <c r="AC93" s="3"/>
      <c r="AH93" t="s">
        <v>202</v>
      </c>
      <c r="AK93" t="s">
        <v>203</v>
      </c>
      <c r="AP93" t="s">
        <v>200</v>
      </c>
      <c r="AR93" s="25"/>
      <c r="AT93" s="25">
        <v>0</v>
      </c>
      <c r="AU93" s="26"/>
      <c r="AV93" s="26"/>
      <c r="AW93" s="26"/>
      <c r="AX93" s="26" t="str">
        <f t="shared" si="3"/>
        <v/>
      </c>
      <c r="AY93" t="str">
        <f t="shared" si="4"/>
        <v/>
      </c>
      <c r="AZ93" t="s">
        <v>200</v>
      </c>
      <c r="BA93" s="3"/>
      <c r="BB93" t="str">
        <f t="shared" si="5"/>
        <v>No scrap rate (No impact);</v>
      </c>
    </row>
    <row r="94" spans="1:54" x14ac:dyDescent="0.3">
      <c r="A94" t="s">
        <v>1051</v>
      </c>
      <c r="B94" t="s">
        <v>1052</v>
      </c>
      <c r="C94" t="s">
        <v>938</v>
      </c>
      <c r="D94" t="s">
        <v>939</v>
      </c>
      <c r="L94">
        <v>1</v>
      </c>
      <c r="M94">
        <v>1.2999999999999999E-2</v>
      </c>
      <c r="N94" t="s">
        <v>198</v>
      </c>
      <c r="O94">
        <v>0</v>
      </c>
      <c r="P94" t="s">
        <v>198</v>
      </c>
      <c r="Q94" t="s">
        <v>199</v>
      </c>
      <c r="R94" s="3"/>
      <c r="W94" t="s">
        <v>200</v>
      </c>
      <c r="X94" s="25"/>
      <c r="Y94" s="26"/>
      <c r="Z94" s="27"/>
      <c r="AA94" t="s">
        <v>25</v>
      </c>
      <c r="AB94" t="s">
        <v>201</v>
      </c>
      <c r="AC94" s="3"/>
      <c r="AH94" t="s">
        <v>202</v>
      </c>
      <c r="AK94" t="s">
        <v>203</v>
      </c>
      <c r="AP94" t="s">
        <v>200</v>
      </c>
      <c r="AR94" s="25"/>
      <c r="AT94" s="25">
        <v>0</v>
      </c>
      <c r="AU94" s="26"/>
      <c r="AV94" s="26"/>
      <c r="AW94" s="26"/>
      <c r="AX94" s="26" t="str">
        <f t="shared" si="3"/>
        <v/>
      </c>
      <c r="AY94" t="str">
        <f t="shared" si="4"/>
        <v/>
      </c>
      <c r="AZ94" t="s">
        <v>200</v>
      </c>
      <c r="BA94" s="3"/>
      <c r="BB94" t="str">
        <f t="shared" si="5"/>
        <v>Supplier code empty (High);No scrap rate (No impact);No raw material available (High);</v>
      </c>
    </row>
    <row r="95" spans="1:54" x14ac:dyDescent="0.3">
      <c r="A95" t="s">
        <v>1053</v>
      </c>
      <c r="B95" t="s">
        <v>1054</v>
      </c>
      <c r="C95" t="s">
        <v>966</v>
      </c>
      <c r="D95" t="s">
        <v>967</v>
      </c>
      <c r="G95" t="s">
        <v>1055</v>
      </c>
      <c r="H95" t="s">
        <v>1056</v>
      </c>
      <c r="K95" t="s">
        <v>1057</v>
      </c>
      <c r="L95">
        <v>1</v>
      </c>
      <c r="M95">
        <v>8.9999999999999993E-3</v>
      </c>
      <c r="N95" t="s">
        <v>198</v>
      </c>
      <c r="O95">
        <v>0</v>
      </c>
      <c r="P95" t="s">
        <v>198</v>
      </c>
      <c r="Q95" t="s">
        <v>199</v>
      </c>
      <c r="R95" s="3"/>
      <c r="W95" t="s">
        <v>200</v>
      </c>
      <c r="X95" s="25"/>
      <c r="Y95" s="26"/>
      <c r="Z95" s="27"/>
      <c r="AA95" t="s">
        <v>25</v>
      </c>
      <c r="AB95" t="s">
        <v>201</v>
      </c>
      <c r="AC95" s="3"/>
      <c r="AH95" t="s">
        <v>202</v>
      </c>
      <c r="AK95" t="s">
        <v>203</v>
      </c>
      <c r="AP95" t="s">
        <v>200</v>
      </c>
      <c r="AR95" s="25"/>
      <c r="AT95" s="25">
        <v>0</v>
      </c>
      <c r="AU95" s="26"/>
      <c r="AV95" s="26"/>
      <c r="AW95" s="26"/>
      <c r="AX95" s="26" t="str">
        <f t="shared" si="3"/>
        <v/>
      </c>
      <c r="AY95" t="str">
        <f t="shared" si="4"/>
        <v/>
      </c>
      <c r="AZ95" t="s">
        <v>200</v>
      </c>
      <c r="BA95" s="3"/>
      <c r="BB95" t="str">
        <f t="shared" si="5"/>
        <v>No scrap rate (No impact);</v>
      </c>
    </row>
    <row r="96" spans="1:54" x14ac:dyDescent="0.3">
      <c r="A96" t="s">
        <v>1058</v>
      </c>
      <c r="B96" t="s">
        <v>1059</v>
      </c>
      <c r="C96" t="s">
        <v>966</v>
      </c>
      <c r="D96" t="s">
        <v>967</v>
      </c>
      <c r="G96" t="s">
        <v>725</v>
      </c>
      <c r="H96" t="s">
        <v>197</v>
      </c>
      <c r="J96" t="s">
        <v>1060</v>
      </c>
      <c r="L96">
        <v>500</v>
      </c>
      <c r="M96">
        <v>1.7000000000000001E-2</v>
      </c>
      <c r="N96" t="s">
        <v>198</v>
      </c>
      <c r="O96">
        <v>1.7000000000000001E-2</v>
      </c>
      <c r="P96" t="s">
        <v>198</v>
      </c>
      <c r="Q96" t="s">
        <v>199</v>
      </c>
      <c r="R96" s="3"/>
      <c r="W96" t="s">
        <v>200</v>
      </c>
      <c r="X96" s="25"/>
      <c r="Y96" s="26"/>
      <c r="Z96" s="27"/>
      <c r="AA96" t="s">
        <v>25</v>
      </c>
      <c r="AB96" t="s">
        <v>201</v>
      </c>
      <c r="AC96" s="3"/>
      <c r="AH96" t="s">
        <v>202</v>
      </c>
      <c r="AK96" t="s">
        <v>203</v>
      </c>
      <c r="AP96" t="s">
        <v>200</v>
      </c>
      <c r="AR96" s="25"/>
      <c r="AT96" s="25">
        <v>0</v>
      </c>
      <c r="AU96" s="26"/>
      <c r="AV96" s="26"/>
      <c r="AW96" s="26"/>
      <c r="AX96" s="26" t="str">
        <f t="shared" si="3"/>
        <v/>
      </c>
      <c r="AY96" t="str">
        <f t="shared" si="4"/>
        <v/>
      </c>
      <c r="AZ96" t="s">
        <v>200</v>
      </c>
      <c r="BA96" s="3"/>
      <c r="BB96" t="str">
        <f t="shared" si="5"/>
        <v>No scrap rate (No impact);</v>
      </c>
    </row>
    <row r="97" spans="1:54" x14ac:dyDescent="0.3">
      <c r="A97" t="s">
        <v>1061</v>
      </c>
      <c r="B97" t="s">
        <v>1062</v>
      </c>
      <c r="C97" t="s">
        <v>938</v>
      </c>
      <c r="D97" t="s">
        <v>939</v>
      </c>
      <c r="G97" t="s">
        <v>908</v>
      </c>
      <c r="H97" t="s">
        <v>909</v>
      </c>
      <c r="L97">
        <v>1</v>
      </c>
      <c r="M97">
        <v>0.04</v>
      </c>
      <c r="N97" t="s">
        <v>198</v>
      </c>
      <c r="O97">
        <v>0</v>
      </c>
      <c r="P97" t="s">
        <v>198</v>
      </c>
      <c r="Q97" t="s">
        <v>199</v>
      </c>
      <c r="R97" s="3"/>
      <c r="W97" t="s">
        <v>200</v>
      </c>
      <c r="X97" s="25"/>
      <c r="Y97" s="26"/>
      <c r="Z97" s="27"/>
      <c r="AA97" t="s">
        <v>25</v>
      </c>
      <c r="AB97" t="s">
        <v>201</v>
      </c>
      <c r="AC97" s="3"/>
      <c r="AH97" t="s">
        <v>202</v>
      </c>
      <c r="AK97" t="s">
        <v>203</v>
      </c>
      <c r="AP97" t="s">
        <v>200</v>
      </c>
      <c r="AR97" s="25"/>
      <c r="AT97" s="25">
        <v>0</v>
      </c>
      <c r="AU97" s="26"/>
      <c r="AV97" s="26"/>
      <c r="AW97" s="26"/>
      <c r="AX97" s="26" t="str">
        <f t="shared" si="3"/>
        <v/>
      </c>
      <c r="AY97" t="str">
        <f t="shared" si="4"/>
        <v/>
      </c>
      <c r="AZ97" t="s">
        <v>200</v>
      </c>
      <c r="BA97" s="3"/>
      <c r="BB97" t="str">
        <f t="shared" si="5"/>
        <v>No scrap rate (No impact);No raw material available (High);</v>
      </c>
    </row>
    <row r="98" spans="1:54" x14ac:dyDescent="0.3">
      <c r="A98" t="s">
        <v>1063</v>
      </c>
      <c r="B98" t="s">
        <v>1064</v>
      </c>
      <c r="C98" t="s">
        <v>918</v>
      </c>
      <c r="D98" t="s">
        <v>919</v>
      </c>
      <c r="G98" t="s">
        <v>1065</v>
      </c>
      <c r="H98" t="s">
        <v>1066</v>
      </c>
      <c r="J98" t="s">
        <v>1067</v>
      </c>
      <c r="L98">
        <v>1</v>
      </c>
      <c r="M98">
        <v>8.1000000000000003E-2</v>
      </c>
      <c r="N98" t="s">
        <v>198</v>
      </c>
      <c r="O98">
        <v>0</v>
      </c>
      <c r="P98" t="s">
        <v>198</v>
      </c>
      <c r="Q98" t="s">
        <v>199</v>
      </c>
      <c r="R98" s="3"/>
      <c r="W98" t="s">
        <v>200</v>
      </c>
      <c r="X98" s="25"/>
      <c r="Y98" s="26"/>
      <c r="Z98" s="27"/>
      <c r="AA98" t="s">
        <v>25</v>
      </c>
      <c r="AB98" t="s">
        <v>201</v>
      </c>
      <c r="AC98" s="3"/>
      <c r="AH98" t="s">
        <v>202</v>
      </c>
      <c r="AK98" t="s">
        <v>203</v>
      </c>
      <c r="AP98" t="s">
        <v>200</v>
      </c>
      <c r="AR98" s="25"/>
      <c r="AT98" s="25">
        <v>0</v>
      </c>
      <c r="AU98" s="26"/>
      <c r="AV98" s="26"/>
      <c r="AW98" s="26"/>
      <c r="AX98" s="26" t="str">
        <f t="shared" si="3"/>
        <v/>
      </c>
      <c r="AY98" t="str">
        <f t="shared" si="4"/>
        <v/>
      </c>
      <c r="AZ98" t="s">
        <v>200</v>
      </c>
      <c r="BA98" s="3"/>
      <c r="BB98" t="str">
        <f t="shared" si="5"/>
        <v>No scrap rate (No impact);</v>
      </c>
    </row>
    <row r="99" spans="1:54" x14ac:dyDescent="0.3">
      <c r="A99" t="s">
        <v>1068</v>
      </c>
      <c r="B99" t="s">
        <v>1069</v>
      </c>
      <c r="C99" t="s">
        <v>946</v>
      </c>
      <c r="D99" t="s">
        <v>947</v>
      </c>
      <c r="G99" t="s">
        <v>1070</v>
      </c>
      <c r="H99" t="s">
        <v>1071</v>
      </c>
      <c r="J99" t="s">
        <v>926</v>
      </c>
      <c r="L99">
        <v>1</v>
      </c>
      <c r="M99">
        <v>0.26600000000000001</v>
      </c>
      <c r="N99" t="s">
        <v>198</v>
      </c>
      <c r="O99">
        <v>0.26600000000000001</v>
      </c>
      <c r="P99" t="s">
        <v>198</v>
      </c>
      <c r="Q99" t="s">
        <v>199</v>
      </c>
      <c r="R99" s="3"/>
      <c r="W99" t="s">
        <v>200</v>
      </c>
      <c r="X99" s="25"/>
      <c r="Y99" s="26"/>
      <c r="Z99" s="27"/>
      <c r="AA99" t="s">
        <v>25</v>
      </c>
      <c r="AB99" t="s">
        <v>201</v>
      </c>
      <c r="AC99" s="3"/>
      <c r="AH99" t="s">
        <v>202</v>
      </c>
      <c r="AK99" t="s">
        <v>203</v>
      </c>
      <c r="AP99" t="s">
        <v>200</v>
      </c>
      <c r="AR99" s="25"/>
      <c r="AT99" s="25">
        <v>0</v>
      </c>
      <c r="AU99" s="26"/>
      <c r="AV99" s="26"/>
      <c r="AW99" s="26"/>
      <c r="AX99" s="26" t="str">
        <f t="shared" si="3"/>
        <v/>
      </c>
      <c r="AY99" t="str">
        <f t="shared" si="4"/>
        <v/>
      </c>
      <c r="AZ99" t="s">
        <v>200</v>
      </c>
      <c r="BA99" s="3"/>
      <c r="BB99" t="str">
        <f t="shared" si="5"/>
        <v>No scrap rate (No impact);</v>
      </c>
    </row>
    <row r="100" spans="1:54" x14ac:dyDescent="0.3">
      <c r="A100" t="s">
        <v>1072</v>
      </c>
      <c r="B100" t="s">
        <v>1073</v>
      </c>
      <c r="C100" t="s">
        <v>946</v>
      </c>
      <c r="D100" t="s">
        <v>947</v>
      </c>
      <c r="G100" t="s">
        <v>1070</v>
      </c>
      <c r="H100" t="s">
        <v>1071</v>
      </c>
      <c r="J100" t="s">
        <v>926</v>
      </c>
      <c r="L100">
        <v>12</v>
      </c>
      <c r="M100">
        <v>0.21299999999999999</v>
      </c>
      <c r="N100" t="s">
        <v>198</v>
      </c>
      <c r="O100">
        <v>0.21299999999999999</v>
      </c>
      <c r="P100" t="s">
        <v>198</v>
      </c>
      <c r="Q100" t="s">
        <v>199</v>
      </c>
      <c r="R100" s="3"/>
      <c r="W100" t="s">
        <v>200</v>
      </c>
      <c r="X100" s="25"/>
      <c r="Y100" s="26"/>
      <c r="Z100" s="27"/>
      <c r="AA100" t="s">
        <v>25</v>
      </c>
      <c r="AB100" t="s">
        <v>201</v>
      </c>
      <c r="AC100" s="3"/>
      <c r="AH100" t="s">
        <v>202</v>
      </c>
      <c r="AK100" t="s">
        <v>203</v>
      </c>
      <c r="AP100" t="s">
        <v>200</v>
      </c>
      <c r="AR100" s="25"/>
      <c r="AT100" s="25">
        <v>0</v>
      </c>
      <c r="AU100" s="26"/>
      <c r="AV100" s="26"/>
      <c r="AW100" s="26"/>
      <c r="AX100" s="26" t="str">
        <f t="shared" si="3"/>
        <v/>
      </c>
      <c r="AY100" t="str">
        <f t="shared" si="4"/>
        <v/>
      </c>
      <c r="AZ100" t="s">
        <v>200</v>
      </c>
      <c r="BA100" s="3"/>
      <c r="BB100" t="str">
        <f t="shared" si="5"/>
        <v>No scrap rate (No impact);</v>
      </c>
    </row>
    <row r="101" spans="1:54" x14ac:dyDescent="0.3">
      <c r="A101" t="s">
        <v>1074</v>
      </c>
      <c r="B101" t="s">
        <v>1075</v>
      </c>
      <c r="C101" t="s">
        <v>946</v>
      </c>
      <c r="D101" t="s">
        <v>947</v>
      </c>
      <c r="G101" t="s">
        <v>1070</v>
      </c>
      <c r="H101" t="s">
        <v>1071</v>
      </c>
      <c r="J101" t="s">
        <v>926</v>
      </c>
      <c r="L101">
        <v>1</v>
      </c>
      <c r="M101">
        <v>0.219</v>
      </c>
      <c r="N101" t="s">
        <v>198</v>
      </c>
      <c r="O101">
        <v>0.219</v>
      </c>
      <c r="P101" t="s">
        <v>198</v>
      </c>
      <c r="Q101" t="s">
        <v>199</v>
      </c>
      <c r="R101" s="3"/>
      <c r="W101" t="s">
        <v>200</v>
      </c>
      <c r="X101" s="25"/>
      <c r="Y101" s="26"/>
      <c r="Z101" s="27"/>
      <c r="AA101" t="s">
        <v>25</v>
      </c>
      <c r="AB101" t="s">
        <v>201</v>
      </c>
      <c r="AC101" s="3"/>
      <c r="AH101" t="s">
        <v>202</v>
      </c>
      <c r="AK101" t="s">
        <v>203</v>
      </c>
      <c r="AP101" t="s">
        <v>200</v>
      </c>
      <c r="AR101" s="25"/>
      <c r="AT101" s="25">
        <v>0</v>
      </c>
      <c r="AU101" s="26"/>
      <c r="AV101" s="26"/>
      <c r="AW101" s="26"/>
      <c r="AX101" s="26" t="str">
        <f t="shared" si="3"/>
        <v/>
      </c>
      <c r="AY101" t="str">
        <f t="shared" si="4"/>
        <v/>
      </c>
      <c r="AZ101" t="s">
        <v>200</v>
      </c>
      <c r="BA101" s="3"/>
      <c r="BB101" t="str">
        <f t="shared" si="5"/>
        <v>No scrap rate (No impact);</v>
      </c>
    </row>
    <row r="102" spans="1:54" x14ac:dyDescent="0.3">
      <c r="A102" t="s">
        <v>1076</v>
      </c>
      <c r="B102" t="s">
        <v>1077</v>
      </c>
      <c r="C102" t="s">
        <v>966</v>
      </c>
      <c r="D102" t="s">
        <v>967</v>
      </c>
      <c r="G102" t="s">
        <v>1078</v>
      </c>
      <c r="H102" t="s">
        <v>1079</v>
      </c>
      <c r="J102" t="s">
        <v>1080</v>
      </c>
      <c r="L102">
        <v>367</v>
      </c>
      <c r="M102">
        <v>4.0000000000000001E-3</v>
      </c>
      <c r="N102" t="s">
        <v>198</v>
      </c>
      <c r="O102">
        <v>0</v>
      </c>
      <c r="P102" t="s">
        <v>198</v>
      </c>
      <c r="Q102" t="s">
        <v>199</v>
      </c>
      <c r="R102" s="3"/>
      <c r="W102" t="s">
        <v>200</v>
      </c>
      <c r="X102" s="25"/>
      <c r="Y102" s="26"/>
      <c r="Z102" s="27"/>
      <c r="AA102" t="s">
        <v>25</v>
      </c>
      <c r="AB102" t="s">
        <v>201</v>
      </c>
      <c r="AC102" s="3"/>
      <c r="AH102" t="s">
        <v>202</v>
      </c>
      <c r="AK102" t="s">
        <v>203</v>
      </c>
      <c r="AP102" t="s">
        <v>200</v>
      </c>
      <c r="AR102" s="25"/>
      <c r="AT102" s="25">
        <v>0</v>
      </c>
      <c r="AU102" s="26"/>
      <c r="AV102" s="26"/>
      <c r="AW102" s="26"/>
      <c r="AX102" s="26" t="str">
        <f t="shared" si="3"/>
        <v/>
      </c>
      <c r="AY102" t="str">
        <f t="shared" si="4"/>
        <v/>
      </c>
      <c r="AZ102" t="s">
        <v>200</v>
      </c>
      <c r="BA102" s="3"/>
      <c r="BB102" t="str">
        <f t="shared" si="5"/>
        <v>No scrap rate (No impact);</v>
      </c>
    </row>
    <row r="103" spans="1:54" x14ac:dyDescent="0.3">
      <c r="A103" t="s">
        <v>1081</v>
      </c>
      <c r="B103" t="s">
        <v>1082</v>
      </c>
      <c r="C103" t="s">
        <v>966</v>
      </c>
      <c r="D103" t="s">
        <v>967</v>
      </c>
      <c r="G103" t="s">
        <v>1083</v>
      </c>
      <c r="H103" t="s">
        <v>1084</v>
      </c>
      <c r="L103">
        <v>200</v>
      </c>
      <c r="M103">
        <v>7.0000000000000007E-2</v>
      </c>
      <c r="N103" t="s">
        <v>198</v>
      </c>
      <c r="O103">
        <v>0</v>
      </c>
      <c r="P103" t="s">
        <v>198</v>
      </c>
      <c r="Q103" t="s">
        <v>199</v>
      </c>
      <c r="R103" s="3"/>
      <c r="W103" t="s">
        <v>200</v>
      </c>
      <c r="X103" s="25"/>
      <c r="Y103" s="26"/>
      <c r="Z103" s="27"/>
      <c r="AA103" t="s">
        <v>25</v>
      </c>
      <c r="AB103" t="s">
        <v>201</v>
      </c>
      <c r="AC103" s="3"/>
      <c r="AH103" t="s">
        <v>202</v>
      </c>
      <c r="AK103" t="s">
        <v>203</v>
      </c>
      <c r="AP103" t="s">
        <v>200</v>
      </c>
      <c r="AR103" s="25"/>
      <c r="AT103" s="25">
        <v>0</v>
      </c>
      <c r="AU103" s="26"/>
      <c r="AV103" s="26"/>
      <c r="AW103" s="26"/>
      <c r="AX103" s="26" t="str">
        <f t="shared" si="3"/>
        <v/>
      </c>
      <c r="AY103" t="str">
        <f t="shared" si="4"/>
        <v/>
      </c>
      <c r="AZ103" t="s">
        <v>200</v>
      </c>
      <c r="BA103" s="3"/>
      <c r="BB103" t="str">
        <f t="shared" si="5"/>
        <v>No scrap rate (No impact);No raw material available (High);</v>
      </c>
    </row>
    <row r="104" spans="1:54" x14ac:dyDescent="0.3">
      <c r="A104" t="s">
        <v>1085</v>
      </c>
      <c r="B104" t="s">
        <v>1086</v>
      </c>
      <c r="C104" t="s">
        <v>946</v>
      </c>
      <c r="D104" t="s">
        <v>947</v>
      </c>
      <c r="G104" t="s">
        <v>933</v>
      </c>
      <c r="H104" t="s">
        <v>934</v>
      </c>
      <c r="J104" t="s">
        <v>926</v>
      </c>
      <c r="L104">
        <v>1</v>
      </c>
      <c r="M104">
        <v>0.30199999999999999</v>
      </c>
      <c r="N104" t="s">
        <v>198</v>
      </c>
      <c r="O104">
        <v>0.30199999999999999</v>
      </c>
      <c r="P104" t="s">
        <v>198</v>
      </c>
      <c r="Q104" t="s">
        <v>199</v>
      </c>
      <c r="R104" s="3"/>
      <c r="W104" t="s">
        <v>200</v>
      </c>
      <c r="X104" s="25"/>
      <c r="Y104" s="26"/>
      <c r="Z104" s="27"/>
      <c r="AA104" t="s">
        <v>25</v>
      </c>
      <c r="AB104" t="s">
        <v>201</v>
      </c>
      <c r="AC104" s="3"/>
      <c r="AH104" t="s">
        <v>202</v>
      </c>
      <c r="AK104" t="s">
        <v>203</v>
      </c>
      <c r="AP104" t="s">
        <v>200</v>
      </c>
      <c r="AR104" s="25"/>
      <c r="AT104" s="25">
        <v>0</v>
      </c>
      <c r="AU104" s="26"/>
      <c r="AV104" s="26"/>
      <c r="AW104" s="26"/>
      <c r="AX104" s="26" t="str">
        <f t="shared" si="3"/>
        <v/>
      </c>
      <c r="AY104" t="str">
        <f t="shared" si="4"/>
        <v/>
      </c>
      <c r="AZ104" t="s">
        <v>200</v>
      </c>
      <c r="BA104" s="3"/>
      <c r="BB104" t="str">
        <f t="shared" si="5"/>
        <v>No scrap rate (No impact);</v>
      </c>
    </row>
    <row r="105" spans="1:54" x14ac:dyDescent="0.3">
      <c r="A105" t="s">
        <v>1087</v>
      </c>
      <c r="B105" t="s">
        <v>1088</v>
      </c>
      <c r="C105" t="s">
        <v>946</v>
      </c>
      <c r="D105" t="s">
        <v>947</v>
      </c>
      <c r="G105" t="s">
        <v>1070</v>
      </c>
      <c r="H105" t="s">
        <v>1071</v>
      </c>
      <c r="J105" t="s">
        <v>1089</v>
      </c>
      <c r="L105">
        <v>1</v>
      </c>
      <c r="M105">
        <v>0.37</v>
      </c>
      <c r="N105" t="s">
        <v>198</v>
      </c>
      <c r="O105">
        <v>0.37</v>
      </c>
      <c r="P105" t="s">
        <v>198</v>
      </c>
      <c r="Q105" t="s">
        <v>199</v>
      </c>
      <c r="R105" s="3"/>
      <c r="W105" t="s">
        <v>200</v>
      </c>
      <c r="X105" s="25"/>
      <c r="Y105" s="26"/>
      <c r="Z105" s="27"/>
      <c r="AA105" t="s">
        <v>25</v>
      </c>
      <c r="AB105" t="s">
        <v>201</v>
      </c>
      <c r="AC105" s="3"/>
      <c r="AH105" t="s">
        <v>202</v>
      </c>
      <c r="AK105" t="s">
        <v>203</v>
      </c>
      <c r="AP105" t="s">
        <v>200</v>
      </c>
      <c r="AR105" s="25"/>
      <c r="AT105" s="25">
        <v>0</v>
      </c>
      <c r="AU105" s="26"/>
      <c r="AV105" s="26"/>
      <c r="AW105" s="26"/>
      <c r="AX105" s="26" t="str">
        <f t="shared" si="3"/>
        <v/>
      </c>
      <c r="AY105" t="str">
        <f t="shared" si="4"/>
        <v/>
      </c>
      <c r="AZ105" t="s">
        <v>200</v>
      </c>
      <c r="BA105" s="3"/>
      <c r="BB105" t="str">
        <f t="shared" si="5"/>
        <v>No scrap rate (No impact);</v>
      </c>
    </row>
    <row r="106" spans="1:54" x14ac:dyDescent="0.3">
      <c r="A106" t="s">
        <v>1090</v>
      </c>
      <c r="B106" t="s">
        <v>1091</v>
      </c>
      <c r="C106" t="s">
        <v>995</v>
      </c>
      <c r="D106" t="s">
        <v>996</v>
      </c>
      <c r="G106" t="s">
        <v>1092</v>
      </c>
      <c r="H106" t="s">
        <v>1093</v>
      </c>
      <c r="J106" t="s">
        <v>1046</v>
      </c>
      <c r="L106">
        <v>1120</v>
      </c>
      <c r="M106">
        <v>5.0000000000000001E-3</v>
      </c>
      <c r="N106" t="s">
        <v>198</v>
      </c>
      <c r="O106">
        <v>0</v>
      </c>
      <c r="P106" t="s">
        <v>198</v>
      </c>
      <c r="Q106" t="s">
        <v>199</v>
      </c>
      <c r="R106" s="3"/>
      <c r="W106" t="s">
        <v>200</v>
      </c>
      <c r="X106" s="25"/>
      <c r="Y106" s="26"/>
      <c r="Z106" s="27"/>
      <c r="AA106" t="s">
        <v>25</v>
      </c>
      <c r="AB106" t="s">
        <v>201</v>
      </c>
      <c r="AC106" s="3"/>
      <c r="AH106" t="s">
        <v>202</v>
      </c>
      <c r="AK106" t="s">
        <v>203</v>
      </c>
      <c r="AP106" t="s">
        <v>200</v>
      </c>
      <c r="AR106" s="25"/>
      <c r="AT106" s="25">
        <v>0</v>
      </c>
      <c r="AU106" s="26"/>
      <c r="AV106" s="26"/>
      <c r="AW106" s="26"/>
      <c r="AX106" s="26" t="str">
        <f t="shared" si="3"/>
        <v/>
      </c>
      <c r="AY106" t="str">
        <f t="shared" si="4"/>
        <v/>
      </c>
      <c r="AZ106" t="s">
        <v>200</v>
      </c>
      <c r="BA106" s="3"/>
      <c r="BB106" t="str">
        <f t="shared" si="5"/>
        <v>No scrap rate (No impact);</v>
      </c>
    </row>
    <row r="107" spans="1:54" x14ac:dyDescent="0.3">
      <c r="A107" t="s">
        <v>1094</v>
      </c>
      <c r="B107" t="s">
        <v>1095</v>
      </c>
      <c r="C107" t="s">
        <v>918</v>
      </c>
      <c r="D107" t="s">
        <v>919</v>
      </c>
      <c r="G107" t="s">
        <v>1065</v>
      </c>
      <c r="H107" t="s">
        <v>1066</v>
      </c>
      <c r="J107" t="s">
        <v>1067</v>
      </c>
      <c r="L107">
        <v>1</v>
      </c>
      <c r="M107">
        <v>8.1000000000000003E-2</v>
      </c>
      <c r="N107" t="s">
        <v>198</v>
      </c>
      <c r="O107">
        <v>0</v>
      </c>
      <c r="P107" t="s">
        <v>198</v>
      </c>
      <c r="Q107" t="s">
        <v>199</v>
      </c>
      <c r="R107" s="3"/>
      <c r="W107" t="s">
        <v>200</v>
      </c>
      <c r="X107" s="25"/>
      <c r="Y107" s="26"/>
      <c r="Z107" s="27"/>
      <c r="AA107" t="s">
        <v>25</v>
      </c>
      <c r="AB107" t="s">
        <v>201</v>
      </c>
      <c r="AC107" s="3"/>
      <c r="AH107" t="s">
        <v>202</v>
      </c>
      <c r="AK107" t="s">
        <v>203</v>
      </c>
      <c r="AP107" t="s">
        <v>200</v>
      </c>
      <c r="AR107" s="25"/>
      <c r="AT107" s="25">
        <v>0</v>
      </c>
      <c r="AU107" s="26"/>
      <c r="AV107" s="26"/>
      <c r="AW107" s="26"/>
      <c r="AX107" s="26" t="str">
        <f t="shared" si="3"/>
        <v/>
      </c>
      <c r="AY107" t="str">
        <f t="shared" si="4"/>
        <v/>
      </c>
      <c r="AZ107" t="s">
        <v>200</v>
      </c>
      <c r="BA107" s="3"/>
      <c r="BB107" t="str">
        <f t="shared" si="5"/>
        <v>No scrap rate (No impact);</v>
      </c>
    </row>
    <row r="108" spans="1:54" x14ac:dyDescent="0.3">
      <c r="A108" t="s">
        <v>1096</v>
      </c>
      <c r="B108" t="s">
        <v>1097</v>
      </c>
      <c r="C108" t="s">
        <v>995</v>
      </c>
      <c r="D108" t="s">
        <v>996</v>
      </c>
      <c r="G108" t="s">
        <v>1065</v>
      </c>
      <c r="H108" t="s">
        <v>1066</v>
      </c>
      <c r="J108" t="s">
        <v>1098</v>
      </c>
      <c r="L108">
        <v>1</v>
      </c>
      <c r="M108">
        <v>0.02</v>
      </c>
      <c r="N108" t="s">
        <v>198</v>
      </c>
      <c r="O108">
        <v>0</v>
      </c>
      <c r="P108" t="s">
        <v>198</v>
      </c>
      <c r="Q108" t="s">
        <v>199</v>
      </c>
      <c r="R108" s="3"/>
      <c r="W108" t="s">
        <v>200</v>
      </c>
      <c r="X108" s="25"/>
      <c r="Y108" s="26"/>
      <c r="Z108" s="27"/>
      <c r="AA108" t="s">
        <v>25</v>
      </c>
      <c r="AB108" t="s">
        <v>201</v>
      </c>
      <c r="AC108" s="3"/>
      <c r="AH108" t="s">
        <v>202</v>
      </c>
      <c r="AK108" t="s">
        <v>203</v>
      </c>
      <c r="AP108" t="s">
        <v>200</v>
      </c>
      <c r="AR108" s="25"/>
      <c r="AT108" s="25">
        <v>0</v>
      </c>
      <c r="AU108" s="26"/>
      <c r="AV108" s="26"/>
      <c r="AW108" s="26"/>
      <c r="AX108" s="26" t="str">
        <f t="shared" si="3"/>
        <v/>
      </c>
      <c r="AY108" t="str">
        <f t="shared" si="4"/>
        <v/>
      </c>
      <c r="AZ108" t="s">
        <v>200</v>
      </c>
      <c r="BA108" s="3"/>
      <c r="BB108" t="str">
        <f t="shared" si="5"/>
        <v>No scrap rate (No impact);</v>
      </c>
    </row>
    <row r="109" spans="1:54" x14ac:dyDescent="0.3">
      <c r="A109" t="s">
        <v>1099</v>
      </c>
      <c r="B109" t="s">
        <v>1100</v>
      </c>
      <c r="C109" t="s">
        <v>747</v>
      </c>
      <c r="D109" t="s">
        <v>748</v>
      </c>
      <c r="G109" t="s">
        <v>1020</v>
      </c>
      <c r="H109" t="s">
        <v>1021</v>
      </c>
      <c r="K109" t="s">
        <v>927</v>
      </c>
      <c r="L109">
        <v>1</v>
      </c>
      <c r="M109">
        <v>0.38600000000000001</v>
      </c>
      <c r="N109" t="s">
        <v>198</v>
      </c>
      <c r="O109">
        <v>0</v>
      </c>
      <c r="P109" t="s">
        <v>198</v>
      </c>
      <c r="Q109" t="s">
        <v>199</v>
      </c>
      <c r="R109" s="3"/>
      <c r="W109" t="s">
        <v>200</v>
      </c>
      <c r="X109" s="25"/>
      <c r="Y109" s="26"/>
      <c r="Z109" s="27"/>
      <c r="AA109" t="s">
        <v>25</v>
      </c>
      <c r="AB109" t="s">
        <v>201</v>
      </c>
      <c r="AC109" s="3"/>
      <c r="AH109" t="s">
        <v>202</v>
      </c>
      <c r="AK109" t="s">
        <v>203</v>
      </c>
      <c r="AP109" t="s">
        <v>200</v>
      </c>
      <c r="AR109" s="25"/>
      <c r="AT109" s="25">
        <v>0</v>
      </c>
      <c r="AU109" s="26"/>
      <c r="AV109" s="26"/>
      <c r="AW109" s="26"/>
      <c r="AX109" s="26" t="str">
        <f t="shared" si="3"/>
        <v/>
      </c>
      <c r="AY109" t="str">
        <f t="shared" si="4"/>
        <v/>
      </c>
      <c r="AZ109" t="s">
        <v>200</v>
      </c>
      <c r="BA109" s="3"/>
      <c r="BB109" t="str">
        <f t="shared" si="5"/>
        <v>No scrap rate (No impact);</v>
      </c>
    </row>
    <row r="110" spans="1:54" x14ac:dyDescent="0.3">
      <c r="A110" t="s">
        <v>1101</v>
      </c>
      <c r="B110" t="s">
        <v>1102</v>
      </c>
      <c r="C110" t="s">
        <v>747</v>
      </c>
      <c r="D110" t="s">
        <v>748</v>
      </c>
      <c r="G110" t="s">
        <v>933</v>
      </c>
      <c r="H110" t="s">
        <v>934</v>
      </c>
      <c r="L110">
        <v>1</v>
      </c>
      <c r="M110">
        <v>0.184</v>
      </c>
      <c r="N110" t="s">
        <v>198</v>
      </c>
      <c r="O110">
        <v>0</v>
      </c>
      <c r="P110" t="s">
        <v>198</v>
      </c>
      <c r="Q110" t="s">
        <v>199</v>
      </c>
      <c r="R110" s="3"/>
      <c r="W110" t="s">
        <v>200</v>
      </c>
      <c r="X110" s="25"/>
      <c r="Y110" s="26"/>
      <c r="Z110" s="27"/>
      <c r="AA110" t="s">
        <v>25</v>
      </c>
      <c r="AB110" t="s">
        <v>201</v>
      </c>
      <c r="AC110" s="3"/>
      <c r="AH110" t="s">
        <v>202</v>
      </c>
      <c r="AK110" t="s">
        <v>203</v>
      </c>
      <c r="AP110" t="s">
        <v>200</v>
      </c>
      <c r="AR110" s="25"/>
      <c r="AT110" s="25">
        <v>0</v>
      </c>
      <c r="AU110" s="26"/>
      <c r="AV110" s="26"/>
      <c r="AW110" s="26"/>
      <c r="AX110" s="26" t="str">
        <f t="shared" si="3"/>
        <v/>
      </c>
      <c r="AY110" t="str">
        <f t="shared" si="4"/>
        <v/>
      </c>
      <c r="AZ110" t="s">
        <v>200</v>
      </c>
      <c r="BA110" s="3"/>
      <c r="BB110" t="str">
        <f t="shared" si="5"/>
        <v>No scrap rate (No impact);No raw material available (High);</v>
      </c>
    </row>
    <row r="111" spans="1:54" x14ac:dyDescent="0.3">
      <c r="A111" t="s">
        <v>1103</v>
      </c>
      <c r="B111" t="s">
        <v>1104</v>
      </c>
      <c r="C111" t="s">
        <v>747</v>
      </c>
      <c r="D111" t="s">
        <v>748</v>
      </c>
      <c r="G111" t="s">
        <v>1105</v>
      </c>
      <c r="H111" t="s">
        <v>1106</v>
      </c>
      <c r="K111" t="s">
        <v>1107</v>
      </c>
      <c r="L111">
        <v>1</v>
      </c>
      <c r="M111">
        <v>0.20499999999999999</v>
      </c>
      <c r="N111" t="s">
        <v>198</v>
      </c>
      <c r="O111">
        <v>0</v>
      </c>
      <c r="P111" t="s">
        <v>198</v>
      </c>
      <c r="Q111" t="s">
        <v>199</v>
      </c>
      <c r="R111" s="3"/>
      <c r="W111" t="s">
        <v>200</v>
      </c>
      <c r="X111" s="25"/>
      <c r="Y111" s="26"/>
      <c r="Z111" s="27"/>
      <c r="AA111" t="s">
        <v>25</v>
      </c>
      <c r="AB111" t="s">
        <v>201</v>
      </c>
      <c r="AC111" s="3"/>
      <c r="AH111" t="s">
        <v>202</v>
      </c>
      <c r="AK111" t="s">
        <v>203</v>
      </c>
      <c r="AP111" t="s">
        <v>200</v>
      </c>
      <c r="AR111" s="25"/>
      <c r="AT111" s="25">
        <v>0</v>
      </c>
      <c r="AU111" s="26"/>
      <c r="AV111" s="26"/>
      <c r="AW111" s="26"/>
      <c r="AX111" s="26" t="str">
        <f t="shared" si="3"/>
        <v/>
      </c>
      <c r="AY111" t="str">
        <f t="shared" si="4"/>
        <v/>
      </c>
      <c r="AZ111" t="s">
        <v>200</v>
      </c>
      <c r="BA111" s="3"/>
      <c r="BB111" t="str">
        <f t="shared" si="5"/>
        <v>No scrap rate (No impact);</v>
      </c>
    </row>
    <row r="112" spans="1:54" x14ac:dyDescent="0.3">
      <c r="A112" t="s">
        <v>1108</v>
      </c>
      <c r="B112" t="s">
        <v>1109</v>
      </c>
      <c r="C112" t="s">
        <v>1110</v>
      </c>
      <c r="D112" t="s">
        <v>1111</v>
      </c>
      <c r="G112" t="s">
        <v>1112</v>
      </c>
      <c r="H112" t="s">
        <v>1113</v>
      </c>
      <c r="J112" t="s">
        <v>1089</v>
      </c>
      <c r="L112">
        <v>0</v>
      </c>
      <c r="M112">
        <v>0.03</v>
      </c>
      <c r="N112" t="s">
        <v>198</v>
      </c>
      <c r="O112">
        <v>0.03</v>
      </c>
      <c r="P112" t="s">
        <v>198</v>
      </c>
      <c r="Q112" t="s">
        <v>199</v>
      </c>
      <c r="R112" s="3"/>
      <c r="W112" t="s">
        <v>200</v>
      </c>
      <c r="X112" s="25"/>
      <c r="Y112" s="26"/>
      <c r="Z112" s="27"/>
      <c r="AA112" t="s">
        <v>25</v>
      </c>
      <c r="AB112" t="s">
        <v>201</v>
      </c>
      <c r="AC112" s="3"/>
      <c r="AH112" t="s">
        <v>202</v>
      </c>
      <c r="AK112" t="s">
        <v>203</v>
      </c>
      <c r="AP112" t="s">
        <v>200</v>
      </c>
      <c r="AR112" s="25"/>
      <c r="AT112" s="25">
        <v>0</v>
      </c>
      <c r="AU112" s="26"/>
      <c r="AV112" s="26"/>
      <c r="AW112" s="26"/>
      <c r="AX112" s="26" t="str">
        <f t="shared" si="3"/>
        <v/>
      </c>
      <c r="AY112" t="str">
        <f t="shared" si="4"/>
        <v/>
      </c>
      <c r="AZ112" t="s">
        <v>200</v>
      </c>
      <c r="BA112" s="3"/>
      <c r="BB112" t="str">
        <f t="shared" si="5"/>
        <v>No scrap rate (No impact);</v>
      </c>
    </row>
    <row r="113" spans="1:54" x14ac:dyDescent="0.3">
      <c r="A113" t="s">
        <v>1114</v>
      </c>
      <c r="B113" t="s">
        <v>1115</v>
      </c>
      <c r="C113" t="s">
        <v>938</v>
      </c>
      <c r="D113" t="s">
        <v>939</v>
      </c>
      <c r="G113" t="s">
        <v>1116</v>
      </c>
      <c r="H113" t="s">
        <v>1117</v>
      </c>
      <c r="L113">
        <v>0</v>
      </c>
      <c r="M113">
        <v>0</v>
      </c>
      <c r="N113" t="s">
        <v>198</v>
      </c>
      <c r="O113">
        <v>0</v>
      </c>
      <c r="P113" t="s">
        <v>198</v>
      </c>
      <c r="R113" s="3"/>
      <c r="W113" t="s">
        <v>200</v>
      </c>
      <c r="X113" s="25"/>
      <c r="Y113" s="26"/>
      <c r="Z113" s="27"/>
      <c r="AA113" t="s">
        <v>25</v>
      </c>
      <c r="AB113" t="s">
        <v>201</v>
      </c>
      <c r="AC113" s="3"/>
      <c r="AH113" t="s">
        <v>202</v>
      </c>
      <c r="AK113" t="s">
        <v>203</v>
      </c>
      <c r="AP113" t="s">
        <v>200</v>
      </c>
      <c r="AR113" s="25"/>
      <c r="AT113" s="25">
        <v>0</v>
      </c>
      <c r="AU113" s="26"/>
      <c r="AV113" s="26"/>
      <c r="AW113" s="26"/>
      <c r="AX113" s="26" t="str">
        <f t="shared" si="3"/>
        <v/>
      </c>
      <c r="AY113" t="str">
        <f t="shared" si="4"/>
        <v/>
      </c>
      <c r="AZ113" t="s">
        <v>200</v>
      </c>
      <c r="BA113" s="3"/>
      <c r="BB113" t="str">
        <f t="shared" si="5"/>
        <v>No scrap rate (No impact);No raw material available (High);</v>
      </c>
    </row>
    <row r="114" spans="1:54" x14ac:dyDescent="0.3">
      <c r="A114" t="s">
        <v>1118</v>
      </c>
      <c r="B114" t="s">
        <v>1119</v>
      </c>
      <c r="C114" t="s">
        <v>938</v>
      </c>
      <c r="D114" t="s">
        <v>939</v>
      </c>
      <c r="G114" t="s">
        <v>1120</v>
      </c>
      <c r="H114" t="s">
        <v>1121</v>
      </c>
      <c r="L114">
        <v>0</v>
      </c>
      <c r="M114">
        <v>0</v>
      </c>
      <c r="N114" t="s">
        <v>198</v>
      </c>
      <c r="O114">
        <v>0</v>
      </c>
      <c r="P114" t="s">
        <v>198</v>
      </c>
      <c r="R114" s="3"/>
      <c r="W114" t="s">
        <v>200</v>
      </c>
      <c r="X114" s="25"/>
      <c r="Y114" s="26"/>
      <c r="Z114" s="27"/>
      <c r="AA114" t="s">
        <v>25</v>
      </c>
      <c r="AB114" t="s">
        <v>201</v>
      </c>
      <c r="AC114" s="3"/>
      <c r="AH114" t="s">
        <v>202</v>
      </c>
      <c r="AK114" t="s">
        <v>203</v>
      </c>
      <c r="AP114" t="s">
        <v>200</v>
      </c>
      <c r="AR114" s="25"/>
      <c r="AT114" s="25">
        <v>0</v>
      </c>
      <c r="AU114" s="26"/>
      <c r="AV114" s="26"/>
      <c r="AW114" s="26"/>
      <c r="AX114" s="26" t="str">
        <f t="shared" si="3"/>
        <v/>
      </c>
      <c r="AY114" t="str">
        <f t="shared" si="4"/>
        <v/>
      </c>
      <c r="AZ114" t="s">
        <v>200</v>
      </c>
      <c r="BA114" s="3"/>
      <c r="BB114" t="str">
        <f t="shared" si="5"/>
        <v>No scrap rate (No impact);No raw material available (High);</v>
      </c>
    </row>
    <row r="115" spans="1:54" x14ac:dyDescent="0.3">
      <c r="A115" t="s">
        <v>1122</v>
      </c>
      <c r="B115" t="s">
        <v>1123</v>
      </c>
      <c r="C115" t="s">
        <v>906</v>
      </c>
      <c r="D115" t="s">
        <v>907</v>
      </c>
      <c r="G115" t="s">
        <v>1124</v>
      </c>
      <c r="H115" t="s">
        <v>1125</v>
      </c>
      <c r="J115" t="s">
        <v>1126</v>
      </c>
      <c r="L115">
        <v>1</v>
      </c>
      <c r="M115">
        <v>0.05</v>
      </c>
      <c r="N115" t="s">
        <v>198</v>
      </c>
      <c r="O115">
        <v>0</v>
      </c>
      <c r="P115" t="s">
        <v>198</v>
      </c>
      <c r="Q115" t="s">
        <v>199</v>
      </c>
      <c r="R115" s="3"/>
      <c r="W115" t="s">
        <v>200</v>
      </c>
      <c r="X115" s="25"/>
      <c r="Y115" s="26"/>
      <c r="Z115" s="27"/>
      <c r="AA115" t="s">
        <v>25</v>
      </c>
      <c r="AB115" t="s">
        <v>201</v>
      </c>
      <c r="AC115" s="3"/>
      <c r="AH115" t="s">
        <v>202</v>
      </c>
      <c r="AK115" t="s">
        <v>203</v>
      </c>
      <c r="AP115" t="s">
        <v>200</v>
      </c>
      <c r="AR115" s="25"/>
      <c r="AT115" s="25">
        <v>0</v>
      </c>
      <c r="AU115" s="26"/>
      <c r="AV115" s="26"/>
      <c r="AW115" s="26"/>
      <c r="AX115" s="26" t="str">
        <f t="shared" si="3"/>
        <v/>
      </c>
      <c r="AY115" t="str">
        <f t="shared" si="4"/>
        <v/>
      </c>
      <c r="AZ115" t="s">
        <v>200</v>
      </c>
      <c r="BA115" s="3"/>
      <c r="BB115" t="str">
        <f t="shared" si="5"/>
        <v>No scrap rate (No impact);</v>
      </c>
    </row>
    <row r="116" spans="1:54" x14ac:dyDescent="0.3">
      <c r="A116" t="s">
        <v>1127</v>
      </c>
      <c r="B116" t="s">
        <v>1128</v>
      </c>
      <c r="C116" t="s">
        <v>995</v>
      </c>
      <c r="D116" t="s">
        <v>996</v>
      </c>
      <c r="G116" t="s">
        <v>1024</v>
      </c>
      <c r="H116" t="s">
        <v>1025</v>
      </c>
      <c r="J116" t="s">
        <v>1026</v>
      </c>
      <c r="L116">
        <v>1</v>
      </c>
      <c r="M116">
        <v>2.8000000000000001E-2</v>
      </c>
      <c r="N116" t="s">
        <v>198</v>
      </c>
      <c r="O116">
        <v>0</v>
      </c>
      <c r="P116" t="s">
        <v>198</v>
      </c>
      <c r="Q116" t="s">
        <v>199</v>
      </c>
      <c r="R116" s="3"/>
      <c r="W116" t="s">
        <v>200</v>
      </c>
      <c r="X116" s="25"/>
      <c r="Y116" s="26"/>
      <c r="Z116" s="27"/>
      <c r="AA116" t="s">
        <v>25</v>
      </c>
      <c r="AB116" t="s">
        <v>201</v>
      </c>
      <c r="AC116" s="3"/>
      <c r="AH116" t="s">
        <v>202</v>
      </c>
      <c r="AK116" t="s">
        <v>203</v>
      </c>
      <c r="AP116" t="s">
        <v>200</v>
      </c>
      <c r="AR116" s="25"/>
      <c r="AT116" s="25">
        <v>0</v>
      </c>
      <c r="AU116" s="26"/>
      <c r="AV116" s="26"/>
      <c r="AW116" s="26"/>
      <c r="AX116" s="26" t="str">
        <f t="shared" si="3"/>
        <v/>
      </c>
      <c r="AY116" t="str">
        <f t="shared" si="4"/>
        <v/>
      </c>
      <c r="AZ116" t="s">
        <v>200</v>
      </c>
      <c r="BA116" s="3"/>
      <c r="BB116" t="str">
        <f t="shared" si="5"/>
        <v>No scrap rate (No impact);</v>
      </c>
    </row>
    <row r="117" spans="1:54" x14ac:dyDescent="0.3">
      <c r="A117" t="s">
        <v>1129</v>
      </c>
      <c r="B117" t="s">
        <v>1130</v>
      </c>
      <c r="C117" t="s">
        <v>938</v>
      </c>
      <c r="D117" t="s">
        <v>939</v>
      </c>
      <c r="G117" t="s">
        <v>1124</v>
      </c>
      <c r="H117" t="s">
        <v>1125</v>
      </c>
      <c r="L117">
        <v>1</v>
      </c>
      <c r="M117">
        <v>3.7999999999999999E-2</v>
      </c>
      <c r="N117" t="s">
        <v>198</v>
      </c>
      <c r="O117">
        <v>0</v>
      </c>
      <c r="P117" t="s">
        <v>198</v>
      </c>
      <c r="Q117" t="s">
        <v>199</v>
      </c>
      <c r="R117" s="3"/>
      <c r="W117" t="s">
        <v>200</v>
      </c>
      <c r="X117" s="25"/>
      <c r="Y117" s="26"/>
      <c r="Z117" s="27"/>
      <c r="AA117" t="s">
        <v>25</v>
      </c>
      <c r="AB117" t="s">
        <v>201</v>
      </c>
      <c r="AC117" s="3"/>
      <c r="AH117" t="s">
        <v>202</v>
      </c>
      <c r="AK117" t="s">
        <v>203</v>
      </c>
      <c r="AP117" t="s">
        <v>200</v>
      </c>
      <c r="AR117" s="25"/>
      <c r="AT117" s="25">
        <v>0</v>
      </c>
      <c r="AU117" s="26"/>
      <c r="AV117" s="26"/>
      <c r="AW117" s="26"/>
      <c r="AX117" s="26" t="str">
        <f t="shared" si="3"/>
        <v/>
      </c>
      <c r="AY117" t="str">
        <f t="shared" si="4"/>
        <v/>
      </c>
      <c r="AZ117" t="s">
        <v>200</v>
      </c>
      <c r="BA117" s="3"/>
      <c r="BB117" t="str">
        <f t="shared" si="5"/>
        <v>No scrap rate (No impact);No raw material available (High);</v>
      </c>
    </row>
    <row r="118" spans="1:54" x14ac:dyDescent="0.3">
      <c r="A118" t="s">
        <v>1131</v>
      </c>
      <c r="B118" t="s">
        <v>1132</v>
      </c>
      <c r="C118" t="s">
        <v>995</v>
      </c>
      <c r="D118" t="s">
        <v>996</v>
      </c>
      <c r="G118" t="s">
        <v>1133</v>
      </c>
      <c r="H118" t="s">
        <v>1134</v>
      </c>
      <c r="J118" t="s">
        <v>1046</v>
      </c>
      <c r="L118">
        <v>500</v>
      </c>
      <c r="M118">
        <v>8.0000000000000002E-3</v>
      </c>
      <c r="N118" t="s">
        <v>198</v>
      </c>
      <c r="O118">
        <v>0</v>
      </c>
      <c r="P118" t="s">
        <v>198</v>
      </c>
      <c r="Q118" t="s">
        <v>199</v>
      </c>
      <c r="R118" s="3"/>
      <c r="W118" t="s">
        <v>200</v>
      </c>
      <c r="X118" s="25"/>
      <c r="Y118" s="26"/>
      <c r="Z118" s="27"/>
      <c r="AA118" t="s">
        <v>25</v>
      </c>
      <c r="AB118" t="s">
        <v>201</v>
      </c>
      <c r="AC118" s="3"/>
      <c r="AH118" t="s">
        <v>202</v>
      </c>
      <c r="AK118" t="s">
        <v>203</v>
      </c>
      <c r="AP118" t="s">
        <v>200</v>
      </c>
      <c r="AR118" s="25"/>
      <c r="AT118" s="25">
        <v>0</v>
      </c>
      <c r="AU118" s="26"/>
      <c r="AV118" s="26"/>
      <c r="AW118" s="26"/>
      <c r="AX118" s="26" t="str">
        <f t="shared" si="3"/>
        <v/>
      </c>
      <c r="AY118" t="str">
        <f t="shared" si="4"/>
        <v/>
      </c>
      <c r="AZ118" t="s">
        <v>200</v>
      </c>
      <c r="BA118" s="3"/>
      <c r="BB118" t="str">
        <f t="shared" si="5"/>
        <v>No scrap rate (No impact);</v>
      </c>
    </row>
    <row r="119" spans="1:54" x14ac:dyDescent="0.3">
      <c r="A119" t="s">
        <v>1135</v>
      </c>
      <c r="B119" t="s">
        <v>1136</v>
      </c>
      <c r="C119" t="s">
        <v>913</v>
      </c>
      <c r="D119" t="s">
        <v>914</v>
      </c>
      <c r="G119" t="s">
        <v>1137</v>
      </c>
      <c r="H119" t="s">
        <v>1138</v>
      </c>
      <c r="J119" t="s">
        <v>1139</v>
      </c>
      <c r="L119">
        <v>1</v>
      </c>
      <c r="M119">
        <v>1.9E-2</v>
      </c>
      <c r="N119" t="s">
        <v>198</v>
      </c>
      <c r="O119">
        <v>0</v>
      </c>
      <c r="P119" t="s">
        <v>198</v>
      </c>
      <c r="Q119" t="s">
        <v>199</v>
      </c>
      <c r="R119" s="3"/>
      <c r="W119" t="s">
        <v>200</v>
      </c>
      <c r="X119" s="25"/>
      <c r="Y119" s="26"/>
      <c r="Z119" s="27"/>
      <c r="AA119" t="s">
        <v>25</v>
      </c>
      <c r="AB119" t="s">
        <v>201</v>
      </c>
      <c r="AC119" s="3"/>
      <c r="AH119" t="s">
        <v>202</v>
      </c>
      <c r="AK119" t="s">
        <v>203</v>
      </c>
      <c r="AP119" t="s">
        <v>200</v>
      </c>
      <c r="AR119" s="25"/>
      <c r="AT119" s="25">
        <v>0</v>
      </c>
      <c r="AU119" s="26"/>
      <c r="AV119" s="26"/>
      <c r="AW119" s="26"/>
      <c r="AX119" s="26" t="str">
        <f t="shared" si="3"/>
        <v/>
      </c>
      <c r="AY119" t="str">
        <f t="shared" si="4"/>
        <v/>
      </c>
      <c r="AZ119" t="s">
        <v>200</v>
      </c>
      <c r="BA119" s="3"/>
      <c r="BB119" t="str">
        <f t="shared" si="5"/>
        <v>No scrap rate (No impact);</v>
      </c>
    </row>
    <row r="120" spans="1:54" x14ac:dyDescent="0.3">
      <c r="A120" t="s">
        <v>1140</v>
      </c>
      <c r="B120" t="s">
        <v>1141</v>
      </c>
      <c r="C120" t="s">
        <v>995</v>
      </c>
      <c r="D120" t="s">
        <v>996</v>
      </c>
      <c r="G120" t="s">
        <v>1142</v>
      </c>
      <c r="H120" t="s">
        <v>1143</v>
      </c>
      <c r="J120" t="s">
        <v>1144</v>
      </c>
      <c r="L120">
        <v>1</v>
      </c>
      <c r="M120">
        <v>5.5E-2</v>
      </c>
      <c r="N120" t="s">
        <v>198</v>
      </c>
      <c r="O120">
        <v>5.5E-2</v>
      </c>
      <c r="P120" t="s">
        <v>198</v>
      </c>
      <c r="Q120" t="s">
        <v>199</v>
      </c>
      <c r="R120" s="3"/>
      <c r="W120" t="s">
        <v>200</v>
      </c>
      <c r="X120" s="25"/>
      <c r="Y120" s="26"/>
      <c r="Z120" s="27"/>
      <c r="AA120" t="s">
        <v>25</v>
      </c>
      <c r="AB120" t="s">
        <v>201</v>
      </c>
      <c r="AC120" s="3"/>
      <c r="AH120" t="s">
        <v>202</v>
      </c>
      <c r="AK120" t="s">
        <v>203</v>
      </c>
      <c r="AP120" t="s">
        <v>200</v>
      </c>
      <c r="AR120" s="25"/>
      <c r="AT120" s="25">
        <v>0</v>
      </c>
      <c r="AU120" s="26"/>
      <c r="AV120" s="26"/>
      <c r="AW120" s="26"/>
      <c r="AX120" s="26" t="str">
        <f t="shared" si="3"/>
        <v/>
      </c>
      <c r="AY120" t="str">
        <f t="shared" si="4"/>
        <v/>
      </c>
      <c r="AZ120" t="s">
        <v>200</v>
      </c>
      <c r="BA120" s="3"/>
      <c r="BB120" t="str">
        <f t="shared" si="5"/>
        <v>No scrap rate (No impact);</v>
      </c>
    </row>
    <row r="121" spans="1:54" x14ac:dyDescent="0.3">
      <c r="A121" t="s">
        <v>1145</v>
      </c>
      <c r="B121" t="s">
        <v>1146</v>
      </c>
      <c r="C121" t="s">
        <v>995</v>
      </c>
      <c r="D121" t="s">
        <v>996</v>
      </c>
      <c r="G121" t="s">
        <v>1142</v>
      </c>
      <c r="H121" t="s">
        <v>1143</v>
      </c>
      <c r="L121">
        <v>1</v>
      </c>
      <c r="M121">
        <v>1.4999999999999999E-2</v>
      </c>
      <c r="N121" t="s">
        <v>198</v>
      </c>
      <c r="O121">
        <v>0</v>
      </c>
      <c r="P121" t="s">
        <v>198</v>
      </c>
      <c r="Q121" t="s">
        <v>199</v>
      </c>
      <c r="R121" s="3"/>
      <c r="W121" t="s">
        <v>200</v>
      </c>
      <c r="X121" s="25"/>
      <c r="Y121" s="26"/>
      <c r="Z121" s="27"/>
      <c r="AA121" t="s">
        <v>25</v>
      </c>
      <c r="AB121" t="s">
        <v>201</v>
      </c>
      <c r="AC121" s="3"/>
      <c r="AH121" t="s">
        <v>202</v>
      </c>
      <c r="AK121" t="s">
        <v>203</v>
      </c>
      <c r="AP121" t="s">
        <v>200</v>
      </c>
      <c r="AR121" s="25"/>
      <c r="AT121" s="25">
        <v>0</v>
      </c>
      <c r="AU121" s="26"/>
      <c r="AV121" s="26"/>
      <c r="AW121" s="26"/>
      <c r="AX121" s="26" t="str">
        <f t="shared" si="3"/>
        <v/>
      </c>
      <c r="AY121" t="str">
        <f t="shared" si="4"/>
        <v/>
      </c>
      <c r="AZ121" t="s">
        <v>200</v>
      </c>
      <c r="BA121" s="3"/>
      <c r="BB121" t="str">
        <f t="shared" si="5"/>
        <v>No scrap rate (No impact);No raw material available (High);</v>
      </c>
    </row>
    <row r="122" spans="1:54" x14ac:dyDescent="0.3">
      <c r="A122" t="s">
        <v>1147</v>
      </c>
      <c r="B122" t="s">
        <v>1148</v>
      </c>
      <c r="C122" t="s">
        <v>913</v>
      </c>
      <c r="D122" t="s">
        <v>914</v>
      </c>
      <c r="G122" t="s">
        <v>517</v>
      </c>
      <c r="H122" t="s">
        <v>518</v>
      </c>
      <c r="L122">
        <v>0</v>
      </c>
      <c r="M122">
        <v>0.3</v>
      </c>
      <c r="N122" t="s">
        <v>198</v>
      </c>
      <c r="O122">
        <v>0</v>
      </c>
      <c r="P122" t="s">
        <v>198</v>
      </c>
      <c r="Q122" t="s">
        <v>199</v>
      </c>
      <c r="R122" s="3"/>
      <c r="W122" t="s">
        <v>200</v>
      </c>
      <c r="X122" s="25"/>
      <c r="Y122" s="26"/>
      <c r="Z122" s="27"/>
      <c r="AA122" t="s">
        <v>25</v>
      </c>
      <c r="AB122" t="s">
        <v>201</v>
      </c>
      <c r="AC122" s="3"/>
      <c r="AH122" t="s">
        <v>202</v>
      </c>
      <c r="AK122" t="s">
        <v>203</v>
      </c>
      <c r="AP122" t="s">
        <v>200</v>
      </c>
      <c r="AR122" s="25"/>
      <c r="AT122" s="25">
        <v>0</v>
      </c>
      <c r="AU122" s="26"/>
      <c r="AV122" s="26"/>
      <c r="AW122" s="26"/>
      <c r="AX122" s="26" t="str">
        <f t="shared" si="3"/>
        <v/>
      </c>
      <c r="AY122" t="str">
        <f t="shared" si="4"/>
        <v/>
      </c>
      <c r="AZ122" t="s">
        <v>200</v>
      </c>
      <c r="BA122" s="3"/>
      <c r="BB122" t="str">
        <f t="shared" si="5"/>
        <v>No scrap rate (No impact);No raw material available (High);</v>
      </c>
    </row>
    <row r="123" spans="1:54" x14ac:dyDescent="0.3">
      <c r="A123" t="s">
        <v>1149</v>
      </c>
      <c r="B123" t="s">
        <v>1150</v>
      </c>
      <c r="C123" t="s">
        <v>913</v>
      </c>
      <c r="D123" t="s">
        <v>914</v>
      </c>
      <c r="G123" t="s">
        <v>1151</v>
      </c>
      <c r="H123" t="s">
        <v>1152</v>
      </c>
      <c r="J123" t="s">
        <v>1046</v>
      </c>
      <c r="L123">
        <v>1</v>
      </c>
      <c r="M123">
        <v>8.0000000000000002E-3</v>
      </c>
      <c r="N123" t="s">
        <v>198</v>
      </c>
      <c r="O123">
        <v>8.0000000000000002E-3</v>
      </c>
      <c r="P123" t="s">
        <v>198</v>
      </c>
      <c r="Q123" t="s">
        <v>199</v>
      </c>
      <c r="R123" s="3"/>
      <c r="W123" t="s">
        <v>200</v>
      </c>
      <c r="X123" s="25"/>
      <c r="Y123" s="26"/>
      <c r="Z123" s="27"/>
      <c r="AA123" t="s">
        <v>25</v>
      </c>
      <c r="AB123" t="s">
        <v>201</v>
      </c>
      <c r="AC123" s="3"/>
      <c r="AH123" t="s">
        <v>202</v>
      </c>
      <c r="AK123" t="s">
        <v>203</v>
      </c>
      <c r="AP123" t="s">
        <v>200</v>
      </c>
      <c r="AR123" s="25"/>
      <c r="AT123" s="25">
        <v>0</v>
      </c>
      <c r="AU123" s="26"/>
      <c r="AV123" s="26"/>
      <c r="AW123" s="26"/>
      <c r="AX123" s="26" t="str">
        <f t="shared" si="3"/>
        <v/>
      </c>
      <c r="AY123" t="str">
        <f t="shared" si="4"/>
        <v/>
      </c>
      <c r="AZ123" t="s">
        <v>200</v>
      </c>
      <c r="BA123" s="3"/>
      <c r="BB123" t="str">
        <f t="shared" si="5"/>
        <v>No scrap rate (No impact);</v>
      </c>
    </row>
    <row r="124" spans="1:54" x14ac:dyDescent="0.3">
      <c r="A124" t="s">
        <v>1153</v>
      </c>
      <c r="B124" t="s">
        <v>1154</v>
      </c>
      <c r="C124" t="s">
        <v>906</v>
      </c>
      <c r="D124" t="s">
        <v>907</v>
      </c>
      <c r="G124" t="s">
        <v>1155</v>
      </c>
      <c r="H124" t="s">
        <v>1156</v>
      </c>
      <c r="J124" t="s">
        <v>910</v>
      </c>
      <c r="L124">
        <v>1</v>
      </c>
      <c r="M124">
        <v>2.7E-2</v>
      </c>
      <c r="N124" t="s">
        <v>198</v>
      </c>
      <c r="O124">
        <v>2.7E-2</v>
      </c>
      <c r="P124" t="s">
        <v>198</v>
      </c>
      <c r="Q124" t="s">
        <v>199</v>
      </c>
      <c r="R124" s="3"/>
      <c r="W124" t="s">
        <v>200</v>
      </c>
      <c r="X124" s="25"/>
      <c r="Y124" s="26"/>
      <c r="Z124" s="27"/>
      <c r="AA124" t="s">
        <v>25</v>
      </c>
      <c r="AB124" t="s">
        <v>201</v>
      </c>
      <c r="AC124" s="3"/>
      <c r="AH124" t="s">
        <v>202</v>
      </c>
      <c r="AK124" t="s">
        <v>203</v>
      </c>
      <c r="AP124" t="s">
        <v>200</v>
      </c>
      <c r="AR124" s="25"/>
      <c r="AT124" s="25">
        <v>0</v>
      </c>
      <c r="AU124" s="26"/>
      <c r="AV124" s="26"/>
      <c r="AW124" s="26"/>
      <c r="AX124" s="26" t="str">
        <f t="shared" si="3"/>
        <v/>
      </c>
      <c r="AY124" t="str">
        <f t="shared" si="4"/>
        <v/>
      </c>
      <c r="AZ124" t="s">
        <v>200</v>
      </c>
      <c r="BA124" s="3"/>
      <c r="BB124" t="str">
        <f t="shared" si="5"/>
        <v>No scrap rate (No impact);</v>
      </c>
    </row>
    <row r="125" spans="1:54" x14ac:dyDescent="0.3">
      <c r="A125" t="s">
        <v>1157</v>
      </c>
      <c r="B125" t="s">
        <v>1158</v>
      </c>
      <c r="C125" t="s">
        <v>906</v>
      </c>
      <c r="D125" t="s">
        <v>907</v>
      </c>
      <c r="G125" t="s">
        <v>1159</v>
      </c>
      <c r="H125" t="s">
        <v>1160</v>
      </c>
      <c r="J125" t="s">
        <v>1126</v>
      </c>
      <c r="L125">
        <v>1</v>
      </c>
      <c r="M125">
        <v>6.3E-2</v>
      </c>
      <c r="N125" t="s">
        <v>198</v>
      </c>
      <c r="O125">
        <v>0</v>
      </c>
      <c r="P125" t="s">
        <v>198</v>
      </c>
      <c r="Q125" t="s">
        <v>199</v>
      </c>
      <c r="R125" s="3"/>
      <c r="W125" t="s">
        <v>200</v>
      </c>
      <c r="X125" s="25"/>
      <c r="Y125" s="26"/>
      <c r="Z125" s="27"/>
      <c r="AA125" t="s">
        <v>25</v>
      </c>
      <c r="AB125" t="s">
        <v>201</v>
      </c>
      <c r="AC125" s="3"/>
      <c r="AH125" t="s">
        <v>202</v>
      </c>
      <c r="AK125" t="s">
        <v>203</v>
      </c>
      <c r="AP125" t="s">
        <v>200</v>
      </c>
      <c r="AR125" s="25"/>
      <c r="AT125" s="25">
        <v>0</v>
      </c>
      <c r="AU125" s="26"/>
      <c r="AV125" s="26"/>
      <c r="AW125" s="26"/>
      <c r="AX125" s="26" t="str">
        <f t="shared" si="3"/>
        <v/>
      </c>
      <c r="AY125" t="str">
        <f t="shared" si="4"/>
        <v/>
      </c>
      <c r="AZ125" t="s">
        <v>200</v>
      </c>
      <c r="BA125" s="3"/>
      <c r="BB125" t="str">
        <f t="shared" si="5"/>
        <v>No scrap rate (No impact);</v>
      </c>
    </row>
    <row r="126" spans="1:54" x14ac:dyDescent="0.3">
      <c r="A126" t="s">
        <v>1161</v>
      </c>
      <c r="B126" t="s">
        <v>1162</v>
      </c>
      <c r="C126" t="s">
        <v>906</v>
      </c>
      <c r="D126" t="s">
        <v>907</v>
      </c>
      <c r="G126" t="s">
        <v>1159</v>
      </c>
      <c r="H126" t="s">
        <v>1160</v>
      </c>
      <c r="J126" t="s">
        <v>1126</v>
      </c>
      <c r="L126">
        <v>1</v>
      </c>
      <c r="M126">
        <v>4.2000000000000003E-2</v>
      </c>
      <c r="N126" t="s">
        <v>198</v>
      </c>
      <c r="O126">
        <v>0</v>
      </c>
      <c r="P126" t="s">
        <v>198</v>
      </c>
      <c r="Q126" t="s">
        <v>199</v>
      </c>
      <c r="R126" s="3"/>
      <c r="W126" t="s">
        <v>200</v>
      </c>
      <c r="X126" s="25"/>
      <c r="Y126" s="26"/>
      <c r="Z126" s="27"/>
      <c r="AA126" t="s">
        <v>25</v>
      </c>
      <c r="AB126" t="s">
        <v>201</v>
      </c>
      <c r="AC126" s="3"/>
      <c r="AH126" t="s">
        <v>202</v>
      </c>
      <c r="AK126" t="s">
        <v>203</v>
      </c>
      <c r="AP126" t="s">
        <v>200</v>
      </c>
      <c r="AR126" s="25"/>
      <c r="AT126" s="25">
        <v>0</v>
      </c>
      <c r="AU126" s="26"/>
      <c r="AV126" s="26"/>
      <c r="AW126" s="26"/>
      <c r="AX126" s="26" t="str">
        <f t="shared" si="3"/>
        <v/>
      </c>
      <c r="AY126" t="str">
        <f t="shared" si="4"/>
        <v/>
      </c>
      <c r="AZ126" t="s">
        <v>200</v>
      </c>
      <c r="BA126" s="3"/>
      <c r="BB126" t="str">
        <f t="shared" si="5"/>
        <v>No scrap rate (No impact);</v>
      </c>
    </row>
    <row r="127" spans="1:54" x14ac:dyDescent="0.3">
      <c r="A127" t="s">
        <v>1163</v>
      </c>
      <c r="B127" t="s">
        <v>1164</v>
      </c>
      <c r="C127" t="s">
        <v>995</v>
      </c>
      <c r="D127" t="s">
        <v>996</v>
      </c>
      <c r="G127" t="s">
        <v>1151</v>
      </c>
      <c r="H127" t="s">
        <v>1152</v>
      </c>
      <c r="J127" t="s">
        <v>1046</v>
      </c>
      <c r="L127">
        <v>1</v>
      </c>
      <c r="M127">
        <v>2.1000000000000001E-2</v>
      </c>
      <c r="N127" t="s">
        <v>198</v>
      </c>
      <c r="O127">
        <v>0</v>
      </c>
      <c r="P127" t="s">
        <v>198</v>
      </c>
      <c r="Q127" t="s">
        <v>199</v>
      </c>
      <c r="R127" s="3"/>
      <c r="W127" t="s">
        <v>200</v>
      </c>
      <c r="X127" s="25"/>
      <c r="Y127" s="26"/>
      <c r="Z127" s="27"/>
      <c r="AA127" t="s">
        <v>25</v>
      </c>
      <c r="AB127" t="s">
        <v>201</v>
      </c>
      <c r="AC127" s="3"/>
      <c r="AH127" t="s">
        <v>202</v>
      </c>
      <c r="AK127" t="s">
        <v>203</v>
      </c>
      <c r="AP127" t="s">
        <v>200</v>
      </c>
      <c r="AR127" s="25"/>
      <c r="AT127" s="25">
        <v>0</v>
      </c>
      <c r="AU127" s="26"/>
      <c r="AV127" s="26"/>
      <c r="AW127" s="26"/>
      <c r="AX127" s="26" t="str">
        <f t="shared" si="3"/>
        <v/>
      </c>
      <c r="AY127" t="str">
        <f t="shared" si="4"/>
        <v/>
      </c>
      <c r="AZ127" t="s">
        <v>200</v>
      </c>
      <c r="BA127" s="3"/>
      <c r="BB127" t="str">
        <f t="shared" si="5"/>
        <v>No scrap rate (No impact);</v>
      </c>
    </row>
    <row r="128" spans="1:54" x14ac:dyDescent="0.3">
      <c r="A128" t="s">
        <v>1165</v>
      </c>
      <c r="B128" t="s">
        <v>1166</v>
      </c>
      <c r="C128" t="s">
        <v>946</v>
      </c>
      <c r="D128" t="s">
        <v>947</v>
      </c>
      <c r="G128" t="s">
        <v>1070</v>
      </c>
      <c r="H128" t="s">
        <v>1071</v>
      </c>
      <c r="L128">
        <v>1</v>
      </c>
      <c r="M128">
        <v>0.26300000000000001</v>
      </c>
      <c r="N128" t="s">
        <v>198</v>
      </c>
      <c r="O128">
        <v>0.26300000000000001</v>
      </c>
      <c r="P128" t="s">
        <v>198</v>
      </c>
      <c r="Q128" t="s">
        <v>199</v>
      </c>
      <c r="R128" s="3"/>
      <c r="W128" t="s">
        <v>200</v>
      </c>
      <c r="X128" s="25"/>
      <c r="Y128" s="26"/>
      <c r="Z128" s="27"/>
      <c r="AA128" t="s">
        <v>25</v>
      </c>
      <c r="AB128" t="s">
        <v>201</v>
      </c>
      <c r="AC128" s="3"/>
      <c r="AH128" t="s">
        <v>202</v>
      </c>
      <c r="AK128" t="s">
        <v>203</v>
      </c>
      <c r="AP128" t="s">
        <v>200</v>
      </c>
      <c r="AR128" s="25"/>
      <c r="AT128" s="25">
        <v>0</v>
      </c>
      <c r="AU128" s="26"/>
      <c r="AV128" s="26"/>
      <c r="AW128" s="26"/>
      <c r="AX128" s="26" t="str">
        <f t="shared" si="3"/>
        <v/>
      </c>
      <c r="AY128" t="str">
        <f t="shared" si="4"/>
        <v/>
      </c>
      <c r="AZ128" t="s">
        <v>200</v>
      </c>
      <c r="BA128" s="3"/>
      <c r="BB128" t="str">
        <f t="shared" si="5"/>
        <v>No scrap rate (No impact);No raw material available (High);</v>
      </c>
    </row>
    <row r="129" spans="1:54" x14ac:dyDescent="0.3">
      <c r="A129" t="s">
        <v>1167</v>
      </c>
      <c r="B129" t="s">
        <v>1168</v>
      </c>
      <c r="C129" t="s">
        <v>946</v>
      </c>
      <c r="D129" t="s">
        <v>947</v>
      </c>
      <c r="G129" t="s">
        <v>1070</v>
      </c>
      <c r="H129" t="s">
        <v>1071</v>
      </c>
      <c r="J129" t="s">
        <v>926</v>
      </c>
      <c r="L129">
        <v>1</v>
      </c>
      <c r="M129">
        <v>0.63600000000000001</v>
      </c>
      <c r="N129" t="s">
        <v>198</v>
      </c>
      <c r="O129">
        <v>0.63600000000000001</v>
      </c>
      <c r="P129" t="s">
        <v>198</v>
      </c>
      <c r="Q129" t="s">
        <v>199</v>
      </c>
      <c r="R129" s="3"/>
      <c r="W129" t="s">
        <v>200</v>
      </c>
      <c r="X129" s="25"/>
      <c r="Y129" s="26"/>
      <c r="Z129" s="27"/>
      <c r="AA129" t="s">
        <v>25</v>
      </c>
      <c r="AB129" t="s">
        <v>201</v>
      </c>
      <c r="AC129" s="3"/>
      <c r="AH129" t="s">
        <v>202</v>
      </c>
      <c r="AK129" t="s">
        <v>203</v>
      </c>
      <c r="AP129" t="s">
        <v>200</v>
      </c>
      <c r="AR129" s="25"/>
      <c r="AT129" s="25">
        <v>0</v>
      </c>
      <c r="AU129" s="26"/>
      <c r="AV129" s="26"/>
      <c r="AW129" s="26"/>
      <c r="AX129" s="26" t="str">
        <f t="shared" si="3"/>
        <v/>
      </c>
      <c r="AY129" t="str">
        <f t="shared" si="4"/>
        <v/>
      </c>
      <c r="AZ129" t="s">
        <v>200</v>
      </c>
      <c r="BA129" s="3"/>
      <c r="BB129" t="str">
        <f t="shared" si="5"/>
        <v>No scrap rate (No impact);</v>
      </c>
    </row>
    <row r="130" spans="1:54" x14ac:dyDescent="0.3">
      <c r="A130" t="s">
        <v>1169</v>
      </c>
      <c r="B130" t="s">
        <v>1170</v>
      </c>
      <c r="C130" t="s">
        <v>1171</v>
      </c>
      <c r="D130" t="s">
        <v>1172</v>
      </c>
      <c r="J130" t="s">
        <v>1173</v>
      </c>
      <c r="L130">
        <v>0</v>
      </c>
      <c r="M130">
        <v>8.9999999999999993E-3</v>
      </c>
      <c r="N130" t="s">
        <v>198</v>
      </c>
      <c r="O130">
        <v>0</v>
      </c>
      <c r="P130" t="s">
        <v>198</v>
      </c>
      <c r="Q130" t="s">
        <v>199</v>
      </c>
      <c r="R130" s="3"/>
      <c r="W130" t="s">
        <v>200</v>
      </c>
      <c r="X130" s="25"/>
      <c r="Y130" s="26"/>
      <c r="Z130" s="27"/>
      <c r="AA130" t="s">
        <v>25</v>
      </c>
      <c r="AB130" t="s">
        <v>201</v>
      </c>
      <c r="AC130" s="3"/>
      <c r="AH130" t="s">
        <v>202</v>
      </c>
      <c r="AK130" t="s">
        <v>203</v>
      </c>
      <c r="AP130" t="s">
        <v>200</v>
      </c>
      <c r="AR130" s="25"/>
      <c r="AT130" s="25">
        <v>0</v>
      </c>
      <c r="AU130" s="26"/>
      <c r="AV130" s="26"/>
      <c r="AW130" s="26"/>
      <c r="AX130" s="26" t="str">
        <f t="shared" si="3"/>
        <v/>
      </c>
      <c r="AY130" t="str">
        <f t="shared" si="4"/>
        <v/>
      </c>
      <c r="AZ130" t="s">
        <v>200</v>
      </c>
      <c r="BA130" s="3"/>
      <c r="BB130" t="str">
        <f t="shared" si="5"/>
        <v>Supplier code empty (High);No scrap rate (No impact);</v>
      </c>
    </row>
    <row r="131" spans="1:54" x14ac:dyDescent="0.3">
      <c r="A131" t="s">
        <v>1174</v>
      </c>
      <c r="B131" t="s">
        <v>1175</v>
      </c>
      <c r="C131" t="s">
        <v>1171</v>
      </c>
      <c r="D131" t="s">
        <v>1172</v>
      </c>
      <c r="J131" t="s">
        <v>1173</v>
      </c>
      <c r="L131">
        <v>0</v>
      </c>
      <c r="M131">
        <v>5.0000000000000001E-3</v>
      </c>
      <c r="N131" t="s">
        <v>198</v>
      </c>
      <c r="O131">
        <v>0</v>
      </c>
      <c r="P131" t="s">
        <v>198</v>
      </c>
      <c r="Q131" t="s">
        <v>199</v>
      </c>
      <c r="R131" s="3"/>
      <c r="W131" t="s">
        <v>200</v>
      </c>
      <c r="X131" s="25"/>
      <c r="Y131" s="26"/>
      <c r="Z131" s="27"/>
      <c r="AA131" t="s">
        <v>25</v>
      </c>
      <c r="AB131" t="s">
        <v>201</v>
      </c>
      <c r="AC131" s="3"/>
      <c r="AH131" t="s">
        <v>202</v>
      </c>
      <c r="AK131" t="s">
        <v>203</v>
      </c>
      <c r="AP131" t="s">
        <v>200</v>
      </c>
      <c r="AR131" s="25"/>
      <c r="AT131" s="25">
        <v>0</v>
      </c>
      <c r="AU131" s="26"/>
      <c r="AV131" s="26"/>
      <c r="AW131" s="26"/>
      <c r="AX131" s="26" t="str">
        <f t="shared" ref="AX131:AX194" si="6">IF(COUNT(AU131,AV131,AW131)=0,"",ROUND(AVERAGE(AU131,AV131,AW131),3))</f>
        <v/>
      </c>
      <c r="AY131" t="str">
        <f t="shared" ref="AY131:AY194" si="7">IF(AO131="","",ROUND(AO131*IF(M131="",0,M131)*(1+IF(AR131="",0,AR131)),5))</f>
        <v/>
      </c>
      <c r="AZ131" t="s">
        <v>200</v>
      </c>
      <c r="BA131" s="3"/>
      <c r="BB131" t="str">
        <f t="shared" ref="BB131:BB194" si="8">IF(AND(A131&lt;&gt;"",G131=""),"Supplier code empty (High);","")&amp;IF(AND(X131&lt;&gt;"",OR(X131&gt;1,X131&lt;0)),"Incorrect PDS value (High);",IF(AND(X131&lt;&gt;"",X131&gt;0.5),"High PDS value (Medium);",""))&amp;IF(AND(Y131&lt;&gt;"",OR(Y131&gt;5,Y131&lt;1)),"Incorrect DQR value (High);",IF(AND(Y131&lt;&gt;"",Y131&gt;4),"Incorrect DQR value (Medium);",IF(AND(Y131&lt;&gt;"",Y131&gt;3),"Incorrect DQR value (Low);","")))&amp;IF(AND(V131&lt;&gt;"",OR(V131&lt;=0,V131&gt;100)),"Unusual PCF value might be wrong (High);","")&amp;IF(AND(AT131&lt;&gt;"",OR(AT131&gt;1,AT131&lt;0)),"Incorrect PDS value (High);",IF(AND(AT131&lt;&gt;"",AT131&gt;0.5),"High PDS value (Medium);",""))&amp;IF(AND(AX131&lt;&gt;"",OR(AX131&gt;5,AX131&lt;1)),"Incorrect DQR value (High);",IF(AND(AX131&lt;&gt;"",AX131&gt;4),"Incorrect DQR value (Medium);",IF(AND(AX131&lt;&gt;"",AX131&gt;3),"Incorrect DQR value (Low);","")))&amp;IF(AND(AR131&lt;&gt;"",OR(AR131&gt;1,AR131&lt;0)),"Incorrect scrap rate (High);",IF(AND(A131&lt;&gt;"",AR131=0),"No scrap rate (No impact);",""))&amp;IF(AND(A131&lt;&gt;"",I131="",J131="",K131=""),"No raw material available (High);","")&amp;""</f>
        <v>Supplier code empty (High);No scrap rate (No impact);</v>
      </c>
    </row>
    <row r="132" spans="1:54" x14ac:dyDescent="0.3">
      <c r="A132" t="s">
        <v>1176</v>
      </c>
      <c r="B132" t="s">
        <v>1177</v>
      </c>
      <c r="C132" t="s">
        <v>946</v>
      </c>
      <c r="D132" t="s">
        <v>947</v>
      </c>
      <c r="L132">
        <v>0</v>
      </c>
      <c r="M132">
        <v>0.253</v>
      </c>
      <c r="N132" t="s">
        <v>198</v>
      </c>
      <c r="O132">
        <v>0.253</v>
      </c>
      <c r="P132" t="s">
        <v>198</v>
      </c>
      <c r="Q132" t="s">
        <v>199</v>
      </c>
      <c r="R132" s="3"/>
      <c r="W132" t="s">
        <v>200</v>
      </c>
      <c r="X132" s="25"/>
      <c r="Y132" s="26"/>
      <c r="Z132" s="27"/>
      <c r="AA132" t="s">
        <v>25</v>
      </c>
      <c r="AB132" t="s">
        <v>201</v>
      </c>
      <c r="AC132" s="3"/>
      <c r="AH132" t="s">
        <v>202</v>
      </c>
      <c r="AK132" t="s">
        <v>203</v>
      </c>
      <c r="AP132" t="s">
        <v>200</v>
      </c>
      <c r="AR132" s="25"/>
      <c r="AT132" s="25">
        <v>0</v>
      </c>
      <c r="AU132" s="26"/>
      <c r="AV132" s="26"/>
      <c r="AW132" s="26"/>
      <c r="AX132" s="26" t="str">
        <f t="shared" si="6"/>
        <v/>
      </c>
      <c r="AY132" t="str">
        <f t="shared" si="7"/>
        <v/>
      </c>
      <c r="AZ132" t="s">
        <v>200</v>
      </c>
      <c r="BA132" s="3"/>
      <c r="BB132" t="str">
        <f t="shared" si="8"/>
        <v>Supplier code empty (High);No scrap rate (No impact);No raw material available (High);</v>
      </c>
    </row>
    <row r="133" spans="1:54" x14ac:dyDescent="0.3">
      <c r="A133" t="s">
        <v>1178</v>
      </c>
      <c r="B133" t="s">
        <v>1179</v>
      </c>
      <c r="C133" t="s">
        <v>938</v>
      </c>
      <c r="D133" t="s">
        <v>939</v>
      </c>
      <c r="L133">
        <v>0</v>
      </c>
      <c r="M133">
        <v>0</v>
      </c>
      <c r="N133" t="s">
        <v>198</v>
      </c>
      <c r="O133">
        <v>0</v>
      </c>
      <c r="P133" t="s">
        <v>198</v>
      </c>
      <c r="Q133" t="s">
        <v>199</v>
      </c>
      <c r="R133" s="3"/>
      <c r="W133" t="s">
        <v>200</v>
      </c>
      <c r="X133" s="25"/>
      <c r="Y133" s="26"/>
      <c r="Z133" s="27"/>
      <c r="AA133" t="s">
        <v>25</v>
      </c>
      <c r="AB133" t="s">
        <v>201</v>
      </c>
      <c r="AC133" s="3"/>
      <c r="AH133" t="s">
        <v>202</v>
      </c>
      <c r="AK133" t="s">
        <v>203</v>
      </c>
      <c r="AP133" t="s">
        <v>200</v>
      </c>
      <c r="AR133" s="25"/>
      <c r="AT133" s="25">
        <v>0</v>
      </c>
      <c r="AU133" s="26"/>
      <c r="AV133" s="26"/>
      <c r="AW133" s="26"/>
      <c r="AX133" s="26" t="str">
        <f t="shared" si="6"/>
        <v/>
      </c>
      <c r="AY133" t="str">
        <f t="shared" si="7"/>
        <v/>
      </c>
      <c r="AZ133" t="s">
        <v>200</v>
      </c>
      <c r="BA133" s="3"/>
      <c r="BB133" t="str">
        <f t="shared" si="8"/>
        <v>Supplier code empty (High);No scrap rate (No impact);No raw material available (High);</v>
      </c>
    </row>
    <row r="134" spans="1:54" x14ac:dyDescent="0.3">
      <c r="A134" t="s">
        <v>1180</v>
      </c>
      <c r="B134" t="s">
        <v>1181</v>
      </c>
      <c r="C134" t="s">
        <v>906</v>
      </c>
      <c r="D134" t="s">
        <v>907</v>
      </c>
      <c r="G134" t="s">
        <v>1014</v>
      </c>
      <c r="H134" t="s">
        <v>1015</v>
      </c>
      <c r="J134" t="s">
        <v>910</v>
      </c>
      <c r="L134">
        <v>1</v>
      </c>
      <c r="M134">
        <v>6.2E-2</v>
      </c>
      <c r="N134" t="s">
        <v>198</v>
      </c>
      <c r="O134">
        <v>6.2E-2</v>
      </c>
      <c r="P134" t="s">
        <v>198</v>
      </c>
      <c r="Q134" t="s">
        <v>199</v>
      </c>
      <c r="R134" s="3"/>
      <c r="W134" t="s">
        <v>200</v>
      </c>
      <c r="X134" s="25"/>
      <c r="Y134" s="26"/>
      <c r="Z134" s="27"/>
      <c r="AA134" t="s">
        <v>25</v>
      </c>
      <c r="AB134" t="s">
        <v>201</v>
      </c>
      <c r="AC134" s="3"/>
      <c r="AH134" t="s">
        <v>202</v>
      </c>
      <c r="AK134" t="s">
        <v>203</v>
      </c>
      <c r="AP134" t="s">
        <v>200</v>
      </c>
      <c r="AR134" s="25"/>
      <c r="AT134" s="25">
        <v>0</v>
      </c>
      <c r="AU134" s="26"/>
      <c r="AV134" s="26"/>
      <c r="AW134" s="26"/>
      <c r="AX134" s="26" t="str">
        <f t="shared" si="6"/>
        <v/>
      </c>
      <c r="AY134" t="str">
        <f t="shared" si="7"/>
        <v/>
      </c>
      <c r="AZ134" t="s">
        <v>200</v>
      </c>
      <c r="BA134" s="3"/>
      <c r="BB134" t="str">
        <f t="shared" si="8"/>
        <v>No scrap rate (No impact);</v>
      </c>
    </row>
    <row r="135" spans="1:54" x14ac:dyDescent="0.3">
      <c r="A135" t="s">
        <v>1182</v>
      </c>
      <c r="B135" t="s">
        <v>1183</v>
      </c>
      <c r="C135" t="s">
        <v>995</v>
      </c>
      <c r="D135" t="s">
        <v>996</v>
      </c>
      <c r="G135" t="s">
        <v>1044</v>
      </c>
      <c r="H135" t="s">
        <v>1045</v>
      </c>
      <c r="J135" t="s">
        <v>1046</v>
      </c>
      <c r="L135">
        <v>800</v>
      </c>
      <c r="M135">
        <v>8.0000000000000002E-3</v>
      </c>
      <c r="N135" t="s">
        <v>198</v>
      </c>
      <c r="O135">
        <v>8.0000000000000002E-3</v>
      </c>
      <c r="P135" t="s">
        <v>198</v>
      </c>
      <c r="Q135" t="s">
        <v>199</v>
      </c>
      <c r="R135" s="3"/>
      <c r="W135" t="s">
        <v>200</v>
      </c>
      <c r="X135" s="25"/>
      <c r="Y135" s="26"/>
      <c r="Z135" s="27"/>
      <c r="AA135" t="s">
        <v>25</v>
      </c>
      <c r="AB135" t="s">
        <v>201</v>
      </c>
      <c r="AC135" s="3"/>
      <c r="AH135" t="s">
        <v>202</v>
      </c>
      <c r="AK135" t="s">
        <v>203</v>
      </c>
      <c r="AP135" t="s">
        <v>200</v>
      </c>
      <c r="AR135" s="25"/>
      <c r="AT135" s="25">
        <v>0</v>
      </c>
      <c r="AU135" s="26"/>
      <c r="AV135" s="26"/>
      <c r="AW135" s="26"/>
      <c r="AX135" s="26" t="str">
        <f t="shared" si="6"/>
        <v/>
      </c>
      <c r="AY135" t="str">
        <f t="shared" si="7"/>
        <v/>
      </c>
      <c r="AZ135" t="s">
        <v>200</v>
      </c>
      <c r="BA135" s="3"/>
      <c r="BB135" t="str">
        <f t="shared" si="8"/>
        <v>No scrap rate (No impact);</v>
      </c>
    </row>
    <row r="136" spans="1:54" x14ac:dyDescent="0.3">
      <c r="A136" t="s">
        <v>1184</v>
      </c>
      <c r="B136" t="s">
        <v>1185</v>
      </c>
      <c r="C136" t="s">
        <v>747</v>
      </c>
      <c r="D136" t="s">
        <v>748</v>
      </c>
      <c r="L136">
        <v>0</v>
      </c>
      <c r="M136">
        <v>0.3</v>
      </c>
      <c r="N136" t="s">
        <v>198</v>
      </c>
      <c r="O136">
        <v>0.3</v>
      </c>
      <c r="P136" t="s">
        <v>198</v>
      </c>
      <c r="Q136" t="s">
        <v>199</v>
      </c>
      <c r="R136" s="3"/>
      <c r="W136" t="s">
        <v>200</v>
      </c>
      <c r="X136" s="25"/>
      <c r="Y136" s="26"/>
      <c r="Z136" s="27"/>
      <c r="AA136" t="s">
        <v>25</v>
      </c>
      <c r="AB136" t="s">
        <v>201</v>
      </c>
      <c r="AC136" s="3"/>
      <c r="AH136" t="s">
        <v>202</v>
      </c>
      <c r="AK136" t="s">
        <v>203</v>
      </c>
      <c r="AP136" t="s">
        <v>200</v>
      </c>
      <c r="AR136" s="25"/>
      <c r="AT136" s="25">
        <v>0</v>
      </c>
      <c r="AU136" s="26"/>
      <c r="AV136" s="26"/>
      <c r="AW136" s="26"/>
      <c r="AX136" s="26" t="str">
        <f t="shared" si="6"/>
        <v/>
      </c>
      <c r="AY136" t="str">
        <f t="shared" si="7"/>
        <v/>
      </c>
      <c r="AZ136" t="s">
        <v>200</v>
      </c>
      <c r="BA136" s="3"/>
      <c r="BB136" t="str">
        <f t="shared" si="8"/>
        <v>Supplier code empty (High);No scrap rate (No impact);No raw material available (High);</v>
      </c>
    </row>
    <row r="137" spans="1:54" x14ac:dyDescent="0.3">
      <c r="A137" t="s">
        <v>1186</v>
      </c>
      <c r="B137" t="s">
        <v>1187</v>
      </c>
      <c r="C137" t="s">
        <v>747</v>
      </c>
      <c r="D137" t="s">
        <v>748</v>
      </c>
      <c r="G137" t="s">
        <v>1188</v>
      </c>
      <c r="H137" t="s">
        <v>1189</v>
      </c>
      <c r="J137" t="s">
        <v>926</v>
      </c>
      <c r="L137">
        <v>0</v>
      </c>
      <c r="M137">
        <v>0</v>
      </c>
      <c r="N137" t="s">
        <v>198</v>
      </c>
      <c r="O137">
        <v>0</v>
      </c>
      <c r="P137" t="s">
        <v>198</v>
      </c>
      <c r="Q137" t="s">
        <v>199</v>
      </c>
      <c r="R137" s="3"/>
      <c r="W137" t="s">
        <v>200</v>
      </c>
      <c r="X137" s="25"/>
      <c r="Y137" s="26"/>
      <c r="Z137" s="27"/>
      <c r="AA137" t="s">
        <v>25</v>
      </c>
      <c r="AB137" t="s">
        <v>201</v>
      </c>
      <c r="AC137" s="3"/>
      <c r="AH137" t="s">
        <v>202</v>
      </c>
      <c r="AK137" t="s">
        <v>203</v>
      </c>
      <c r="AP137" t="s">
        <v>200</v>
      </c>
      <c r="AR137" s="25"/>
      <c r="AT137" s="25">
        <v>0</v>
      </c>
      <c r="AU137" s="26"/>
      <c r="AV137" s="26"/>
      <c r="AW137" s="26"/>
      <c r="AX137" s="26" t="str">
        <f t="shared" si="6"/>
        <v/>
      </c>
      <c r="AY137" t="str">
        <f t="shared" si="7"/>
        <v/>
      </c>
      <c r="AZ137" t="s">
        <v>200</v>
      </c>
      <c r="BA137" s="3"/>
      <c r="BB137" t="str">
        <f t="shared" si="8"/>
        <v>No scrap rate (No impact);</v>
      </c>
    </row>
    <row r="138" spans="1:54" x14ac:dyDescent="0.3">
      <c r="A138" t="s">
        <v>1190</v>
      </c>
      <c r="B138" t="s">
        <v>1191</v>
      </c>
      <c r="C138" t="s">
        <v>913</v>
      </c>
      <c r="D138" t="s">
        <v>914</v>
      </c>
      <c r="G138" t="s">
        <v>942</v>
      </c>
      <c r="H138" t="s">
        <v>943</v>
      </c>
      <c r="J138" t="s">
        <v>1046</v>
      </c>
      <c r="L138">
        <v>1500</v>
      </c>
      <c r="M138">
        <v>5.0000000000000001E-3</v>
      </c>
      <c r="N138" t="s">
        <v>198</v>
      </c>
      <c r="O138">
        <v>5.0000000000000001E-3</v>
      </c>
      <c r="P138" t="s">
        <v>198</v>
      </c>
      <c r="Q138" t="s">
        <v>199</v>
      </c>
      <c r="R138" s="3"/>
      <c r="W138" t="s">
        <v>200</v>
      </c>
      <c r="X138" s="25"/>
      <c r="Y138" s="26"/>
      <c r="Z138" s="27"/>
      <c r="AA138" t="s">
        <v>25</v>
      </c>
      <c r="AB138" t="s">
        <v>201</v>
      </c>
      <c r="AC138" s="3"/>
      <c r="AH138" t="s">
        <v>202</v>
      </c>
      <c r="AK138" t="s">
        <v>203</v>
      </c>
      <c r="AP138" t="s">
        <v>200</v>
      </c>
      <c r="AR138" s="25"/>
      <c r="AT138" s="25">
        <v>0</v>
      </c>
      <c r="AU138" s="26"/>
      <c r="AV138" s="26"/>
      <c r="AW138" s="26"/>
      <c r="AX138" s="26" t="str">
        <f t="shared" si="6"/>
        <v/>
      </c>
      <c r="AY138" t="str">
        <f t="shared" si="7"/>
        <v/>
      </c>
      <c r="AZ138" t="s">
        <v>200</v>
      </c>
      <c r="BA138" s="3"/>
      <c r="BB138" t="str">
        <f t="shared" si="8"/>
        <v>No scrap rate (No impact);</v>
      </c>
    </row>
    <row r="139" spans="1:54" x14ac:dyDescent="0.3">
      <c r="A139" t="s">
        <v>1192</v>
      </c>
      <c r="B139" t="s">
        <v>1193</v>
      </c>
      <c r="C139" t="s">
        <v>946</v>
      </c>
      <c r="D139" t="s">
        <v>947</v>
      </c>
      <c r="G139" t="s">
        <v>1070</v>
      </c>
      <c r="H139" t="s">
        <v>1071</v>
      </c>
      <c r="J139" t="s">
        <v>926</v>
      </c>
      <c r="L139">
        <v>1</v>
      </c>
      <c r="M139">
        <v>0.23599999999999999</v>
      </c>
      <c r="N139" t="s">
        <v>198</v>
      </c>
      <c r="O139">
        <v>0.23599999999999999</v>
      </c>
      <c r="P139" t="s">
        <v>198</v>
      </c>
      <c r="Q139" t="s">
        <v>199</v>
      </c>
      <c r="R139" s="3"/>
      <c r="W139" t="s">
        <v>200</v>
      </c>
      <c r="X139" s="25"/>
      <c r="Y139" s="26"/>
      <c r="Z139" s="27"/>
      <c r="AA139" t="s">
        <v>25</v>
      </c>
      <c r="AB139" t="s">
        <v>201</v>
      </c>
      <c r="AC139" s="3"/>
      <c r="AH139" t="s">
        <v>202</v>
      </c>
      <c r="AK139" t="s">
        <v>203</v>
      </c>
      <c r="AP139" t="s">
        <v>200</v>
      </c>
      <c r="AR139" s="25"/>
      <c r="AT139" s="25">
        <v>0</v>
      </c>
      <c r="AU139" s="26"/>
      <c r="AV139" s="26"/>
      <c r="AW139" s="26"/>
      <c r="AX139" s="26" t="str">
        <f t="shared" si="6"/>
        <v/>
      </c>
      <c r="AY139" t="str">
        <f t="shared" si="7"/>
        <v/>
      </c>
      <c r="AZ139" t="s">
        <v>200</v>
      </c>
      <c r="BA139" s="3"/>
      <c r="BB139" t="str">
        <f t="shared" si="8"/>
        <v>No scrap rate (No impact);</v>
      </c>
    </row>
    <row r="140" spans="1:54" x14ac:dyDescent="0.3">
      <c r="A140" t="s">
        <v>1194</v>
      </c>
      <c r="B140" t="s">
        <v>1195</v>
      </c>
      <c r="C140" t="s">
        <v>946</v>
      </c>
      <c r="D140" t="s">
        <v>947</v>
      </c>
      <c r="G140" t="s">
        <v>1070</v>
      </c>
      <c r="H140" t="s">
        <v>1071</v>
      </c>
      <c r="J140" t="s">
        <v>926</v>
      </c>
      <c r="L140">
        <v>1</v>
      </c>
      <c r="M140">
        <v>0.29499999999999998</v>
      </c>
      <c r="N140" t="s">
        <v>198</v>
      </c>
      <c r="O140">
        <v>0.29499999999999998</v>
      </c>
      <c r="P140" t="s">
        <v>198</v>
      </c>
      <c r="Q140" t="s">
        <v>199</v>
      </c>
      <c r="R140" s="3"/>
      <c r="W140" t="s">
        <v>200</v>
      </c>
      <c r="X140" s="25"/>
      <c r="Y140" s="26"/>
      <c r="Z140" s="27"/>
      <c r="AA140" t="s">
        <v>25</v>
      </c>
      <c r="AB140" t="s">
        <v>201</v>
      </c>
      <c r="AC140" s="3"/>
      <c r="AH140" t="s">
        <v>202</v>
      </c>
      <c r="AK140" t="s">
        <v>203</v>
      </c>
      <c r="AP140" t="s">
        <v>200</v>
      </c>
      <c r="AR140" s="25"/>
      <c r="AT140" s="25">
        <v>0</v>
      </c>
      <c r="AU140" s="26"/>
      <c r="AV140" s="26"/>
      <c r="AW140" s="26"/>
      <c r="AX140" s="26" t="str">
        <f t="shared" si="6"/>
        <v/>
      </c>
      <c r="AY140" t="str">
        <f t="shared" si="7"/>
        <v/>
      </c>
      <c r="AZ140" t="s">
        <v>200</v>
      </c>
      <c r="BA140" s="3"/>
      <c r="BB140" t="str">
        <f t="shared" si="8"/>
        <v>No scrap rate (No impact);</v>
      </c>
    </row>
    <row r="141" spans="1:54" x14ac:dyDescent="0.3">
      <c r="A141" t="s">
        <v>1196</v>
      </c>
      <c r="B141" t="s">
        <v>1197</v>
      </c>
      <c r="C141" t="s">
        <v>995</v>
      </c>
      <c r="D141" t="s">
        <v>996</v>
      </c>
      <c r="G141" t="s">
        <v>1198</v>
      </c>
      <c r="H141" t="s">
        <v>1199</v>
      </c>
      <c r="J141" t="s">
        <v>1046</v>
      </c>
      <c r="L141">
        <v>1</v>
      </c>
      <c r="M141">
        <v>4.5999999999999999E-2</v>
      </c>
      <c r="N141" t="s">
        <v>198</v>
      </c>
      <c r="O141">
        <v>0</v>
      </c>
      <c r="P141" t="s">
        <v>198</v>
      </c>
      <c r="Q141" t="s">
        <v>199</v>
      </c>
      <c r="R141" s="3"/>
      <c r="W141" t="s">
        <v>200</v>
      </c>
      <c r="X141" s="25"/>
      <c r="Y141" s="26"/>
      <c r="Z141" s="27"/>
      <c r="AA141" t="s">
        <v>25</v>
      </c>
      <c r="AB141" t="s">
        <v>201</v>
      </c>
      <c r="AC141" s="3"/>
      <c r="AH141" t="s">
        <v>202</v>
      </c>
      <c r="AK141" t="s">
        <v>203</v>
      </c>
      <c r="AP141" t="s">
        <v>200</v>
      </c>
      <c r="AR141" s="25"/>
      <c r="AT141" s="25">
        <v>0</v>
      </c>
      <c r="AU141" s="26"/>
      <c r="AV141" s="26"/>
      <c r="AW141" s="26"/>
      <c r="AX141" s="26" t="str">
        <f t="shared" si="6"/>
        <v/>
      </c>
      <c r="AY141" t="str">
        <f t="shared" si="7"/>
        <v/>
      </c>
      <c r="AZ141" t="s">
        <v>200</v>
      </c>
      <c r="BA141" s="3"/>
      <c r="BB141" t="str">
        <f t="shared" si="8"/>
        <v>No scrap rate (No impact);</v>
      </c>
    </row>
    <row r="142" spans="1:54" x14ac:dyDescent="0.3">
      <c r="A142" t="s">
        <v>1200</v>
      </c>
      <c r="B142" t="s">
        <v>1201</v>
      </c>
      <c r="C142" t="s">
        <v>946</v>
      </c>
      <c r="D142" t="s">
        <v>947</v>
      </c>
      <c r="L142">
        <v>0</v>
      </c>
      <c r="M142">
        <v>0.16700000000000001</v>
      </c>
      <c r="N142" t="s">
        <v>198</v>
      </c>
      <c r="O142">
        <v>0.16700000000000001</v>
      </c>
      <c r="P142" t="s">
        <v>198</v>
      </c>
      <c r="Q142" t="s">
        <v>199</v>
      </c>
      <c r="R142" s="3"/>
      <c r="W142" t="s">
        <v>200</v>
      </c>
      <c r="X142" s="25"/>
      <c r="Y142" s="26"/>
      <c r="Z142" s="27"/>
      <c r="AA142" t="s">
        <v>25</v>
      </c>
      <c r="AB142" t="s">
        <v>201</v>
      </c>
      <c r="AC142" s="3"/>
      <c r="AH142" t="s">
        <v>202</v>
      </c>
      <c r="AK142" t="s">
        <v>203</v>
      </c>
      <c r="AP142" t="s">
        <v>200</v>
      </c>
      <c r="AR142" s="25"/>
      <c r="AT142" s="25">
        <v>0</v>
      </c>
      <c r="AU142" s="26"/>
      <c r="AV142" s="26"/>
      <c r="AW142" s="26"/>
      <c r="AX142" s="26" t="str">
        <f t="shared" si="6"/>
        <v/>
      </c>
      <c r="AY142" t="str">
        <f t="shared" si="7"/>
        <v/>
      </c>
      <c r="AZ142" t="s">
        <v>200</v>
      </c>
      <c r="BA142" s="3"/>
      <c r="BB142" t="str">
        <f t="shared" si="8"/>
        <v>Supplier code empty (High);No scrap rate (No impact);No raw material available (High);</v>
      </c>
    </row>
    <row r="143" spans="1:54" x14ac:dyDescent="0.3">
      <c r="A143" t="s">
        <v>1202</v>
      </c>
      <c r="B143" t="s">
        <v>1203</v>
      </c>
      <c r="C143" t="s">
        <v>938</v>
      </c>
      <c r="D143" t="s">
        <v>939</v>
      </c>
      <c r="L143">
        <v>0</v>
      </c>
      <c r="M143">
        <v>0</v>
      </c>
      <c r="N143" t="s">
        <v>198</v>
      </c>
      <c r="O143">
        <v>0</v>
      </c>
      <c r="P143" t="s">
        <v>198</v>
      </c>
      <c r="Q143" t="s">
        <v>199</v>
      </c>
      <c r="R143" s="3"/>
      <c r="W143" t="s">
        <v>200</v>
      </c>
      <c r="X143" s="25"/>
      <c r="Y143" s="26"/>
      <c r="Z143" s="27"/>
      <c r="AA143" t="s">
        <v>25</v>
      </c>
      <c r="AB143" t="s">
        <v>201</v>
      </c>
      <c r="AC143" s="3"/>
      <c r="AH143" t="s">
        <v>202</v>
      </c>
      <c r="AK143" t="s">
        <v>203</v>
      </c>
      <c r="AP143" t="s">
        <v>200</v>
      </c>
      <c r="AR143" s="25"/>
      <c r="AT143" s="25">
        <v>0</v>
      </c>
      <c r="AU143" s="26"/>
      <c r="AV143" s="26"/>
      <c r="AW143" s="26"/>
      <c r="AX143" s="26" t="str">
        <f t="shared" si="6"/>
        <v/>
      </c>
      <c r="AY143" t="str">
        <f t="shared" si="7"/>
        <v/>
      </c>
      <c r="AZ143" t="s">
        <v>200</v>
      </c>
      <c r="BA143" s="3"/>
      <c r="BB143" t="str">
        <f t="shared" si="8"/>
        <v>Supplier code empty (High);No scrap rate (No impact);No raw material available (High);</v>
      </c>
    </row>
    <row r="144" spans="1:54" x14ac:dyDescent="0.3">
      <c r="A144" t="s">
        <v>1204</v>
      </c>
      <c r="B144" t="s">
        <v>1205</v>
      </c>
      <c r="C144" t="s">
        <v>946</v>
      </c>
      <c r="D144" t="s">
        <v>947</v>
      </c>
      <c r="J144" t="s">
        <v>1089</v>
      </c>
      <c r="L144">
        <v>0</v>
      </c>
      <c r="M144">
        <v>0.106</v>
      </c>
      <c r="N144" t="s">
        <v>198</v>
      </c>
      <c r="O144">
        <v>0.106</v>
      </c>
      <c r="P144" t="s">
        <v>198</v>
      </c>
      <c r="Q144" t="s">
        <v>199</v>
      </c>
      <c r="R144" s="3"/>
      <c r="W144" t="s">
        <v>200</v>
      </c>
      <c r="X144" s="25"/>
      <c r="Y144" s="26"/>
      <c r="Z144" s="27"/>
      <c r="AA144" t="s">
        <v>25</v>
      </c>
      <c r="AB144" t="s">
        <v>201</v>
      </c>
      <c r="AC144" s="3"/>
      <c r="AH144" t="s">
        <v>202</v>
      </c>
      <c r="AK144" t="s">
        <v>203</v>
      </c>
      <c r="AP144" t="s">
        <v>200</v>
      </c>
      <c r="AR144" s="25"/>
      <c r="AT144" s="25">
        <v>0</v>
      </c>
      <c r="AU144" s="26"/>
      <c r="AV144" s="26"/>
      <c r="AW144" s="26"/>
      <c r="AX144" s="26" t="str">
        <f t="shared" si="6"/>
        <v/>
      </c>
      <c r="AY144" t="str">
        <f t="shared" si="7"/>
        <v/>
      </c>
      <c r="AZ144" t="s">
        <v>200</v>
      </c>
      <c r="BA144" s="3"/>
      <c r="BB144" t="str">
        <f t="shared" si="8"/>
        <v>Supplier code empty (High);No scrap rate (No impact);</v>
      </c>
    </row>
    <row r="145" spans="1:54" x14ac:dyDescent="0.3">
      <c r="A145" t="s">
        <v>1206</v>
      </c>
      <c r="B145" t="s">
        <v>1207</v>
      </c>
      <c r="C145" t="s">
        <v>946</v>
      </c>
      <c r="D145" t="s">
        <v>947</v>
      </c>
      <c r="J145" t="s">
        <v>1089</v>
      </c>
      <c r="L145">
        <v>0</v>
      </c>
      <c r="M145">
        <v>0.15</v>
      </c>
      <c r="N145" t="s">
        <v>198</v>
      </c>
      <c r="O145">
        <v>0.15</v>
      </c>
      <c r="P145" t="s">
        <v>198</v>
      </c>
      <c r="Q145" t="s">
        <v>199</v>
      </c>
      <c r="R145" s="3"/>
      <c r="W145" t="s">
        <v>200</v>
      </c>
      <c r="X145" s="25"/>
      <c r="Y145" s="26"/>
      <c r="Z145" s="27"/>
      <c r="AA145" t="s">
        <v>25</v>
      </c>
      <c r="AB145" t="s">
        <v>201</v>
      </c>
      <c r="AC145" s="3"/>
      <c r="AH145" t="s">
        <v>202</v>
      </c>
      <c r="AK145" t="s">
        <v>203</v>
      </c>
      <c r="AP145" t="s">
        <v>200</v>
      </c>
      <c r="AR145" s="25"/>
      <c r="AT145" s="25">
        <v>0</v>
      </c>
      <c r="AU145" s="26"/>
      <c r="AV145" s="26"/>
      <c r="AW145" s="26"/>
      <c r="AX145" s="26" t="str">
        <f t="shared" si="6"/>
        <v/>
      </c>
      <c r="AY145" t="str">
        <f t="shared" si="7"/>
        <v/>
      </c>
      <c r="AZ145" t="s">
        <v>200</v>
      </c>
      <c r="BA145" s="3"/>
      <c r="BB145" t="str">
        <f t="shared" si="8"/>
        <v>Supplier code empty (High);No scrap rate (No impact);</v>
      </c>
    </row>
    <row r="146" spans="1:54" x14ac:dyDescent="0.3">
      <c r="A146" t="s">
        <v>1208</v>
      </c>
      <c r="B146" t="s">
        <v>1209</v>
      </c>
      <c r="C146" t="s">
        <v>1171</v>
      </c>
      <c r="D146" t="s">
        <v>1172</v>
      </c>
      <c r="G146" t="s">
        <v>433</v>
      </c>
      <c r="H146" t="s">
        <v>434</v>
      </c>
      <c r="J146" t="s">
        <v>930</v>
      </c>
      <c r="L146">
        <v>0</v>
      </c>
      <c r="M146">
        <v>5.5E-2</v>
      </c>
      <c r="N146" t="s">
        <v>198</v>
      </c>
      <c r="O146">
        <v>5.5E-2</v>
      </c>
      <c r="P146" t="s">
        <v>198</v>
      </c>
      <c r="Q146" t="s">
        <v>199</v>
      </c>
      <c r="R146" s="3"/>
      <c r="W146" t="s">
        <v>200</v>
      </c>
      <c r="X146" s="25"/>
      <c r="Y146" s="26"/>
      <c r="Z146" s="27"/>
      <c r="AA146" t="s">
        <v>25</v>
      </c>
      <c r="AB146" t="s">
        <v>201</v>
      </c>
      <c r="AC146" s="3"/>
      <c r="AH146" t="s">
        <v>202</v>
      </c>
      <c r="AK146" t="s">
        <v>203</v>
      </c>
      <c r="AP146" t="s">
        <v>200</v>
      </c>
      <c r="AR146" s="25"/>
      <c r="AT146" s="25">
        <v>0</v>
      </c>
      <c r="AU146" s="26"/>
      <c r="AV146" s="26"/>
      <c r="AW146" s="26"/>
      <c r="AX146" s="26" t="str">
        <f t="shared" si="6"/>
        <v/>
      </c>
      <c r="AY146" t="str">
        <f t="shared" si="7"/>
        <v/>
      </c>
      <c r="AZ146" t="s">
        <v>200</v>
      </c>
      <c r="BA146" s="3"/>
      <c r="BB146" t="str">
        <f t="shared" si="8"/>
        <v>No scrap rate (No impact);</v>
      </c>
    </row>
    <row r="147" spans="1:54" x14ac:dyDescent="0.3">
      <c r="A147" t="s">
        <v>1210</v>
      </c>
      <c r="B147" t="s">
        <v>1211</v>
      </c>
      <c r="C147" t="s">
        <v>946</v>
      </c>
      <c r="D147" t="s">
        <v>947</v>
      </c>
      <c r="G147" t="s">
        <v>433</v>
      </c>
      <c r="H147" t="s">
        <v>434</v>
      </c>
      <c r="J147" t="s">
        <v>926</v>
      </c>
      <c r="L147">
        <v>0</v>
      </c>
      <c r="M147">
        <v>0.1</v>
      </c>
      <c r="N147" t="s">
        <v>198</v>
      </c>
      <c r="O147">
        <v>0.1</v>
      </c>
      <c r="P147" t="s">
        <v>198</v>
      </c>
      <c r="Q147" t="s">
        <v>199</v>
      </c>
      <c r="R147" s="3"/>
      <c r="W147" t="s">
        <v>200</v>
      </c>
      <c r="X147" s="25"/>
      <c r="Y147" s="26"/>
      <c r="Z147" s="27"/>
      <c r="AA147" t="s">
        <v>25</v>
      </c>
      <c r="AB147" t="s">
        <v>201</v>
      </c>
      <c r="AC147" s="3"/>
      <c r="AH147" t="s">
        <v>202</v>
      </c>
      <c r="AK147" t="s">
        <v>203</v>
      </c>
      <c r="AP147" t="s">
        <v>200</v>
      </c>
      <c r="AR147" s="25"/>
      <c r="AT147" s="25">
        <v>0</v>
      </c>
      <c r="AU147" s="26"/>
      <c r="AV147" s="26"/>
      <c r="AW147" s="26"/>
      <c r="AX147" s="26" t="str">
        <f t="shared" si="6"/>
        <v/>
      </c>
      <c r="AY147" t="str">
        <f t="shared" si="7"/>
        <v/>
      </c>
      <c r="AZ147" t="s">
        <v>200</v>
      </c>
      <c r="BA147" s="3"/>
      <c r="BB147" t="str">
        <f t="shared" si="8"/>
        <v>No scrap rate (No impact);</v>
      </c>
    </row>
    <row r="148" spans="1:54" x14ac:dyDescent="0.3">
      <c r="A148" t="s">
        <v>1212</v>
      </c>
      <c r="B148" t="s">
        <v>1213</v>
      </c>
      <c r="C148" t="s">
        <v>1171</v>
      </c>
      <c r="D148" t="s">
        <v>1172</v>
      </c>
      <c r="G148" t="s">
        <v>433</v>
      </c>
      <c r="H148" t="s">
        <v>434</v>
      </c>
      <c r="J148" t="s">
        <v>930</v>
      </c>
      <c r="L148">
        <v>0</v>
      </c>
      <c r="M148">
        <v>0.30499999999999999</v>
      </c>
      <c r="N148" t="s">
        <v>198</v>
      </c>
      <c r="O148">
        <v>0.30499999999999999</v>
      </c>
      <c r="P148" t="s">
        <v>198</v>
      </c>
      <c r="Q148" t="s">
        <v>199</v>
      </c>
      <c r="R148" s="3"/>
      <c r="W148" t="s">
        <v>200</v>
      </c>
      <c r="X148" s="25"/>
      <c r="Y148" s="26"/>
      <c r="Z148" s="27"/>
      <c r="AA148" t="s">
        <v>25</v>
      </c>
      <c r="AB148" t="s">
        <v>201</v>
      </c>
      <c r="AC148" s="3"/>
      <c r="AH148" t="s">
        <v>202</v>
      </c>
      <c r="AK148" t="s">
        <v>203</v>
      </c>
      <c r="AP148" t="s">
        <v>200</v>
      </c>
      <c r="AR148" s="25"/>
      <c r="AT148" s="25">
        <v>0</v>
      </c>
      <c r="AU148" s="26"/>
      <c r="AV148" s="26"/>
      <c r="AW148" s="26"/>
      <c r="AX148" s="26" t="str">
        <f t="shared" si="6"/>
        <v/>
      </c>
      <c r="AY148" t="str">
        <f t="shared" si="7"/>
        <v/>
      </c>
      <c r="AZ148" t="s">
        <v>200</v>
      </c>
      <c r="BA148" s="3"/>
      <c r="BB148" t="str">
        <f t="shared" si="8"/>
        <v>No scrap rate (No impact);</v>
      </c>
    </row>
    <row r="149" spans="1:54" x14ac:dyDescent="0.3">
      <c r="A149" t="s">
        <v>1214</v>
      </c>
      <c r="B149" t="s">
        <v>1215</v>
      </c>
      <c r="C149" t="s">
        <v>946</v>
      </c>
      <c r="D149" t="s">
        <v>947</v>
      </c>
      <c r="G149" t="s">
        <v>433</v>
      </c>
      <c r="H149" t="s">
        <v>434</v>
      </c>
      <c r="J149" t="s">
        <v>1089</v>
      </c>
      <c r="L149">
        <v>0</v>
      </c>
      <c r="M149">
        <v>0.15</v>
      </c>
      <c r="N149" t="s">
        <v>198</v>
      </c>
      <c r="O149">
        <v>0.15</v>
      </c>
      <c r="P149" t="s">
        <v>198</v>
      </c>
      <c r="Q149" t="s">
        <v>199</v>
      </c>
      <c r="R149" s="3"/>
      <c r="W149" t="s">
        <v>200</v>
      </c>
      <c r="X149" s="25"/>
      <c r="Y149" s="26"/>
      <c r="Z149" s="27"/>
      <c r="AA149" t="s">
        <v>25</v>
      </c>
      <c r="AB149" t="s">
        <v>201</v>
      </c>
      <c r="AC149" s="3"/>
      <c r="AH149" t="s">
        <v>202</v>
      </c>
      <c r="AK149" t="s">
        <v>203</v>
      </c>
      <c r="AP149" t="s">
        <v>200</v>
      </c>
      <c r="AR149" s="25"/>
      <c r="AT149" s="25">
        <v>0</v>
      </c>
      <c r="AU149" s="26"/>
      <c r="AV149" s="26"/>
      <c r="AW149" s="26"/>
      <c r="AX149" s="26" t="str">
        <f t="shared" si="6"/>
        <v/>
      </c>
      <c r="AY149" t="str">
        <f t="shared" si="7"/>
        <v/>
      </c>
      <c r="AZ149" t="s">
        <v>200</v>
      </c>
      <c r="BA149" s="3"/>
      <c r="BB149" t="str">
        <f t="shared" si="8"/>
        <v>No scrap rate (No impact);</v>
      </c>
    </row>
    <row r="150" spans="1:54" x14ac:dyDescent="0.3">
      <c r="A150" t="s">
        <v>1216</v>
      </c>
      <c r="B150" t="s">
        <v>1217</v>
      </c>
      <c r="C150" t="s">
        <v>747</v>
      </c>
      <c r="D150" t="s">
        <v>748</v>
      </c>
      <c r="G150" t="s">
        <v>1218</v>
      </c>
      <c r="H150" t="s">
        <v>1219</v>
      </c>
      <c r="J150" t="s">
        <v>1060</v>
      </c>
      <c r="L150">
        <v>1</v>
      </c>
      <c r="M150">
        <v>0.20499999999999999</v>
      </c>
      <c r="N150" t="s">
        <v>198</v>
      </c>
      <c r="O150">
        <v>0</v>
      </c>
      <c r="P150" t="s">
        <v>198</v>
      </c>
      <c r="Q150" t="s">
        <v>199</v>
      </c>
      <c r="R150" s="3"/>
      <c r="W150" t="s">
        <v>200</v>
      </c>
      <c r="X150" s="25"/>
      <c r="Y150" s="26"/>
      <c r="Z150" s="27"/>
      <c r="AA150" t="s">
        <v>25</v>
      </c>
      <c r="AB150" t="s">
        <v>201</v>
      </c>
      <c r="AC150" s="3"/>
      <c r="AH150" t="s">
        <v>202</v>
      </c>
      <c r="AK150" t="s">
        <v>203</v>
      </c>
      <c r="AP150" t="s">
        <v>200</v>
      </c>
      <c r="AR150" s="25"/>
      <c r="AT150" s="25">
        <v>0</v>
      </c>
      <c r="AU150" s="26"/>
      <c r="AV150" s="26"/>
      <c r="AW150" s="26"/>
      <c r="AX150" s="26" t="str">
        <f t="shared" si="6"/>
        <v/>
      </c>
      <c r="AY150" t="str">
        <f t="shared" si="7"/>
        <v/>
      </c>
      <c r="AZ150" t="s">
        <v>200</v>
      </c>
      <c r="BA150" s="3"/>
      <c r="BB150" t="str">
        <f t="shared" si="8"/>
        <v>No scrap rate (No impact);</v>
      </c>
    </row>
    <row r="151" spans="1:54" x14ac:dyDescent="0.3">
      <c r="A151" t="s">
        <v>1220</v>
      </c>
      <c r="B151" t="s">
        <v>1221</v>
      </c>
      <c r="C151" t="s">
        <v>1222</v>
      </c>
      <c r="G151" t="s">
        <v>463</v>
      </c>
      <c r="H151" t="s">
        <v>464</v>
      </c>
      <c r="J151" t="s">
        <v>1046</v>
      </c>
      <c r="L151">
        <v>400</v>
      </c>
      <c r="M151">
        <v>2E-3</v>
      </c>
      <c r="N151" t="s">
        <v>198</v>
      </c>
      <c r="O151">
        <v>2E-3</v>
      </c>
      <c r="P151" t="s">
        <v>198</v>
      </c>
      <c r="Q151" t="s">
        <v>199</v>
      </c>
      <c r="R151" s="3"/>
      <c r="W151" t="s">
        <v>200</v>
      </c>
      <c r="X151" s="25"/>
      <c r="Y151" s="26"/>
      <c r="Z151" s="27"/>
      <c r="AA151" t="s">
        <v>25</v>
      </c>
      <c r="AB151" t="s">
        <v>201</v>
      </c>
      <c r="AC151" s="3"/>
      <c r="AH151" t="s">
        <v>202</v>
      </c>
      <c r="AK151" t="s">
        <v>203</v>
      </c>
      <c r="AP151" t="s">
        <v>200</v>
      </c>
      <c r="AR151" s="25"/>
      <c r="AT151" s="25">
        <v>0</v>
      </c>
      <c r="AU151" s="26"/>
      <c r="AV151" s="26"/>
      <c r="AW151" s="26"/>
      <c r="AX151" s="26" t="str">
        <f t="shared" si="6"/>
        <v/>
      </c>
      <c r="AY151" t="str">
        <f t="shared" si="7"/>
        <v/>
      </c>
      <c r="AZ151" t="s">
        <v>200</v>
      </c>
      <c r="BA151" s="3"/>
      <c r="BB151" t="str">
        <f t="shared" si="8"/>
        <v>No scrap rate (No impact);</v>
      </c>
    </row>
    <row r="152" spans="1:54" x14ac:dyDescent="0.3">
      <c r="A152" t="s">
        <v>1223</v>
      </c>
      <c r="B152" t="s">
        <v>1224</v>
      </c>
      <c r="C152" t="s">
        <v>1225</v>
      </c>
      <c r="D152" t="s">
        <v>1226</v>
      </c>
      <c r="G152" t="s">
        <v>443</v>
      </c>
      <c r="H152" t="s">
        <v>444</v>
      </c>
      <c r="L152">
        <v>0</v>
      </c>
      <c r="M152">
        <v>0</v>
      </c>
      <c r="N152" t="s">
        <v>198</v>
      </c>
      <c r="O152">
        <v>0</v>
      </c>
      <c r="P152" t="s">
        <v>198</v>
      </c>
      <c r="Q152" t="s">
        <v>199</v>
      </c>
      <c r="R152" s="3"/>
      <c r="W152" t="s">
        <v>200</v>
      </c>
      <c r="X152" s="25"/>
      <c r="Y152" s="26"/>
      <c r="Z152" s="27"/>
      <c r="AA152" t="s">
        <v>25</v>
      </c>
      <c r="AB152" t="s">
        <v>201</v>
      </c>
      <c r="AC152" s="3"/>
      <c r="AH152" t="s">
        <v>202</v>
      </c>
      <c r="AK152" t="s">
        <v>203</v>
      </c>
      <c r="AP152" t="s">
        <v>200</v>
      </c>
      <c r="AR152" s="25"/>
      <c r="AT152" s="25">
        <v>0</v>
      </c>
      <c r="AU152" s="26"/>
      <c r="AV152" s="26"/>
      <c r="AW152" s="26"/>
      <c r="AX152" s="26" t="str">
        <f t="shared" si="6"/>
        <v/>
      </c>
      <c r="AY152" t="str">
        <f t="shared" si="7"/>
        <v/>
      </c>
      <c r="AZ152" t="s">
        <v>200</v>
      </c>
      <c r="BA152" s="3"/>
      <c r="BB152" t="str">
        <f t="shared" si="8"/>
        <v>No scrap rate (No impact);No raw material available (High);</v>
      </c>
    </row>
    <row r="153" spans="1:54" x14ac:dyDescent="0.3">
      <c r="A153" t="s">
        <v>1227</v>
      </c>
      <c r="B153" t="s">
        <v>1228</v>
      </c>
      <c r="C153" t="s">
        <v>1171</v>
      </c>
      <c r="D153" t="s">
        <v>1172</v>
      </c>
      <c r="G153" t="s">
        <v>443</v>
      </c>
      <c r="H153" t="s">
        <v>444</v>
      </c>
      <c r="L153">
        <v>0</v>
      </c>
      <c r="M153">
        <v>0</v>
      </c>
      <c r="N153" t="s">
        <v>198</v>
      </c>
      <c r="O153">
        <v>0</v>
      </c>
      <c r="P153" t="s">
        <v>198</v>
      </c>
      <c r="Q153" t="s">
        <v>199</v>
      </c>
      <c r="R153" s="3"/>
      <c r="W153" t="s">
        <v>200</v>
      </c>
      <c r="X153" s="25"/>
      <c r="Y153" s="26"/>
      <c r="Z153" s="27"/>
      <c r="AA153" t="s">
        <v>25</v>
      </c>
      <c r="AB153" t="s">
        <v>201</v>
      </c>
      <c r="AC153" s="3"/>
      <c r="AH153" t="s">
        <v>202</v>
      </c>
      <c r="AK153" t="s">
        <v>203</v>
      </c>
      <c r="AP153" t="s">
        <v>200</v>
      </c>
      <c r="AR153" s="25"/>
      <c r="AT153" s="25">
        <v>0</v>
      </c>
      <c r="AU153" s="26"/>
      <c r="AV153" s="26"/>
      <c r="AW153" s="26"/>
      <c r="AX153" s="26" t="str">
        <f t="shared" si="6"/>
        <v/>
      </c>
      <c r="AY153" t="str">
        <f t="shared" si="7"/>
        <v/>
      </c>
      <c r="AZ153" t="s">
        <v>200</v>
      </c>
      <c r="BA153" s="3"/>
      <c r="BB153" t="str">
        <f t="shared" si="8"/>
        <v>No scrap rate (No impact);No raw material available (High);</v>
      </c>
    </row>
    <row r="154" spans="1:54" x14ac:dyDescent="0.3">
      <c r="A154" t="s">
        <v>1229</v>
      </c>
      <c r="B154" t="s">
        <v>1230</v>
      </c>
      <c r="C154" t="s">
        <v>938</v>
      </c>
      <c r="D154" t="s">
        <v>939</v>
      </c>
      <c r="G154" t="s">
        <v>443</v>
      </c>
      <c r="H154" t="s">
        <v>444</v>
      </c>
      <c r="L154">
        <v>0</v>
      </c>
      <c r="M154">
        <v>0</v>
      </c>
      <c r="N154" t="s">
        <v>198</v>
      </c>
      <c r="O154">
        <v>0</v>
      </c>
      <c r="P154" t="s">
        <v>198</v>
      </c>
      <c r="Q154" t="s">
        <v>199</v>
      </c>
      <c r="R154" s="3"/>
      <c r="W154" t="s">
        <v>200</v>
      </c>
      <c r="X154" s="25"/>
      <c r="Y154" s="26"/>
      <c r="Z154" s="27"/>
      <c r="AA154" t="s">
        <v>25</v>
      </c>
      <c r="AB154" t="s">
        <v>201</v>
      </c>
      <c r="AC154" s="3"/>
      <c r="AH154" t="s">
        <v>202</v>
      </c>
      <c r="AK154" t="s">
        <v>203</v>
      </c>
      <c r="AP154" t="s">
        <v>200</v>
      </c>
      <c r="AR154" s="25"/>
      <c r="AT154" s="25">
        <v>0</v>
      </c>
      <c r="AU154" s="26"/>
      <c r="AV154" s="26"/>
      <c r="AW154" s="26"/>
      <c r="AX154" s="26" t="str">
        <f t="shared" si="6"/>
        <v/>
      </c>
      <c r="AY154" t="str">
        <f t="shared" si="7"/>
        <v/>
      </c>
      <c r="AZ154" t="s">
        <v>200</v>
      </c>
      <c r="BA154" s="3"/>
      <c r="BB154" t="str">
        <f t="shared" si="8"/>
        <v>No scrap rate (No impact);No raw material available (High);</v>
      </c>
    </row>
    <row r="155" spans="1:54" x14ac:dyDescent="0.3">
      <c r="A155" t="s">
        <v>1231</v>
      </c>
      <c r="B155" t="s">
        <v>1232</v>
      </c>
      <c r="C155" t="s">
        <v>1171</v>
      </c>
      <c r="D155" t="s">
        <v>1172</v>
      </c>
      <c r="G155" t="s">
        <v>443</v>
      </c>
      <c r="H155" t="s">
        <v>444</v>
      </c>
      <c r="L155">
        <v>0</v>
      </c>
      <c r="M155">
        <v>3.7999999999999999E-2</v>
      </c>
      <c r="N155" t="s">
        <v>198</v>
      </c>
      <c r="O155">
        <v>0</v>
      </c>
      <c r="P155" t="s">
        <v>198</v>
      </c>
      <c r="Q155" t="s">
        <v>199</v>
      </c>
      <c r="R155" s="3"/>
      <c r="W155" t="s">
        <v>200</v>
      </c>
      <c r="X155" s="25"/>
      <c r="Y155" s="26"/>
      <c r="Z155" s="27"/>
      <c r="AA155" t="s">
        <v>25</v>
      </c>
      <c r="AB155" t="s">
        <v>201</v>
      </c>
      <c r="AC155" s="3"/>
      <c r="AH155" t="s">
        <v>202</v>
      </c>
      <c r="AK155" t="s">
        <v>203</v>
      </c>
      <c r="AP155" t="s">
        <v>200</v>
      </c>
      <c r="AR155" s="25"/>
      <c r="AT155" s="25">
        <v>0</v>
      </c>
      <c r="AU155" s="26"/>
      <c r="AV155" s="26"/>
      <c r="AW155" s="26"/>
      <c r="AX155" s="26" t="str">
        <f t="shared" si="6"/>
        <v/>
      </c>
      <c r="AY155" t="str">
        <f t="shared" si="7"/>
        <v/>
      </c>
      <c r="AZ155" t="s">
        <v>200</v>
      </c>
      <c r="BA155" s="3"/>
      <c r="BB155" t="str">
        <f t="shared" si="8"/>
        <v>No scrap rate (No impact);No raw material available (High);</v>
      </c>
    </row>
    <row r="156" spans="1:54" x14ac:dyDescent="0.3">
      <c r="A156" t="s">
        <v>1233</v>
      </c>
      <c r="B156" t="s">
        <v>1234</v>
      </c>
      <c r="C156" t="s">
        <v>1222</v>
      </c>
      <c r="J156" t="s">
        <v>1235</v>
      </c>
      <c r="L156">
        <v>0</v>
      </c>
      <c r="M156">
        <v>7.0000000000000001E-3</v>
      </c>
      <c r="N156" t="s">
        <v>198</v>
      </c>
      <c r="O156">
        <v>0</v>
      </c>
      <c r="P156" t="s">
        <v>198</v>
      </c>
      <c r="Q156" t="s">
        <v>199</v>
      </c>
      <c r="R156" s="3"/>
      <c r="W156" t="s">
        <v>200</v>
      </c>
      <c r="X156" s="25"/>
      <c r="Y156" s="26"/>
      <c r="Z156" s="27"/>
      <c r="AA156" t="s">
        <v>25</v>
      </c>
      <c r="AB156" t="s">
        <v>201</v>
      </c>
      <c r="AC156" s="3"/>
      <c r="AH156" t="s">
        <v>202</v>
      </c>
      <c r="AK156" t="s">
        <v>203</v>
      </c>
      <c r="AP156" t="s">
        <v>200</v>
      </c>
      <c r="AR156" s="25"/>
      <c r="AT156" s="25">
        <v>0</v>
      </c>
      <c r="AU156" s="26"/>
      <c r="AV156" s="26"/>
      <c r="AW156" s="26"/>
      <c r="AX156" s="26" t="str">
        <f t="shared" si="6"/>
        <v/>
      </c>
      <c r="AY156" t="str">
        <f t="shared" si="7"/>
        <v/>
      </c>
      <c r="AZ156" t="s">
        <v>200</v>
      </c>
      <c r="BA156" s="3"/>
      <c r="BB156" t="str">
        <f t="shared" si="8"/>
        <v>Supplier code empty (High);No scrap rate (No impact);</v>
      </c>
    </row>
    <row r="157" spans="1:54" x14ac:dyDescent="0.3">
      <c r="A157" t="s">
        <v>1236</v>
      </c>
      <c r="B157" t="s">
        <v>1237</v>
      </c>
      <c r="C157" t="s">
        <v>946</v>
      </c>
      <c r="D157" t="s">
        <v>947</v>
      </c>
      <c r="G157" t="s">
        <v>683</v>
      </c>
      <c r="H157" t="s">
        <v>684</v>
      </c>
      <c r="J157" t="s">
        <v>926</v>
      </c>
      <c r="L157">
        <v>0</v>
      </c>
      <c r="M157">
        <v>0.253</v>
      </c>
      <c r="N157" t="s">
        <v>198</v>
      </c>
      <c r="O157">
        <v>0.253</v>
      </c>
      <c r="P157" t="s">
        <v>198</v>
      </c>
      <c r="Q157" t="s">
        <v>199</v>
      </c>
      <c r="R157" s="3"/>
      <c r="W157" t="s">
        <v>200</v>
      </c>
      <c r="X157" s="25"/>
      <c r="Y157" s="26"/>
      <c r="Z157" s="27"/>
      <c r="AA157" t="s">
        <v>25</v>
      </c>
      <c r="AB157" t="s">
        <v>201</v>
      </c>
      <c r="AC157" s="3"/>
      <c r="AH157" t="s">
        <v>202</v>
      </c>
      <c r="AK157" t="s">
        <v>203</v>
      </c>
      <c r="AP157" t="s">
        <v>200</v>
      </c>
      <c r="AR157" s="25"/>
      <c r="AT157" s="25">
        <v>0</v>
      </c>
      <c r="AU157" s="26"/>
      <c r="AV157" s="26"/>
      <c r="AW157" s="26"/>
      <c r="AX157" s="26" t="str">
        <f t="shared" si="6"/>
        <v/>
      </c>
      <c r="AY157" t="str">
        <f t="shared" si="7"/>
        <v/>
      </c>
      <c r="AZ157" t="s">
        <v>200</v>
      </c>
      <c r="BA157" s="3"/>
      <c r="BB157" t="str">
        <f t="shared" si="8"/>
        <v>No scrap rate (No impact);</v>
      </c>
    </row>
    <row r="158" spans="1:54" x14ac:dyDescent="0.3">
      <c r="A158" t="s">
        <v>1238</v>
      </c>
      <c r="B158" t="s">
        <v>1239</v>
      </c>
      <c r="C158" t="s">
        <v>747</v>
      </c>
      <c r="D158" t="s">
        <v>748</v>
      </c>
      <c r="G158" t="s">
        <v>903</v>
      </c>
      <c r="H158" t="s">
        <v>361</v>
      </c>
      <c r="J158" t="s">
        <v>960</v>
      </c>
      <c r="L158">
        <v>0</v>
      </c>
      <c r="M158">
        <v>20</v>
      </c>
      <c r="N158" t="s">
        <v>198</v>
      </c>
      <c r="O158">
        <v>20</v>
      </c>
      <c r="P158" t="s">
        <v>198</v>
      </c>
      <c r="Q158" t="s">
        <v>199</v>
      </c>
      <c r="R158" s="3"/>
      <c r="W158" t="s">
        <v>200</v>
      </c>
      <c r="X158" s="25"/>
      <c r="Y158" s="26"/>
      <c r="Z158" s="27"/>
      <c r="AA158" t="s">
        <v>25</v>
      </c>
      <c r="AB158" t="s">
        <v>201</v>
      </c>
      <c r="AC158" s="3"/>
      <c r="AH158" t="s">
        <v>202</v>
      </c>
      <c r="AK158" t="s">
        <v>203</v>
      </c>
      <c r="AP158" t="s">
        <v>200</v>
      </c>
      <c r="AR158" s="25"/>
      <c r="AT158" s="25">
        <v>0</v>
      </c>
      <c r="AU158" s="26"/>
      <c r="AV158" s="26"/>
      <c r="AW158" s="26"/>
      <c r="AX158" s="26" t="str">
        <f t="shared" si="6"/>
        <v/>
      </c>
      <c r="AY158" t="str">
        <f t="shared" si="7"/>
        <v/>
      </c>
      <c r="AZ158" t="s">
        <v>200</v>
      </c>
      <c r="BA158" s="3"/>
      <c r="BB158" t="str">
        <f t="shared" si="8"/>
        <v>No scrap rate (No impact);</v>
      </c>
    </row>
    <row r="159" spans="1:54" x14ac:dyDescent="0.3">
      <c r="A159" t="s">
        <v>1240</v>
      </c>
      <c r="B159" t="s">
        <v>1241</v>
      </c>
      <c r="C159" t="s">
        <v>747</v>
      </c>
      <c r="D159" t="s">
        <v>748</v>
      </c>
      <c r="J159" t="s">
        <v>960</v>
      </c>
      <c r="L159">
        <v>0</v>
      </c>
      <c r="M159">
        <v>25</v>
      </c>
      <c r="N159" t="s">
        <v>198</v>
      </c>
      <c r="O159">
        <v>25</v>
      </c>
      <c r="P159" t="s">
        <v>198</v>
      </c>
      <c r="Q159" t="s">
        <v>199</v>
      </c>
      <c r="R159" s="3"/>
      <c r="W159" t="s">
        <v>200</v>
      </c>
      <c r="X159" s="25"/>
      <c r="Y159" s="26"/>
      <c r="Z159" s="27"/>
      <c r="AA159" t="s">
        <v>25</v>
      </c>
      <c r="AB159" t="s">
        <v>201</v>
      </c>
      <c r="AC159" s="3"/>
      <c r="AH159" t="s">
        <v>202</v>
      </c>
      <c r="AK159" t="s">
        <v>203</v>
      </c>
      <c r="AP159" t="s">
        <v>200</v>
      </c>
      <c r="AR159" s="25"/>
      <c r="AT159" s="25">
        <v>0</v>
      </c>
      <c r="AU159" s="26"/>
      <c r="AV159" s="26"/>
      <c r="AW159" s="26"/>
      <c r="AX159" s="26" t="str">
        <f t="shared" si="6"/>
        <v/>
      </c>
      <c r="AY159" t="str">
        <f t="shared" si="7"/>
        <v/>
      </c>
      <c r="AZ159" t="s">
        <v>200</v>
      </c>
      <c r="BA159" s="3"/>
      <c r="BB159" t="str">
        <f t="shared" si="8"/>
        <v>Supplier code empty (High);No scrap rate (No impact);</v>
      </c>
    </row>
    <row r="160" spans="1:54" x14ac:dyDescent="0.3">
      <c r="A160" t="s">
        <v>1242</v>
      </c>
      <c r="B160" t="s">
        <v>1243</v>
      </c>
      <c r="C160" t="s">
        <v>747</v>
      </c>
      <c r="D160" t="s">
        <v>748</v>
      </c>
      <c r="G160" t="s">
        <v>903</v>
      </c>
      <c r="H160" t="s">
        <v>361</v>
      </c>
      <c r="J160" t="s">
        <v>1060</v>
      </c>
      <c r="L160">
        <v>0</v>
      </c>
      <c r="M160">
        <v>1</v>
      </c>
      <c r="N160" t="s">
        <v>198</v>
      </c>
      <c r="O160">
        <v>0</v>
      </c>
      <c r="P160" t="s">
        <v>198</v>
      </c>
      <c r="Q160" t="s">
        <v>199</v>
      </c>
      <c r="R160" s="3"/>
      <c r="W160" t="s">
        <v>200</v>
      </c>
      <c r="X160" s="25"/>
      <c r="Y160" s="26"/>
      <c r="Z160" s="27"/>
      <c r="AA160" t="s">
        <v>25</v>
      </c>
      <c r="AB160" t="s">
        <v>201</v>
      </c>
      <c r="AC160" s="3"/>
      <c r="AH160" t="s">
        <v>202</v>
      </c>
      <c r="AK160" t="s">
        <v>203</v>
      </c>
      <c r="AP160" t="s">
        <v>200</v>
      </c>
      <c r="AR160" s="25"/>
      <c r="AT160" s="25">
        <v>0</v>
      </c>
      <c r="AU160" s="26"/>
      <c r="AV160" s="26"/>
      <c r="AW160" s="26"/>
      <c r="AX160" s="26" t="str">
        <f t="shared" si="6"/>
        <v/>
      </c>
      <c r="AY160" t="str">
        <f t="shared" si="7"/>
        <v/>
      </c>
      <c r="AZ160" t="s">
        <v>200</v>
      </c>
      <c r="BA160" s="3"/>
      <c r="BB160" t="str">
        <f t="shared" si="8"/>
        <v>No scrap rate (No impact);</v>
      </c>
    </row>
    <row r="161" spans="1:54" x14ac:dyDescent="0.3">
      <c r="A161" t="s">
        <v>1244</v>
      </c>
      <c r="B161" t="s">
        <v>1245</v>
      </c>
      <c r="C161" t="s">
        <v>1222</v>
      </c>
      <c r="J161" t="s">
        <v>1046</v>
      </c>
      <c r="L161">
        <v>0</v>
      </c>
      <c r="M161">
        <v>2E-3</v>
      </c>
      <c r="N161" t="s">
        <v>198</v>
      </c>
      <c r="O161">
        <v>2E-3</v>
      </c>
      <c r="P161" t="s">
        <v>198</v>
      </c>
      <c r="Q161" t="s">
        <v>199</v>
      </c>
      <c r="R161" s="3"/>
      <c r="W161" t="s">
        <v>200</v>
      </c>
      <c r="X161" s="25"/>
      <c r="Y161" s="26"/>
      <c r="Z161" s="27"/>
      <c r="AA161" t="s">
        <v>25</v>
      </c>
      <c r="AB161" t="s">
        <v>201</v>
      </c>
      <c r="AC161" s="3"/>
      <c r="AH161" t="s">
        <v>202</v>
      </c>
      <c r="AK161" t="s">
        <v>203</v>
      </c>
      <c r="AP161" t="s">
        <v>200</v>
      </c>
      <c r="AR161" s="25"/>
      <c r="AT161" s="25">
        <v>0</v>
      </c>
      <c r="AU161" s="26"/>
      <c r="AV161" s="26"/>
      <c r="AW161" s="26"/>
      <c r="AX161" s="26" t="str">
        <f t="shared" si="6"/>
        <v/>
      </c>
      <c r="AY161" t="str">
        <f t="shared" si="7"/>
        <v/>
      </c>
      <c r="AZ161" t="s">
        <v>200</v>
      </c>
      <c r="BA161" s="3"/>
      <c r="BB161" t="str">
        <f t="shared" si="8"/>
        <v>Supplier code empty (High);No scrap rate (No impact);</v>
      </c>
    </row>
    <row r="162" spans="1:54" x14ac:dyDescent="0.3">
      <c r="A162" t="s">
        <v>1246</v>
      </c>
      <c r="B162" t="s">
        <v>1247</v>
      </c>
      <c r="C162" t="s">
        <v>995</v>
      </c>
      <c r="D162" t="s">
        <v>996</v>
      </c>
      <c r="J162" t="s">
        <v>1046</v>
      </c>
      <c r="L162">
        <v>0</v>
      </c>
      <c r="M162">
        <v>1.0999999999999999E-2</v>
      </c>
      <c r="N162" t="s">
        <v>198</v>
      </c>
      <c r="O162">
        <v>1.0999999999999999E-2</v>
      </c>
      <c r="P162" t="s">
        <v>198</v>
      </c>
      <c r="Q162" t="s">
        <v>199</v>
      </c>
      <c r="R162" s="3"/>
      <c r="W162" t="s">
        <v>200</v>
      </c>
      <c r="X162" s="25"/>
      <c r="Y162" s="26"/>
      <c r="Z162" s="27"/>
      <c r="AA162" t="s">
        <v>25</v>
      </c>
      <c r="AB162" t="s">
        <v>201</v>
      </c>
      <c r="AC162" s="3"/>
      <c r="AH162" t="s">
        <v>202</v>
      </c>
      <c r="AK162" t="s">
        <v>203</v>
      </c>
      <c r="AP162" t="s">
        <v>200</v>
      </c>
      <c r="AR162" s="25"/>
      <c r="AT162" s="25">
        <v>0</v>
      </c>
      <c r="AU162" s="26"/>
      <c r="AV162" s="26"/>
      <c r="AW162" s="26"/>
      <c r="AX162" s="26" t="str">
        <f t="shared" si="6"/>
        <v/>
      </c>
      <c r="AY162" t="str">
        <f t="shared" si="7"/>
        <v/>
      </c>
      <c r="AZ162" t="s">
        <v>200</v>
      </c>
      <c r="BA162" s="3"/>
      <c r="BB162" t="str">
        <f t="shared" si="8"/>
        <v>Supplier code empty (High);No scrap rate (No impact);</v>
      </c>
    </row>
    <row r="163" spans="1:54" x14ac:dyDescent="0.3">
      <c r="A163" t="s">
        <v>1248</v>
      </c>
      <c r="B163" t="s">
        <v>1249</v>
      </c>
      <c r="C163" t="s">
        <v>938</v>
      </c>
      <c r="D163" t="s">
        <v>939</v>
      </c>
      <c r="L163">
        <v>0</v>
      </c>
      <c r="M163">
        <v>0</v>
      </c>
      <c r="N163" t="s">
        <v>198</v>
      </c>
      <c r="O163">
        <v>0</v>
      </c>
      <c r="P163" t="s">
        <v>198</v>
      </c>
      <c r="Q163" t="s">
        <v>199</v>
      </c>
      <c r="R163" s="3"/>
      <c r="W163" t="s">
        <v>200</v>
      </c>
      <c r="X163" s="25"/>
      <c r="Y163" s="26"/>
      <c r="Z163" s="27"/>
      <c r="AA163" t="s">
        <v>25</v>
      </c>
      <c r="AB163" t="s">
        <v>201</v>
      </c>
      <c r="AC163" s="3"/>
      <c r="AH163" t="s">
        <v>202</v>
      </c>
      <c r="AK163" t="s">
        <v>203</v>
      </c>
      <c r="AP163" t="s">
        <v>200</v>
      </c>
      <c r="AR163" s="25"/>
      <c r="AT163" s="25">
        <v>0</v>
      </c>
      <c r="AU163" s="26"/>
      <c r="AV163" s="26"/>
      <c r="AW163" s="26"/>
      <c r="AX163" s="26" t="str">
        <f t="shared" si="6"/>
        <v/>
      </c>
      <c r="AY163" t="str">
        <f t="shared" si="7"/>
        <v/>
      </c>
      <c r="AZ163" t="s">
        <v>200</v>
      </c>
      <c r="BA163" s="3"/>
      <c r="BB163" t="str">
        <f t="shared" si="8"/>
        <v>Supplier code empty (High);No scrap rate (No impact);No raw material available (High);</v>
      </c>
    </row>
    <row r="164" spans="1:54" x14ac:dyDescent="0.3">
      <c r="A164" t="s">
        <v>1250</v>
      </c>
      <c r="B164" t="s">
        <v>1251</v>
      </c>
      <c r="C164" t="s">
        <v>946</v>
      </c>
      <c r="D164" t="s">
        <v>947</v>
      </c>
      <c r="G164" t="s">
        <v>1070</v>
      </c>
      <c r="H164" t="s">
        <v>1071</v>
      </c>
      <c r="L164">
        <v>1</v>
      </c>
      <c r="M164">
        <v>0.38</v>
      </c>
      <c r="N164" t="s">
        <v>198</v>
      </c>
      <c r="O164">
        <v>0.38</v>
      </c>
      <c r="P164" t="s">
        <v>198</v>
      </c>
      <c r="Q164" t="s">
        <v>199</v>
      </c>
      <c r="R164" s="3"/>
      <c r="W164" t="s">
        <v>200</v>
      </c>
      <c r="X164" s="25"/>
      <c r="Y164" s="26"/>
      <c r="Z164" s="27"/>
      <c r="AA164" t="s">
        <v>25</v>
      </c>
      <c r="AB164" t="s">
        <v>201</v>
      </c>
      <c r="AC164" s="3"/>
      <c r="AH164" t="s">
        <v>202</v>
      </c>
      <c r="AK164" t="s">
        <v>203</v>
      </c>
      <c r="AP164" t="s">
        <v>200</v>
      </c>
      <c r="AR164" s="25"/>
      <c r="AT164" s="25">
        <v>0</v>
      </c>
      <c r="AU164" s="26"/>
      <c r="AV164" s="26"/>
      <c r="AW164" s="26"/>
      <c r="AX164" s="26" t="str">
        <f t="shared" si="6"/>
        <v/>
      </c>
      <c r="AY164" t="str">
        <f t="shared" si="7"/>
        <v/>
      </c>
      <c r="AZ164" t="s">
        <v>200</v>
      </c>
      <c r="BA164" s="3"/>
      <c r="BB164" t="str">
        <f t="shared" si="8"/>
        <v>No scrap rate (No impact);No raw material available (High);</v>
      </c>
    </row>
    <row r="165" spans="1:54" x14ac:dyDescent="0.3">
      <c r="A165" t="s">
        <v>1252</v>
      </c>
      <c r="B165" t="s">
        <v>1253</v>
      </c>
      <c r="C165" t="s">
        <v>946</v>
      </c>
      <c r="D165" t="s">
        <v>947</v>
      </c>
      <c r="G165" t="s">
        <v>1070</v>
      </c>
      <c r="H165" t="s">
        <v>1071</v>
      </c>
      <c r="L165">
        <v>1</v>
      </c>
      <c r="M165">
        <v>0.39700000000000002</v>
      </c>
      <c r="N165" t="s">
        <v>198</v>
      </c>
      <c r="O165">
        <v>0.39700000000000002</v>
      </c>
      <c r="P165" t="s">
        <v>198</v>
      </c>
      <c r="Q165" t="s">
        <v>199</v>
      </c>
      <c r="R165" s="3"/>
      <c r="W165" t="s">
        <v>200</v>
      </c>
      <c r="X165" s="25"/>
      <c r="Y165" s="26"/>
      <c r="Z165" s="27"/>
      <c r="AA165" t="s">
        <v>25</v>
      </c>
      <c r="AB165" t="s">
        <v>201</v>
      </c>
      <c r="AC165" s="3"/>
      <c r="AH165" t="s">
        <v>202</v>
      </c>
      <c r="AK165" t="s">
        <v>203</v>
      </c>
      <c r="AP165" t="s">
        <v>200</v>
      </c>
      <c r="AR165" s="25"/>
      <c r="AT165" s="25">
        <v>0</v>
      </c>
      <c r="AU165" s="26"/>
      <c r="AV165" s="26"/>
      <c r="AW165" s="26"/>
      <c r="AX165" s="26" t="str">
        <f t="shared" si="6"/>
        <v/>
      </c>
      <c r="AY165" t="str">
        <f t="shared" si="7"/>
        <v/>
      </c>
      <c r="AZ165" t="s">
        <v>200</v>
      </c>
      <c r="BA165" s="3"/>
      <c r="BB165" t="str">
        <f t="shared" si="8"/>
        <v>No scrap rate (No impact);No raw material available (High);</v>
      </c>
    </row>
    <row r="166" spans="1:54" x14ac:dyDescent="0.3">
      <c r="A166" t="s">
        <v>1254</v>
      </c>
      <c r="B166" t="s">
        <v>1255</v>
      </c>
      <c r="C166" t="s">
        <v>1256</v>
      </c>
      <c r="D166" t="s">
        <v>1257</v>
      </c>
      <c r="J166" t="s">
        <v>1046</v>
      </c>
      <c r="L166">
        <v>0</v>
      </c>
      <c r="M166">
        <v>2E-3</v>
      </c>
      <c r="N166" t="s">
        <v>198</v>
      </c>
      <c r="O166">
        <v>0</v>
      </c>
      <c r="P166" t="s">
        <v>198</v>
      </c>
      <c r="Q166" t="s">
        <v>199</v>
      </c>
      <c r="R166" s="3"/>
      <c r="W166" t="s">
        <v>200</v>
      </c>
      <c r="X166" s="25"/>
      <c r="Y166" s="26"/>
      <c r="Z166" s="27"/>
      <c r="AA166" t="s">
        <v>25</v>
      </c>
      <c r="AB166" t="s">
        <v>201</v>
      </c>
      <c r="AC166" s="3"/>
      <c r="AH166" t="s">
        <v>202</v>
      </c>
      <c r="AK166" t="s">
        <v>203</v>
      </c>
      <c r="AP166" t="s">
        <v>200</v>
      </c>
      <c r="AR166" s="25"/>
      <c r="AT166" s="25">
        <v>0</v>
      </c>
      <c r="AU166" s="26"/>
      <c r="AV166" s="26"/>
      <c r="AW166" s="26"/>
      <c r="AX166" s="26" t="str">
        <f t="shared" si="6"/>
        <v/>
      </c>
      <c r="AY166" t="str">
        <f t="shared" si="7"/>
        <v/>
      </c>
      <c r="AZ166" t="s">
        <v>200</v>
      </c>
      <c r="BA166" s="3"/>
      <c r="BB166" t="str">
        <f t="shared" si="8"/>
        <v>Supplier code empty (High);No scrap rate (No impact);</v>
      </c>
    </row>
    <row r="167" spans="1:54" x14ac:dyDescent="0.3">
      <c r="A167" t="s">
        <v>1258</v>
      </c>
      <c r="B167" t="s">
        <v>1259</v>
      </c>
      <c r="C167" t="s">
        <v>946</v>
      </c>
      <c r="D167" t="s">
        <v>947</v>
      </c>
      <c r="J167" t="s">
        <v>926</v>
      </c>
      <c r="L167">
        <v>0</v>
      </c>
      <c r="M167">
        <v>0.15</v>
      </c>
      <c r="N167" t="s">
        <v>198</v>
      </c>
      <c r="O167">
        <v>0.15</v>
      </c>
      <c r="P167" t="s">
        <v>198</v>
      </c>
      <c r="Q167" t="s">
        <v>199</v>
      </c>
      <c r="R167" s="3"/>
      <c r="W167" t="s">
        <v>200</v>
      </c>
      <c r="X167" s="25"/>
      <c r="Y167" s="26"/>
      <c r="Z167" s="27"/>
      <c r="AA167" t="s">
        <v>25</v>
      </c>
      <c r="AB167" t="s">
        <v>201</v>
      </c>
      <c r="AC167" s="3"/>
      <c r="AH167" t="s">
        <v>202</v>
      </c>
      <c r="AK167" t="s">
        <v>203</v>
      </c>
      <c r="AP167" t="s">
        <v>200</v>
      </c>
      <c r="AR167" s="25"/>
      <c r="AT167" s="25">
        <v>0</v>
      </c>
      <c r="AU167" s="26"/>
      <c r="AV167" s="26"/>
      <c r="AW167" s="26"/>
      <c r="AX167" s="26" t="str">
        <f t="shared" si="6"/>
        <v/>
      </c>
      <c r="AY167" t="str">
        <f t="shared" si="7"/>
        <v/>
      </c>
      <c r="AZ167" t="s">
        <v>200</v>
      </c>
      <c r="BA167" s="3"/>
      <c r="BB167" t="str">
        <f t="shared" si="8"/>
        <v>Supplier code empty (High);No scrap rate (No impact);</v>
      </c>
    </row>
    <row r="168" spans="1:54" x14ac:dyDescent="0.3">
      <c r="A168" t="s">
        <v>1260</v>
      </c>
      <c r="B168" t="s">
        <v>1261</v>
      </c>
      <c r="C168" t="s">
        <v>913</v>
      </c>
      <c r="D168" t="s">
        <v>914</v>
      </c>
      <c r="G168" t="s">
        <v>1262</v>
      </c>
      <c r="H168" t="s">
        <v>1263</v>
      </c>
      <c r="L168">
        <v>1</v>
      </c>
      <c r="M168">
        <v>6.0000000000000001E-3</v>
      </c>
      <c r="N168" t="s">
        <v>198</v>
      </c>
      <c r="O168">
        <v>0</v>
      </c>
      <c r="P168" t="s">
        <v>198</v>
      </c>
      <c r="Q168" t="s">
        <v>199</v>
      </c>
      <c r="R168" s="3"/>
      <c r="W168" t="s">
        <v>200</v>
      </c>
      <c r="X168" s="25"/>
      <c r="Y168" s="26"/>
      <c r="Z168" s="27"/>
      <c r="AA168" t="s">
        <v>25</v>
      </c>
      <c r="AB168" t="s">
        <v>201</v>
      </c>
      <c r="AC168" s="3"/>
      <c r="AH168" t="s">
        <v>202</v>
      </c>
      <c r="AK168" t="s">
        <v>203</v>
      </c>
      <c r="AP168" t="s">
        <v>200</v>
      </c>
      <c r="AR168" s="25"/>
      <c r="AT168" s="25">
        <v>0</v>
      </c>
      <c r="AU168" s="26"/>
      <c r="AV168" s="26"/>
      <c r="AW168" s="26"/>
      <c r="AX168" s="26" t="str">
        <f t="shared" si="6"/>
        <v/>
      </c>
      <c r="AY168" t="str">
        <f t="shared" si="7"/>
        <v/>
      </c>
      <c r="AZ168" t="s">
        <v>200</v>
      </c>
      <c r="BA168" s="3"/>
      <c r="BB168" t="str">
        <f t="shared" si="8"/>
        <v>No scrap rate (No impact);No raw material available (High);</v>
      </c>
    </row>
    <row r="169" spans="1:54" x14ac:dyDescent="0.3">
      <c r="A169" t="s">
        <v>1264</v>
      </c>
      <c r="B169" t="s">
        <v>1265</v>
      </c>
      <c r="C169" t="s">
        <v>995</v>
      </c>
      <c r="D169" t="s">
        <v>996</v>
      </c>
      <c r="G169" t="s">
        <v>1262</v>
      </c>
      <c r="H169" t="s">
        <v>1263</v>
      </c>
      <c r="J169" t="s">
        <v>1046</v>
      </c>
      <c r="L169">
        <v>1</v>
      </c>
      <c r="M169">
        <v>1.2E-2</v>
      </c>
      <c r="N169" t="s">
        <v>198</v>
      </c>
      <c r="O169">
        <v>0</v>
      </c>
      <c r="P169" t="s">
        <v>198</v>
      </c>
      <c r="Q169" t="s">
        <v>199</v>
      </c>
      <c r="R169" s="3"/>
      <c r="W169" t="s">
        <v>200</v>
      </c>
      <c r="X169" s="25"/>
      <c r="Y169" s="26"/>
      <c r="Z169" s="27"/>
      <c r="AA169" t="s">
        <v>25</v>
      </c>
      <c r="AB169" t="s">
        <v>201</v>
      </c>
      <c r="AC169" s="3"/>
      <c r="AH169" t="s">
        <v>202</v>
      </c>
      <c r="AK169" t="s">
        <v>203</v>
      </c>
      <c r="AP169" t="s">
        <v>200</v>
      </c>
      <c r="AR169" s="25"/>
      <c r="AT169" s="25">
        <v>0</v>
      </c>
      <c r="AU169" s="26"/>
      <c r="AV169" s="26"/>
      <c r="AW169" s="26"/>
      <c r="AX169" s="26" t="str">
        <f t="shared" si="6"/>
        <v/>
      </c>
      <c r="AY169" t="str">
        <f t="shared" si="7"/>
        <v/>
      </c>
      <c r="AZ169" t="s">
        <v>200</v>
      </c>
      <c r="BA169" s="3"/>
      <c r="BB169" t="str">
        <f t="shared" si="8"/>
        <v>No scrap rate (No impact);</v>
      </c>
    </row>
    <row r="170" spans="1:54" x14ac:dyDescent="0.3">
      <c r="A170" t="s">
        <v>1266</v>
      </c>
      <c r="B170" t="s">
        <v>1267</v>
      </c>
      <c r="C170" t="s">
        <v>995</v>
      </c>
      <c r="D170" t="s">
        <v>996</v>
      </c>
      <c r="G170" t="s">
        <v>1005</v>
      </c>
      <c r="H170" t="s">
        <v>1006</v>
      </c>
      <c r="J170" t="s">
        <v>910</v>
      </c>
      <c r="L170">
        <v>1</v>
      </c>
      <c r="M170">
        <v>6.0000000000000001E-3</v>
      </c>
      <c r="N170" t="s">
        <v>198</v>
      </c>
      <c r="O170">
        <v>0</v>
      </c>
      <c r="P170" t="s">
        <v>198</v>
      </c>
      <c r="Q170" t="s">
        <v>199</v>
      </c>
      <c r="R170" s="3"/>
      <c r="W170" t="s">
        <v>200</v>
      </c>
      <c r="X170" s="25"/>
      <c r="Y170" s="26"/>
      <c r="Z170" s="27"/>
      <c r="AA170" t="s">
        <v>25</v>
      </c>
      <c r="AB170" t="s">
        <v>201</v>
      </c>
      <c r="AC170" s="3"/>
      <c r="AH170" t="s">
        <v>202</v>
      </c>
      <c r="AK170" t="s">
        <v>203</v>
      </c>
      <c r="AP170" t="s">
        <v>200</v>
      </c>
      <c r="AR170" s="25"/>
      <c r="AT170" s="25">
        <v>0</v>
      </c>
      <c r="AU170" s="26"/>
      <c r="AV170" s="26"/>
      <c r="AW170" s="26"/>
      <c r="AX170" s="26" t="str">
        <f t="shared" si="6"/>
        <v/>
      </c>
      <c r="AY170" t="str">
        <f t="shared" si="7"/>
        <v/>
      </c>
      <c r="AZ170" t="s">
        <v>200</v>
      </c>
      <c r="BA170" s="3"/>
      <c r="BB170" t="str">
        <f t="shared" si="8"/>
        <v>No scrap rate (No impact);</v>
      </c>
    </row>
    <row r="171" spans="1:54" x14ac:dyDescent="0.3">
      <c r="A171" t="s">
        <v>1268</v>
      </c>
      <c r="B171" t="s">
        <v>1269</v>
      </c>
      <c r="C171" t="s">
        <v>913</v>
      </c>
      <c r="D171" t="s">
        <v>914</v>
      </c>
      <c r="G171" t="s">
        <v>1155</v>
      </c>
      <c r="H171" t="s">
        <v>1156</v>
      </c>
      <c r="J171" t="s">
        <v>1046</v>
      </c>
      <c r="L171">
        <v>1</v>
      </c>
      <c r="M171">
        <v>4.0000000000000001E-3</v>
      </c>
      <c r="N171" t="s">
        <v>198</v>
      </c>
      <c r="O171">
        <v>0</v>
      </c>
      <c r="P171" t="s">
        <v>198</v>
      </c>
      <c r="Q171" t="s">
        <v>199</v>
      </c>
      <c r="R171" s="3"/>
      <c r="W171" t="s">
        <v>200</v>
      </c>
      <c r="X171" s="25"/>
      <c r="Y171" s="26"/>
      <c r="Z171" s="27"/>
      <c r="AA171" t="s">
        <v>25</v>
      </c>
      <c r="AB171" t="s">
        <v>201</v>
      </c>
      <c r="AC171" s="3"/>
      <c r="AH171" t="s">
        <v>202</v>
      </c>
      <c r="AK171" t="s">
        <v>203</v>
      </c>
      <c r="AP171" t="s">
        <v>200</v>
      </c>
      <c r="AR171" s="25"/>
      <c r="AT171" s="25">
        <v>0</v>
      </c>
      <c r="AU171" s="26"/>
      <c r="AV171" s="26"/>
      <c r="AW171" s="26"/>
      <c r="AX171" s="26" t="str">
        <f t="shared" si="6"/>
        <v/>
      </c>
      <c r="AY171" t="str">
        <f t="shared" si="7"/>
        <v/>
      </c>
      <c r="AZ171" t="s">
        <v>200</v>
      </c>
      <c r="BA171" s="3"/>
      <c r="BB171" t="str">
        <f t="shared" si="8"/>
        <v>No scrap rate (No impact);</v>
      </c>
    </row>
    <row r="172" spans="1:54" x14ac:dyDescent="0.3">
      <c r="A172" t="s">
        <v>1270</v>
      </c>
      <c r="B172" t="s">
        <v>1271</v>
      </c>
      <c r="C172" t="s">
        <v>906</v>
      </c>
      <c r="D172" t="s">
        <v>907</v>
      </c>
      <c r="G172" t="s">
        <v>1155</v>
      </c>
      <c r="H172" t="s">
        <v>1156</v>
      </c>
      <c r="J172" t="s">
        <v>910</v>
      </c>
      <c r="L172">
        <v>1</v>
      </c>
      <c r="M172">
        <v>7.4999999999999997E-2</v>
      </c>
      <c r="N172" t="s">
        <v>198</v>
      </c>
      <c r="O172">
        <v>7.4999999999999997E-2</v>
      </c>
      <c r="P172" t="s">
        <v>198</v>
      </c>
      <c r="Q172" t="s">
        <v>199</v>
      </c>
      <c r="R172" s="3"/>
      <c r="W172" t="s">
        <v>200</v>
      </c>
      <c r="X172" s="25"/>
      <c r="Y172" s="26"/>
      <c r="Z172" s="27"/>
      <c r="AA172" t="s">
        <v>25</v>
      </c>
      <c r="AB172" t="s">
        <v>201</v>
      </c>
      <c r="AC172" s="3"/>
      <c r="AH172" t="s">
        <v>202</v>
      </c>
      <c r="AK172" t="s">
        <v>203</v>
      </c>
      <c r="AP172" t="s">
        <v>200</v>
      </c>
      <c r="AR172" s="25"/>
      <c r="AT172" s="25">
        <v>0</v>
      </c>
      <c r="AU172" s="26"/>
      <c r="AV172" s="26"/>
      <c r="AW172" s="26"/>
      <c r="AX172" s="26" t="str">
        <f t="shared" si="6"/>
        <v/>
      </c>
      <c r="AY172" t="str">
        <f t="shared" si="7"/>
        <v/>
      </c>
      <c r="AZ172" t="s">
        <v>200</v>
      </c>
      <c r="BA172" s="3"/>
      <c r="BB172" t="str">
        <f t="shared" si="8"/>
        <v>No scrap rate (No impact);</v>
      </c>
    </row>
    <row r="173" spans="1:54" x14ac:dyDescent="0.3">
      <c r="A173" t="s">
        <v>1272</v>
      </c>
      <c r="B173" t="s">
        <v>1273</v>
      </c>
      <c r="C173" t="s">
        <v>906</v>
      </c>
      <c r="D173" t="s">
        <v>907</v>
      </c>
      <c r="G173" t="s">
        <v>1155</v>
      </c>
      <c r="H173" t="s">
        <v>1156</v>
      </c>
      <c r="J173" t="s">
        <v>910</v>
      </c>
      <c r="L173">
        <v>1</v>
      </c>
      <c r="M173">
        <v>7.4999999999999997E-2</v>
      </c>
      <c r="N173" t="s">
        <v>198</v>
      </c>
      <c r="O173">
        <v>7.4999999999999997E-2</v>
      </c>
      <c r="P173" t="s">
        <v>198</v>
      </c>
      <c r="Q173" t="s">
        <v>199</v>
      </c>
      <c r="R173" s="3"/>
      <c r="W173" t="s">
        <v>200</v>
      </c>
      <c r="X173" s="25"/>
      <c r="Y173" s="26"/>
      <c r="Z173" s="27"/>
      <c r="AA173" t="s">
        <v>25</v>
      </c>
      <c r="AB173" t="s">
        <v>201</v>
      </c>
      <c r="AC173" s="3"/>
      <c r="AH173" t="s">
        <v>202</v>
      </c>
      <c r="AK173" t="s">
        <v>203</v>
      </c>
      <c r="AP173" t="s">
        <v>200</v>
      </c>
      <c r="AR173" s="25"/>
      <c r="AT173" s="25">
        <v>0</v>
      </c>
      <c r="AU173" s="26"/>
      <c r="AV173" s="26"/>
      <c r="AW173" s="26"/>
      <c r="AX173" s="26" t="str">
        <f t="shared" si="6"/>
        <v/>
      </c>
      <c r="AY173" t="str">
        <f t="shared" si="7"/>
        <v/>
      </c>
      <c r="AZ173" t="s">
        <v>200</v>
      </c>
      <c r="BA173" s="3"/>
      <c r="BB173" t="str">
        <f t="shared" si="8"/>
        <v>No scrap rate (No impact);</v>
      </c>
    </row>
    <row r="174" spans="1:54" x14ac:dyDescent="0.3">
      <c r="A174" t="s">
        <v>1274</v>
      </c>
      <c r="B174" t="s">
        <v>1275</v>
      </c>
      <c r="C174" t="s">
        <v>906</v>
      </c>
      <c r="D174" t="s">
        <v>907</v>
      </c>
      <c r="G174" t="s">
        <v>1155</v>
      </c>
      <c r="H174" t="s">
        <v>1156</v>
      </c>
      <c r="J174" t="s">
        <v>910</v>
      </c>
      <c r="L174">
        <v>1</v>
      </c>
      <c r="M174">
        <v>0.18</v>
      </c>
      <c r="N174" t="s">
        <v>198</v>
      </c>
      <c r="O174">
        <v>0</v>
      </c>
      <c r="P174" t="s">
        <v>198</v>
      </c>
      <c r="Q174" t="s">
        <v>199</v>
      </c>
      <c r="R174" s="3"/>
      <c r="W174" t="s">
        <v>200</v>
      </c>
      <c r="X174" s="25"/>
      <c r="Y174" s="26"/>
      <c r="Z174" s="27"/>
      <c r="AA174" t="s">
        <v>25</v>
      </c>
      <c r="AB174" t="s">
        <v>201</v>
      </c>
      <c r="AC174" s="3"/>
      <c r="AH174" t="s">
        <v>202</v>
      </c>
      <c r="AK174" t="s">
        <v>203</v>
      </c>
      <c r="AP174" t="s">
        <v>200</v>
      </c>
      <c r="AR174" s="25"/>
      <c r="AT174" s="25">
        <v>0</v>
      </c>
      <c r="AU174" s="26"/>
      <c r="AV174" s="26"/>
      <c r="AW174" s="26"/>
      <c r="AX174" s="26" t="str">
        <f t="shared" si="6"/>
        <v/>
      </c>
      <c r="AY174" t="str">
        <f t="shared" si="7"/>
        <v/>
      </c>
      <c r="AZ174" t="s">
        <v>200</v>
      </c>
      <c r="BA174" s="3"/>
      <c r="BB174" t="str">
        <f t="shared" si="8"/>
        <v>No scrap rate (No impact);</v>
      </c>
    </row>
    <row r="175" spans="1:54" x14ac:dyDescent="0.3">
      <c r="A175" t="s">
        <v>1276</v>
      </c>
      <c r="B175" t="s">
        <v>1277</v>
      </c>
      <c r="C175" t="s">
        <v>906</v>
      </c>
      <c r="D175" t="s">
        <v>907</v>
      </c>
      <c r="G175" t="s">
        <v>1278</v>
      </c>
      <c r="H175" t="s">
        <v>1279</v>
      </c>
      <c r="J175" t="s">
        <v>910</v>
      </c>
      <c r="L175">
        <v>1</v>
      </c>
      <c r="M175">
        <v>0.193</v>
      </c>
      <c r="N175" t="s">
        <v>198</v>
      </c>
      <c r="O175">
        <v>0.193</v>
      </c>
      <c r="P175" t="s">
        <v>198</v>
      </c>
      <c r="Q175" t="s">
        <v>199</v>
      </c>
      <c r="R175" s="3"/>
      <c r="W175" t="s">
        <v>200</v>
      </c>
      <c r="X175" s="25"/>
      <c r="Y175" s="26"/>
      <c r="Z175" s="27"/>
      <c r="AA175" t="s">
        <v>25</v>
      </c>
      <c r="AB175" t="s">
        <v>201</v>
      </c>
      <c r="AC175" s="3"/>
      <c r="AH175" t="s">
        <v>202</v>
      </c>
      <c r="AK175" t="s">
        <v>203</v>
      </c>
      <c r="AP175" t="s">
        <v>200</v>
      </c>
      <c r="AR175" s="25"/>
      <c r="AT175" s="25">
        <v>0</v>
      </c>
      <c r="AU175" s="26"/>
      <c r="AV175" s="26"/>
      <c r="AW175" s="26"/>
      <c r="AX175" s="26" t="str">
        <f t="shared" si="6"/>
        <v/>
      </c>
      <c r="AY175" t="str">
        <f t="shared" si="7"/>
        <v/>
      </c>
      <c r="AZ175" t="s">
        <v>200</v>
      </c>
      <c r="BA175" s="3"/>
      <c r="BB175" t="str">
        <f t="shared" si="8"/>
        <v>No scrap rate (No impact);</v>
      </c>
    </row>
    <row r="176" spans="1:54" x14ac:dyDescent="0.3">
      <c r="A176" t="s">
        <v>1280</v>
      </c>
      <c r="B176" t="s">
        <v>1281</v>
      </c>
      <c r="C176" t="s">
        <v>995</v>
      </c>
      <c r="D176" t="s">
        <v>996</v>
      </c>
      <c r="G176" t="s">
        <v>1262</v>
      </c>
      <c r="H176" t="s">
        <v>1263</v>
      </c>
      <c r="J176" t="s">
        <v>1046</v>
      </c>
      <c r="L176">
        <v>500</v>
      </c>
      <c r="M176">
        <v>1.7999999999999999E-2</v>
      </c>
      <c r="N176" t="s">
        <v>198</v>
      </c>
      <c r="O176">
        <v>0</v>
      </c>
      <c r="P176" t="s">
        <v>198</v>
      </c>
      <c r="Q176" t="s">
        <v>199</v>
      </c>
      <c r="R176" s="3"/>
      <c r="W176" t="s">
        <v>200</v>
      </c>
      <c r="X176" s="25"/>
      <c r="Y176" s="26"/>
      <c r="Z176" s="27"/>
      <c r="AA176" t="s">
        <v>25</v>
      </c>
      <c r="AB176" t="s">
        <v>201</v>
      </c>
      <c r="AC176" s="3"/>
      <c r="AH176" t="s">
        <v>202</v>
      </c>
      <c r="AK176" t="s">
        <v>203</v>
      </c>
      <c r="AP176" t="s">
        <v>200</v>
      </c>
      <c r="AR176" s="25"/>
      <c r="AT176" s="25">
        <v>0</v>
      </c>
      <c r="AU176" s="26"/>
      <c r="AV176" s="26"/>
      <c r="AW176" s="26"/>
      <c r="AX176" s="26" t="str">
        <f t="shared" si="6"/>
        <v/>
      </c>
      <c r="AY176" t="str">
        <f t="shared" si="7"/>
        <v/>
      </c>
      <c r="AZ176" t="s">
        <v>200</v>
      </c>
      <c r="BA176" s="3"/>
      <c r="BB176" t="str">
        <f t="shared" si="8"/>
        <v>No scrap rate (No impact);</v>
      </c>
    </row>
    <row r="177" spans="1:54" x14ac:dyDescent="0.3">
      <c r="A177" t="s">
        <v>1282</v>
      </c>
      <c r="B177" t="s">
        <v>1283</v>
      </c>
      <c r="C177" t="s">
        <v>747</v>
      </c>
      <c r="D177" t="s">
        <v>748</v>
      </c>
      <c r="G177" t="s">
        <v>525</v>
      </c>
      <c r="H177" t="s">
        <v>526</v>
      </c>
      <c r="J177" t="s">
        <v>926</v>
      </c>
      <c r="L177">
        <v>0</v>
      </c>
      <c r="M177">
        <v>0.8</v>
      </c>
      <c r="N177" t="s">
        <v>198</v>
      </c>
      <c r="O177">
        <v>0.8</v>
      </c>
      <c r="P177" t="s">
        <v>198</v>
      </c>
      <c r="Q177" t="s">
        <v>199</v>
      </c>
      <c r="R177" s="3"/>
      <c r="W177" t="s">
        <v>200</v>
      </c>
      <c r="X177" s="25"/>
      <c r="Y177" s="26"/>
      <c r="Z177" s="27"/>
      <c r="AA177" t="s">
        <v>25</v>
      </c>
      <c r="AB177" t="s">
        <v>201</v>
      </c>
      <c r="AC177" s="3"/>
      <c r="AH177" t="s">
        <v>202</v>
      </c>
      <c r="AK177" t="s">
        <v>203</v>
      </c>
      <c r="AP177" t="s">
        <v>200</v>
      </c>
      <c r="AR177" s="25"/>
      <c r="AT177" s="25">
        <v>0</v>
      </c>
      <c r="AU177" s="26"/>
      <c r="AV177" s="26"/>
      <c r="AW177" s="26"/>
      <c r="AX177" s="26" t="str">
        <f t="shared" si="6"/>
        <v/>
      </c>
      <c r="AY177" t="str">
        <f t="shared" si="7"/>
        <v/>
      </c>
      <c r="AZ177" t="s">
        <v>200</v>
      </c>
      <c r="BA177" s="3"/>
      <c r="BB177" t="str">
        <f t="shared" si="8"/>
        <v>No scrap rate (No impact);</v>
      </c>
    </row>
    <row r="178" spans="1:54" x14ac:dyDescent="0.3">
      <c r="A178" t="s">
        <v>1284</v>
      </c>
      <c r="B178" t="s">
        <v>1285</v>
      </c>
      <c r="C178" t="s">
        <v>906</v>
      </c>
      <c r="D178" t="s">
        <v>907</v>
      </c>
      <c r="G178" t="s">
        <v>1286</v>
      </c>
      <c r="H178" t="s">
        <v>1287</v>
      </c>
      <c r="J178" t="s">
        <v>910</v>
      </c>
      <c r="L178">
        <v>1</v>
      </c>
      <c r="M178">
        <v>8.1000000000000003E-2</v>
      </c>
      <c r="N178" t="s">
        <v>198</v>
      </c>
      <c r="O178">
        <v>8.1000000000000003E-2</v>
      </c>
      <c r="P178" t="s">
        <v>198</v>
      </c>
      <c r="Q178" t="s">
        <v>199</v>
      </c>
      <c r="R178" s="3"/>
      <c r="W178" t="s">
        <v>200</v>
      </c>
      <c r="X178" s="25"/>
      <c r="Y178" s="26"/>
      <c r="Z178" s="27"/>
      <c r="AA178" t="s">
        <v>25</v>
      </c>
      <c r="AB178" t="s">
        <v>201</v>
      </c>
      <c r="AC178" s="3"/>
      <c r="AH178" t="s">
        <v>202</v>
      </c>
      <c r="AK178" t="s">
        <v>203</v>
      </c>
      <c r="AP178" t="s">
        <v>200</v>
      </c>
      <c r="AR178" s="25"/>
      <c r="AT178" s="25">
        <v>0</v>
      </c>
      <c r="AU178" s="26"/>
      <c r="AV178" s="26"/>
      <c r="AW178" s="26"/>
      <c r="AX178" s="26" t="str">
        <f t="shared" si="6"/>
        <v/>
      </c>
      <c r="AY178" t="str">
        <f t="shared" si="7"/>
        <v/>
      </c>
      <c r="AZ178" t="s">
        <v>200</v>
      </c>
      <c r="BA178" s="3"/>
      <c r="BB178" t="str">
        <f t="shared" si="8"/>
        <v>No scrap rate (No impact);</v>
      </c>
    </row>
    <row r="179" spans="1:54" x14ac:dyDescent="0.3">
      <c r="A179" t="s">
        <v>1288</v>
      </c>
      <c r="B179" t="s">
        <v>1289</v>
      </c>
      <c r="C179" t="s">
        <v>995</v>
      </c>
      <c r="D179" t="s">
        <v>996</v>
      </c>
      <c r="G179" t="s">
        <v>1024</v>
      </c>
      <c r="H179" t="s">
        <v>1025</v>
      </c>
      <c r="J179" t="s">
        <v>1290</v>
      </c>
      <c r="L179">
        <v>1</v>
      </c>
      <c r="M179">
        <v>2.1999999999999999E-2</v>
      </c>
      <c r="N179" t="s">
        <v>198</v>
      </c>
      <c r="O179">
        <v>0</v>
      </c>
      <c r="P179" t="s">
        <v>198</v>
      </c>
      <c r="Q179" t="s">
        <v>199</v>
      </c>
      <c r="R179" s="3"/>
      <c r="W179" t="s">
        <v>200</v>
      </c>
      <c r="X179" s="25"/>
      <c r="Y179" s="26"/>
      <c r="Z179" s="27"/>
      <c r="AA179" t="s">
        <v>25</v>
      </c>
      <c r="AB179" t="s">
        <v>201</v>
      </c>
      <c r="AC179" s="3"/>
      <c r="AH179" t="s">
        <v>202</v>
      </c>
      <c r="AK179" t="s">
        <v>203</v>
      </c>
      <c r="AP179" t="s">
        <v>200</v>
      </c>
      <c r="AR179" s="25"/>
      <c r="AT179" s="25">
        <v>0</v>
      </c>
      <c r="AU179" s="26"/>
      <c r="AV179" s="26"/>
      <c r="AW179" s="26"/>
      <c r="AX179" s="26" t="str">
        <f t="shared" si="6"/>
        <v/>
      </c>
      <c r="AY179" t="str">
        <f t="shared" si="7"/>
        <v/>
      </c>
      <c r="AZ179" t="s">
        <v>200</v>
      </c>
      <c r="BA179" s="3"/>
      <c r="BB179" t="str">
        <f t="shared" si="8"/>
        <v>No scrap rate (No impact);</v>
      </c>
    </row>
    <row r="180" spans="1:54" x14ac:dyDescent="0.3">
      <c r="A180" t="s">
        <v>1291</v>
      </c>
      <c r="B180" t="s">
        <v>1292</v>
      </c>
      <c r="C180" t="s">
        <v>946</v>
      </c>
      <c r="D180" t="s">
        <v>947</v>
      </c>
      <c r="G180" t="s">
        <v>1070</v>
      </c>
      <c r="H180" t="s">
        <v>1071</v>
      </c>
      <c r="J180" t="s">
        <v>926</v>
      </c>
      <c r="L180">
        <v>1</v>
      </c>
      <c r="M180">
        <v>0.16700000000000001</v>
      </c>
      <c r="N180" t="s">
        <v>198</v>
      </c>
      <c r="O180">
        <v>0.16700000000000001</v>
      </c>
      <c r="P180" t="s">
        <v>198</v>
      </c>
      <c r="Q180" t="s">
        <v>199</v>
      </c>
      <c r="R180" s="3"/>
      <c r="W180" t="s">
        <v>200</v>
      </c>
      <c r="X180" s="25"/>
      <c r="Y180" s="26"/>
      <c r="Z180" s="27"/>
      <c r="AA180" t="s">
        <v>25</v>
      </c>
      <c r="AB180" t="s">
        <v>201</v>
      </c>
      <c r="AC180" s="3"/>
      <c r="AH180" t="s">
        <v>202</v>
      </c>
      <c r="AK180" t="s">
        <v>203</v>
      </c>
      <c r="AP180" t="s">
        <v>200</v>
      </c>
      <c r="AR180" s="25"/>
      <c r="AT180" s="25">
        <v>0</v>
      </c>
      <c r="AU180" s="26"/>
      <c r="AV180" s="26"/>
      <c r="AW180" s="26"/>
      <c r="AX180" s="26" t="str">
        <f t="shared" si="6"/>
        <v/>
      </c>
      <c r="AY180" t="str">
        <f t="shared" si="7"/>
        <v/>
      </c>
      <c r="AZ180" t="s">
        <v>200</v>
      </c>
      <c r="BA180" s="3"/>
      <c r="BB180" t="str">
        <f t="shared" si="8"/>
        <v>No scrap rate (No impact);</v>
      </c>
    </row>
    <row r="181" spans="1:54" x14ac:dyDescent="0.3">
      <c r="A181" t="s">
        <v>1293</v>
      </c>
      <c r="B181" t="s">
        <v>1294</v>
      </c>
      <c r="C181" t="s">
        <v>938</v>
      </c>
      <c r="D181" t="s">
        <v>939</v>
      </c>
      <c r="G181" t="s">
        <v>1295</v>
      </c>
      <c r="H181" t="s">
        <v>1296</v>
      </c>
      <c r="L181">
        <v>1</v>
      </c>
      <c r="M181">
        <v>0.05</v>
      </c>
      <c r="N181" t="s">
        <v>198</v>
      </c>
      <c r="O181">
        <v>0</v>
      </c>
      <c r="P181" t="s">
        <v>198</v>
      </c>
      <c r="Q181" t="s">
        <v>199</v>
      </c>
      <c r="R181" s="3"/>
      <c r="W181" t="s">
        <v>200</v>
      </c>
      <c r="X181" s="25"/>
      <c r="Y181" s="26"/>
      <c r="Z181" s="27"/>
      <c r="AA181" t="s">
        <v>25</v>
      </c>
      <c r="AB181" t="s">
        <v>201</v>
      </c>
      <c r="AC181" s="3"/>
      <c r="AH181" t="s">
        <v>202</v>
      </c>
      <c r="AK181" t="s">
        <v>203</v>
      </c>
      <c r="AP181" t="s">
        <v>200</v>
      </c>
      <c r="AR181" s="25"/>
      <c r="AT181" s="25">
        <v>0</v>
      </c>
      <c r="AU181" s="26"/>
      <c r="AV181" s="26"/>
      <c r="AW181" s="26"/>
      <c r="AX181" s="26" t="str">
        <f t="shared" si="6"/>
        <v/>
      </c>
      <c r="AY181" t="str">
        <f t="shared" si="7"/>
        <v/>
      </c>
      <c r="AZ181" t="s">
        <v>200</v>
      </c>
      <c r="BA181" s="3"/>
      <c r="BB181" t="str">
        <f t="shared" si="8"/>
        <v>No scrap rate (No impact);No raw material available (High);</v>
      </c>
    </row>
    <row r="182" spans="1:54" x14ac:dyDescent="0.3">
      <c r="A182" t="s">
        <v>1297</v>
      </c>
      <c r="B182" t="s">
        <v>1298</v>
      </c>
      <c r="C182" t="s">
        <v>995</v>
      </c>
      <c r="D182" t="s">
        <v>996</v>
      </c>
      <c r="G182" t="s">
        <v>1299</v>
      </c>
      <c r="H182" t="s">
        <v>1300</v>
      </c>
      <c r="J182" t="s">
        <v>1046</v>
      </c>
      <c r="L182">
        <v>0</v>
      </c>
      <c r="M182">
        <v>1.4999999999999999E-2</v>
      </c>
      <c r="N182" t="s">
        <v>198</v>
      </c>
      <c r="O182">
        <v>0</v>
      </c>
      <c r="P182" t="s">
        <v>198</v>
      </c>
      <c r="Q182" t="s">
        <v>199</v>
      </c>
      <c r="R182" s="3"/>
      <c r="W182" t="s">
        <v>200</v>
      </c>
      <c r="X182" s="25"/>
      <c r="Y182" s="26"/>
      <c r="Z182" s="27"/>
      <c r="AA182" t="s">
        <v>25</v>
      </c>
      <c r="AB182" t="s">
        <v>201</v>
      </c>
      <c r="AC182" s="3"/>
      <c r="AH182" t="s">
        <v>202</v>
      </c>
      <c r="AK182" t="s">
        <v>203</v>
      </c>
      <c r="AP182" t="s">
        <v>200</v>
      </c>
      <c r="AR182" s="25"/>
      <c r="AT182" s="25">
        <v>0</v>
      </c>
      <c r="AU182" s="26"/>
      <c r="AV182" s="26"/>
      <c r="AW182" s="26"/>
      <c r="AX182" s="26" t="str">
        <f t="shared" si="6"/>
        <v/>
      </c>
      <c r="AY182" t="str">
        <f t="shared" si="7"/>
        <v/>
      </c>
      <c r="AZ182" t="s">
        <v>200</v>
      </c>
      <c r="BA182" s="3"/>
      <c r="BB182" t="str">
        <f t="shared" si="8"/>
        <v>No scrap rate (No impact);</v>
      </c>
    </row>
    <row r="183" spans="1:54" x14ac:dyDescent="0.3">
      <c r="A183" t="s">
        <v>1301</v>
      </c>
      <c r="B183" t="s">
        <v>1302</v>
      </c>
      <c r="C183" t="s">
        <v>946</v>
      </c>
      <c r="D183" t="s">
        <v>947</v>
      </c>
      <c r="G183" t="s">
        <v>1299</v>
      </c>
      <c r="H183" t="s">
        <v>1300</v>
      </c>
      <c r="J183" t="s">
        <v>926</v>
      </c>
      <c r="L183">
        <v>0</v>
      </c>
      <c r="M183">
        <v>0.32500000000000001</v>
      </c>
      <c r="N183" t="s">
        <v>198</v>
      </c>
      <c r="O183">
        <v>0.32500000000000001</v>
      </c>
      <c r="P183" t="s">
        <v>198</v>
      </c>
      <c r="Q183" t="s">
        <v>199</v>
      </c>
      <c r="R183" s="3"/>
      <c r="W183" t="s">
        <v>200</v>
      </c>
      <c r="X183" s="25"/>
      <c r="Y183" s="26"/>
      <c r="Z183" s="27"/>
      <c r="AA183" t="s">
        <v>25</v>
      </c>
      <c r="AB183" t="s">
        <v>201</v>
      </c>
      <c r="AC183" s="3"/>
      <c r="AH183" t="s">
        <v>202</v>
      </c>
      <c r="AK183" t="s">
        <v>203</v>
      </c>
      <c r="AP183" t="s">
        <v>200</v>
      </c>
      <c r="AR183" s="25"/>
      <c r="AT183" s="25">
        <v>0</v>
      </c>
      <c r="AU183" s="26"/>
      <c r="AV183" s="26"/>
      <c r="AW183" s="26"/>
      <c r="AX183" s="26" t="str">
        <f t="shared" si="6"/>
        <v/>
      </c>
      <c r="AY183" t="str">
        <f t="shared" si="7"/>
        <v/>
      </c>
      <c r="AZ183" t="s">
        <v>200</v>
      </c>
      <c r="BA183" s="3"/>
      <c r="BB183" t="str">
        <f t="shared" si="8"/>
        <v>No scrap rate (No impact);</v>
      </c>
    </row>
    <row r="184" spans="1:54" x14ac:dyDescent="0.3">
      <c r="A184" t="s">
        <v>1303</v>
      </c>
      <c r="B184" t="s">
        <v>1304</v>
      </c>
      <c r="C184" t="s">
        <v>946</v>
      </c>
      <c r="D184" t="s">
        <v>947</v>
      </c>
      <c r="G184" t="s">
        <v>1299</v>
      </c>
      <c r="H184" t="s">
        <v>1300</v>
      </c>
      <c r="J184" t="s">
        <v>926</v>
      </c>
      <c r="L184">
        <v>0</v>
      </c>
      <c r="M184">
        <v>0.22600000000000001</v>
      </c>
      <c r="N184" t="s">
        <v>198</v>
      </c>
      <c r="O184">
        <v>0.22600000000000001</v>
      </c>
      <c r="P184" t="s">
        <v>198</v>
      </c>
      <c r="Q184" t="s">
        <v>199</v>
      </c>
      <c r="R184" s="3"/>
      <c r="W184" t="s">
        <v>200</v>
      </c>
      <c r="X184" s="25"/>
      <c r="Y184" s="26"/>
      <c r="Z184" s="27"/>
      <c r="AA184" t="s">
        <v>25</v>
      </c>
      <c r="AB184" t="s">
        <v>201</v>
      </c>
      <c r="AC184" s="3"/>
      <c r="AH184" t="s">
        <v>202</v>
      </c>
      <c r="AK184" t="s">
        <v>203</v>
      </c>
      <c r="AP184" t="s">
        <v>200</v>
      </c>
      <c r="AR184" s="25"/>
      <c r="AT184" s="25">
        <v>0</v>
      </c>
      <c r="AU184" s="26"/>
      <c r="AV184" s="26"/>
      <c r="AW184" s="26"/>
      <c r="AX184" s="26" t="str">
        <f t="shared" si="6"/>
        <v/>
      </c>
      <c r="AY184" t="str">
        <f t="shared" si="7"/>
        <v/>
      </c>
      <c r="AZ184" t="s">
        <v>200</v>
      </c>
      <c r="BA184" s="3"/>
      <c r="BB184" t="str">
        <f t="shared" si="8"/>
        <v>No scrap rate (No impact);</v>
      </c>
    </row>
    <row r="185" spans="1:54" x14ac:dyDescent="0.3">
      <c r="A185" t="s">
        <v>1305</v>
      </c>
      <c r="B185" t="s">
        <v>1306</v>
      </c>
      <c r="C185" t="s">
        <v>906</v>
      </c>
      <c r="D185" t="s">
        <v>907</v>
      </c>
      <c r="G185" t="s">
        <v>1155</v>
      </c>
      <c r="H185" t="s">
        <v>1156</v>
      </c>
      <c r="J185" t="s">
        <v>1307</v>
      </c>
      <c r="L185">
        <v>0</v>
      </c>
      <c r="M185">
        <v>4.1000000000000002E-2</v>
      </c>
      <c r="N185" t="s">
        <v>198</v>
      </c>
      <c r="O185">
        <v>4.1000000000000002E-2</v>
      </c>
      <c r="P185" t="s">
        <v>198</v>
      </c>
      <c r="Q185" t="s">
        <v>199</v>
      </c>
      <c r="R185" s="3"/>
      <c r="W185" t="s">
        <v>200</v>
      </c>
      <c r="X185" s="25"/>
      <c r="Y185" s="26"/>
      <c r="Z185" s="27"/>
      <c r="AA185" t="s">
        <v>25</v>
      </c>
      <c r="AB185" t="s">
        <v>201</v>
      </c>
      <c r="AC185" s="3"/>
      <c r="AH185" t="s">
        <v>202</v>
      </c>
      <c r="AK185" t="s">
        <v>203</v>
      </c>
      <c r="AP185" t="s">
        <v>200</v>
      </c>
      <c r="AR185" s="25"/>
      <c r="AT185" s="25">
        <v>0</v>
      </c>
      <c r="AU185" s="26"/>
      <c r="AV185" s="26"/>
      <c r="AW185" s="26"/>
      <c r="AX185" s="26" t="str">
        <f t="shared" si="6"/>
        <v/>
      </c>
      <c r="AY185" t="str">
        <f t="shared" si="7"/>
        <v/>
      </c>
      <c r="AZ185" t="s">
        <v>200</v>
      </c>
      <c r="BA185" s="3"/>
      <c r="BB185" t="str">
        <f t="shared" si="8"/>
        <v>No scrap rate (No impact);</v>
      </c>
    </row>
    <row r="186" spans="1:54" x14ac:dyDescent="0.3">
      <c r="A186" t="s">
        <v>1308</v>
      </c>
      <c r="B186" t="s">
        <v>1309</v>
      </c>
      <c r="C186" t="s">
        <v>938</v>
      </c>
      <c r="D186" t="s">
        <v>939</v>
      </c>
      <c r="G186" t="s">
        <v>1310</v>
      </c>
      <c r="H186" t="s">
        <v>1311</v>
      </c>
      <c r="L186">
        <v>0</v>
      </c>
      <c r="M186">
        <v>0</v>
      </c>
      <c r="N186" t="s">
        <v>198</v>
      </c>
      <c r="O186">
        <v>0</v>
      </c>
      <c r="P186" t="s">
        <v>198</v>
      </c>
      <c r="Q186" t="s">
        <v>199</v>
      </c>
      <c r="R186" s="3"/>
      <c r="W186" t="s">
        <v>200</v>
      </c>
      <c r="X186" s="25"/>
      <c r="Y186" s="26"/>
      <c r="Z186" s="27"/>
      <c r="AA186" t="s">
        <v>25</v>
      </c>
      <c r="AB186" t="s">
        <v>201</v>
      </c>
      <c r="AC186" s="3"/>
      <c r="AH186" t="s">
        <v>202</v>
      </c>
      <c r="AK186" t="s">
        <v>203</v>
      </c>
      <c r="AP186" t="s">
        <v>200</v>
      </c>
      <c r="AR186" s="25"/>
      <c r="AT186" s="25">
        <v>0</v>
      </c>
      <c r="AU186" s="26"/>
      <c r="AV186" s="26"/>
      <c r="AW186" s="26"/>
      <c r="AX186" s="26" t="str">
        <f t="shared" si="6"/>
        <v/>
      </c>
      <c r="AY186" t="str">
        <f t="shared" si="7"/>
        <v/>
      </c>
      <c r="AZ186" t="s">
        <v>200</v>
      </c>
      <c r="BA186" s="3"/>
      <c r="BB186" t="str">
        <f t="shared" si="8"/>
        <v>No scrap rate (No impact);No raw material available (High);</v>
      </c>
    </row>
    <row r="187" spans="1:54" x14ac:dyDescent="0.3">
      <c r="A187" t="s">
        <v>1312</v>
      </c>
      <c r="B187" t="s">
        <v>1313</v>
      </c>
      <c r="C187" t="s">
        <v>946</v>
      </c>
      <c r="D187" t="s">
        <v>947</v>
      </c>
      <c r="G187" t="s">
        <v>1310</v>
      </c>
      <c r="H187" t="s">
        <v>1311</v>
      </c>
      <c r="L187">
        <v>0</v>
      </c>
      <c r="M187">
        <v>0.35599999999999998</v>
      </c>
      <c r="N187" t="s">
        <v>198</v>
      </c>
      <c r="O187">
        <v>0.2</v>
      </c>
      <c r="P187" t="s">
        <v>198</v>
      </c>
      <c r="Q187" t="s">
        <v>199</v>
      </c>
      <c r="R187" s="3"/>
      <c r="W187" t="s">
        <v>200</v>
      </c>
      <c r="X187" s="25"/>
      <c r="Y187" s="26"/>
      <c r="Z187" s="27"/>
      <c r="AA187" t="s">
        <v>25</v>
      </c>
      <c r="AB187" t="s">
        <v>201</v>
      </c>
      <c r="AC187" s="3"/>
      <c r="AH187" t="s">
        <v>202</v>
      </c>
      <c r="AK187" t="s">
        <v>203</v>
      </c>
      <c r="AP187" t="s">
        <v>200</v>
      </c>
      <c r="AR187" s="25"/>
      <c r="AT187" s="25">
        <v>0</v>
      </c>
      <c r="AU187" s="26"/>
      <c r="AV187" s="26"/>
      <c r="AW187" s="26"/>
      <c r="AX187" s="26" t="str">
        <f t="shared" si="6"/>
        <v/>
      </c>
      <c r="AY187" t="str">
        <f t="shared" si="7"/>
        <v/>
      </c>
      <c r="AZ187" t="s">
        <v>200</v>
      </c>
      <c r="BA187" s="3"/>
      <c r="BB187" t="str">
        <f t="shared" si="8"/>
        <v>No scrap rate (No impact);No raw material available (High);</v>
      </c>
    </row>
    <row r="188" spans="1:54" x14ac:dyDescent="0.3">
      <c r="A188" t="s">
        <v>1314</v>
      </c>
      <c r="B188" t="s">
        <v>1315</v>
      </c>
      <c r="C188" t="s">
        <v>747</v>
      </c>
      <c r="D188" t="s">
        <v>748</v>
      </c>
      <c r="G188" t="s">
        <v>1188</v>
      </c>
      <c r="H188" t="s">
        <v>1189</v>
      </c>
      <c r="J188" t="s">
        <v>926</v>
      </c>
      <c r="L188">
        <v>0</v>
      </c>
      <c r="M188">
        <v>0</v>
      </c>
      <c r="N188" t="s">
        <v>198</v>
      </c>
      <c r="O188">
        <v>0</v>
      </c>
      <c r="P188" t="s">
        <v>198</v>
      </c>
      <c r="Q188" t="s">
        <v>199</v>
      </c>
      <c r="R188" s="3"/>
      <c r="W188" t="s">
        <v>200</v>
      </c>
      <c r="X188" s="25"/>
      <c r="Y188" s="26"/>
      <c r="Z188" s="27"/>
      <c r="AA188" t="s">
        <v>25</v>
      </c>
      <c r="AB188" t="s">
        <v>201</v>
      </c>
      <c r="AC188" s="3"/>
      <c r="AH188" t="s">
        <v>202</v>
      </c>
      <c r="AK188" t="s">
        <v>203</v>
      </c>
      <c r="AP188" t="s">
        <v>200</v>
      </c>
      <c r="AR188" s="25"/>
      <c r="AT188" s="25">
        <v>0</v>
      </c>
      <c r="AU188" s="26"/>
      <c r="AV188" s="26"/>
      <c r="AW188" s="26"/>
      <c r="AX188" s="26" t="str">
        <f t="shared" si="6"/>
        <v/>
      </c>
      <c r="AY188" t="str">
        <f t="shared" si="7"/>
        <v/>
      </c>
      <c r="AZ188" t="s">
        <v>200</v>
      </c>
      <c r="BA188" s="3"/>
      <c r="BB188" t="str">
        <f t="shared" si="8"/>
        <v>No scrap rate (No impact);</v>
      </c>
    </row>
    <row r="189" spans="1:54" x14ac:dyDescent="0.3">
      <c r="A189" t="s">
        <v>1316</v>
      </c>
      <c r="B189" t="s">
        <v>1317</v>
      </c>
      <c r="C189" t="s">
        <v>906</v>
      </c>
      <c r="D189" t="s">
        <v>907</v>
      </c>
      <c r="G189" t="s">
        <v>1318</v>
      </c>
      <c r="H189" t="s">
        <v>1319</v>
      </c>
      <c r="J189" t="s">
        <v>910</v>
      </c>
      <c r="L189">
        <v>1</v>
      </c>
      <c r="M189">
        <v>3.7999999999999999E-2</v>
      </c>
      <c r="N189" t="s">
        <v>198</v>
      </c>
      <c r="O189">
        <v>0</v>
      </c>
      <c r="P189" t="s">
        <v>198</v>
      </c>
      <c r="Q189" t="s">
        <v>199</v>
      </c>
      <c r="R189" s="3"/>
      <c r="W189" t="s">
        <v>200</v>
      </c>
      <c r="X189" s="25"/>
      <c r="Y189" s="26"/>
      <c r="Z189" s="27"/>
      <c r="AA189" t="s">
        <v>25</v>
      </c>
      <c r="AB189" t="s">
        <v>201</v>
      </c>
      <c r="AC189" s="3"/>
      <c r="AH189" t="s">
        <v>202</v>
      </c>
      <c r="AK189" t="s">
        <v>203</v>
      </c>
      <c r="AP189" t="s">
        <v>200</v>
      </c>
      <c r="AR189" s="25"/>
      <c r="AT189" s="25">
        <v>0</v>
      </c>
      <c r="AU189" s="26"/>
      <c r="AV189" s="26"/>
      <c r="AW189" s="26"/>
      <c r="AX189" s="26" t="str">
        <f t="shared" si="6"/>
        <v/>
      </c>
      <c r="AY189" t="str">
        <f t="shared" si="7"/>
        <v/>
      </c>
      <c r="AZ189" t="s">
        <v>200</v>
      </c>
      <c r="BA189" s="3"/>
      <c r="BB189" t="str">
        <f t="shared" si="8"/>
        <v>No scrap rate (No impact);</v>
      </c>
    </row>
    <row r="190" spans="1:54" x14ac:dyDescent="0.3">
      <c r="A190" t="s">
        <v>1320</v>
      </c>
      <c r="B190" t="s">
        <v>1321</v>
      </c>
      <c r="C190" t="s">
        <v>995</v>
      </c>
      <c r="D190" t="s">
        <v>996</v>
      </c>
      <c r="G190" t="s">
        <v>1318</v>
      </c>
      <c r="H190" t="s">
        <v>1319</v>
      </c>
      <c r="J190" t="s">
        <v>1046</v>
      </c>
      <c r="L190">
        <v>1</v>
      </c>
      <c r="M190">
        <v>5.0000000000000001E-3</v>
      </c>
      <c r="N190" t="s">
        <v>198</v>
      </c>
      <c r="O190">
        <v>0</v>
      </c>
      <c r="P190" t="s">
        <v>198</v>
      </c>
      <c r="Q190" t="s">
        <v>199</v>
      </c>
      <c r="R190" s="3"/>
      <c r="W190" t="s">
        <v>200</v>
      </c>
      <c r="X190" s="25"/>
      <c r="Y190" s="26"/>
      <c r="Z190" s="27"/>
      <c r="AA190" t="s">
        <v>25</v>
      </c>
      <c r="AB190" t="s">
        <v>201</v>
      </c>
      <c r="AC190" s="3"/>
      <c r="AH190" t="s">
        <v>202</v>
      </c>
      <c r="AK190" t="s">
        <v>203</v>
      </c>
      <c r="AP190" t="s">
        <v>200</v>
      </c>
      <c r="AR190" s="25"/>
      <c r="AT190" s="25">
        <v>0</v>
      </c>
      <c r="AU190" s="26"/>
      <c r="AV190" s="26"/>
      <c r="AW190" s="26"/>
      <c r="AX190" s="26" t="str">
        <f t="shared" si="6"/>
        <v/>
      </c>
      <c r="AY190" t="str">
        <f t="shared" si="7"/>
        <v/>
      </c>
      <c r="AZ190" t="s">
        <v>200</v>
      </c>
      <c r="BA190" s="3"/>
      <c r="BB190" t="str">
        <f t="shared" si="8"/>
        <v>No scrap rate (No impact);</v>
      </c>
    </row>
    <row r="191" spans="1:54" x14ac:dyDescent="0.3">
      <c r="A191" t="s">
        <v>1322</v>
      </c>
      <c r="B191" t="s">
        <v>1323</v>
      </c>
      <c r="C191" t="s">
        <v>946</v>
      </c>
      <c r="D191" t="s">
        <v>947</v>
      </c>
      <c r="G191" t="s">
        <v>1324</v>
      </c>
      <c r="H191" t="s">
        <v>1325</v>
      </c>
      <c r="L191">
        <v>1</v>
      </c>
      <c r="M191">
        <v>0.223</v>
      </c>
      <c r="N191" t="s">
        <v>198</v>
      </c>
      <c r="O191">
        <v>0</v>
      </c>
      <c r="P191" t="s">
        <v>198</v>
      </c>
      <c r="Q191" t="s">
        <v>199</v>
      </c>
      <c r="R191" s="3"/>
      <c r="W191" t="s">
        <v>200</v>
      </c>
      <c r="X191" s="25"/>
      <c r="Y191" s="26"/>
      <c r="Z191" s="27"/>
      <c r="AA191" t="s">
        <v>25</v>
      </c>
      <c r="AB191" t="s">
        <v>201</v>
      </c>
      <c r="AC191" s="3"/>
      <c r="AH191" t="s">
        <v>202</v>
      </c>
      <c r="AK191" t="s">
        <v>203</v>
      </c>
      <c r="AP191" t="s">
        <v>200</v>
      </c>
      <c r="AR191" s="25"/>
      <c r="AT191" s="25">
        <v>0</v>
      </c>
      <c r="AU191" s="26"/>
      <c r="AV191" s="26"/>
      <c r="AW191" s="26"/>
      <c r="AX191" s="26" t="str">
        <f t="shared" si="6"/>
        <v/>
      </c>
      <c r="AY191" t="str">
        <f t="shared" si="7"/>
        <v/>
      </c>
      <c r="AZ191" t="s">
        <v>200</v>
      </c>
      <c r="BA191" s="3"/>
      <c r="BB191" t="str">
        <f t="shared" si="8"/>
        <v>No scrap rate (No impact);No raw material available (High);</v>
      </c>
    </row>
    <row r="192" spans="1:54" x14ac:dyDescent="0.3">
      <c r="A192" t="s">
        <v>1326</v>
      </c>
      <c r="B192" t="s">
        <v>1327</v>
      </c>
      <c r="C192" t="s">
        <v>938</v>
      </c>
      <c r="D192" t="s">
        <v>939</v>
      </c>
      <c r="G192" t="s">
        <v>1328</v>
      </c>
      <c r="H192" t="s">
        <v>1329</v>
      </c>
      <c r="L192">
        <v>1</v>
      </c>
      <c r="M192">
        <v>0</v>
      </c>
      <c r="N192" t="s">
        <v>198</v>
      </c>
      <c r="O192">
        <v>0</v>
      </c>
      <c r="P192" t="s">
        <v>198</v>
      </c>
      <c r="Q192" t="s">
        <v>199</v>
      </c>
      <c r="R192" s="3"/>
      <c r="W192" t="s">
        <v>200</v>
      </c>
      <c r="X192" s="25"/>
      <c r="Y192" s="26"/>
      <c r="Z192" s="27"/>
      <c r="AA192" t="s">
        <v>25</v>
      </c>
      <c r="AB192" t="s">
        <v>201</v>
      </c>
      <c r="AC192" s="3"/>
      <c r="AH192" t="s">
        <v>202</v>
      </c>
      <c r="AK192" t="s">
        <v>203</v>
      </c>
      <c r="AP192" t="s">
        <v>200</v>
      </c>
      <c r="AR192" s="25"/>
      <c r="AT192" s="25">
        <v>0</v>
      </c>
      <c r="AU192" s="26"/>
      <c r="AV192" s="26"/>
      <c r="AW192" s="26"/>
      <c r="AX192" s="26" t="str">
        <f t="shared" si="6"/>
        <v/>
      </c>
      <c r="AY192" t="str">
        <f t="shared" si="7"/>
        <v/>
      </c>
      <c r="AZ192" t="s">
        <v>200</v>
      </c>
      <c r="BA192" s="3"/>
      <c r="BB192" t="str">
        <f t="shared" si="8"/>
        <v>No scrap rate (No impact);No raw material available (High);</v>
      </c>
    </row>
    <row r="193" spans="1:54" x14ac:dyDescent="0.3">
      <c r="A193" t="s">
        <v>1330</v>
      </c>
      <c r="B193" t="s">
        <v>1331</v>
      </c>
      <c r="C193" t="s">
        <v>995</v>
      </c>
      <c r="D193" t="s">
        <v>996</v>
      </c>
      <c r="G193" t="s">
        <v>1332</v>
      </c>
      <c r="H193" t="s">
        <v>1333</v>
      </c>
      <c r="J193" t="s">
        <v>910</v>
      </c>
      <c r="K193" t="s">
        <v>1334</v>
      </c>
      <c r="L193">
        <v>1</v>
      </c>
      <c r="M193">
        <v>0.04</v>
      </c>
      <c r="N193" t="s">
        <v>198</v>
      </c>
      <c r="O193">
        <v>0.04</v>
      </c>
      <c r="P193" t="s">
        <v>198</v>
      </c>
      <c r="Q193" t="s">
        <v>199</v>
      </c>
      <c r="R193" s="3"/>
      <c r="W193" t="s">
        <v>200</v>
      </c>
      <c r="X193" s="25"/>
      <c r="Y193" s="26"/>
      <c r="Z193" s="27"/>
      <c r="AA193" t="s">
        <v>25</v>
      </c>
      <c r="AB193" t="s">
        <v>201</v>
      </c>
      <c r="AC193" s="3"/>
      <c r="AH193" t="s">
        <v>202</v>
      </c>
      <c r="AK193" t="s">
        <v>203</v>
      </c>
      <c r="AP193" t="s">
        <v>200</v>
      </c>
      <c r="AR193" s="25"/>
      <c r="AT193" s="25">
        <v>0</v>
      </c>
      <c r="AU193" s="26"/>
      <c r="AV193" s="26"/>
      <c r="AW193" s="26"/>
      <c r="AX193" s="26" t="str">
        <f t="shared" si="6"/>
        <v/>
      </c>
      <c r="AY193" t="str">
        <f t="shared" si="7"/>
        <v/>
      </c>
      <c r="AZ193" t="s">
        <v>200</v>
      </c>
      <c r="BA193" s="3"/>
      <c r="BB193" t="str">
        <f t="shared" si="8"/>
        <v>No scrap rate (No impact);</v>
      </c>
    </row>
    <row r="194" spans="1:54" x14ac:dyDescent="0.3">
      <c r="A194" t="s">
        <v>1335</v>
      </c>
      <c r="B194" t="s">
        <v>1336</v>
      </c>
      <c r="C194" t="s">
        <v>995</v>
      </c>
      <c r="D194" t="s">
        <v>996</v>
      </c>
      <c r="G194" t="s">
        <v>1014</v>
      </c>
      <c r="H194" t="s">
        <v>1015</v>
      </c>
      <c r="J194" t="s">
        <v>1046</v>
      </c>
      <c r="L194">
        <v>1</v>
      </c>
      <c r="M194">
        <v>1.2E-2</v>
      </c>
      <c r="N194" t="s">
        <v>198</v>
      </c>
      <c r="O194">
        <v>0</v>
      </c>
      <c r="P194" t="s">
        <v>198</v>
      </c>
      <c r="Q194" t="s">
        <v>199</v>
      </c>
      <c r="R194" s="3"/>
      <c r="W194" t="s">
        <v>200</v>
      </c>
      <c r="X194" s="25"/>
      <c r="Y194" s="26"/>
      <c r="Z194" s="27"/>
      <c r="AA194" t="s">
        <v>25</v>
      </c>
      <c r="AB194" t="s">
        <v>201</v>
      </c>
      <c r="AC194" s="3"/>
      <c r="AH194" t="s">
        <v>202</v>
      </c>
      <c r="AK194" t="s">
        <v>203</v>
      </c>
      <c r="AP194" t="s">
        <v>200</v>
      </c>
      <c r="AR194" s="25"/>
      <c r="AT194" s="25">
        <v>0</v>
      </c>
      <c r="AU194" s="26"/>
      <c r="AV194" s="26"/>
      <c r="AW194" s="26"/>
      <c r="AX194" s="26" t="str">
        <f t="shared" si="6"/>
        <v/>
      </c>
      <c r="AY194" t="str">
        <f t="shared" si="7"/>
        <v/>
      </c>
      <c r="AZ194" t="s">
        <v>200</v>
      </c>
      <c r="BA194" s="3"/>
      <c r="BB194" t="str">
        <f t="shared" si="8"/>
        <v>No scrap rate (No impact);</v>
      </c>
    </row>
    <row r="195" spans="1:54" x14ac:dyDescent="0.3">
      <c r="A195" t="s">
        <v>1337</v>
      </c>
      <c r="B195" t="s">
        <v>1338</v>
      </c>
      <c r="C195" t="s">
        <v>995</v>
      </c>
      <c r="D195" t="s">
        <v>996</v>
      </c>
      <c r="G195" t="s">
        <v>1262</v>
      </c>
      <c r="H195" t="s">
        <v>1263</v>
      </c>
      <c r="J195" t="s">
        <v>1046</v>
      </c>
      <c r="L195">
        <v>1</v>
      </c>
      <c r="M195">
        <v>1.6E-2</v>
      </c>
      <c r="N195" t="s">
        <v>198</v>
      </c>
      <c r="O195">
        <v>0</v>
      </c>
      <c r="P195" t="s">
        <v>198</v>
      </c>
      <c r="Q195" t="s">
        <v>199</v>
      </c>
      <c r="R195" s="3"/>
      <c r="W195" t="s">
        <v>200</v>
      </c>
      <c r="X195" s="25"/>
      <c r="Y195" s="26"/>
      <c r="Z195" s="27"/>
      <c r="AA195" t="s">
        <v>25</v>
      </c>
      <c r="AB195" t="s">
        <v>201</v>
      </c>
      <c r="AC195" s="3"/>
      <c r="AH195" t="s">
        <v>202</v>
      </c>
      <c r="AK195" t="s">
        <v>203</v>
      </c>
      <c r="AP195" t="s">
        <v>200</v>
      </c>
      <c r="AR195" s="25"/>
      <c r="AT195" s="25">
        <v>0</v>
      </c>
      <c r="AU195" s="26"/>
      <c r="AV195" s="26"/>
      <c r="AW195" s="26"/>
      <c r="AX195" s="26" t="str">
        <f t="shared" ref="AX195:AX258" si="9">IF(COUNT(AU195,AV195,AW195)=0,"",ROUND(AVERAGE(AU195,AV195,AW195),3))</f>
        <v/>
      </c>
      <c r="AY195" t="str">
        <f t="shared" ref="AY195:AY258" si="10">IF(AO195="","",ROUND(AO195*IF(M195="",0,M195)*(1+IF(AR195="",0,AR195)),5))</f>
        <v/>
      </c>
      <c r="AZ195" t="s">
        <v>200</v>
      </c>
      <c r="BA195" s="3"/>
      <c r="BB195" t="str">
        <f t="shared" ref="BB195:BB258" si="11">IF(AND(A195&lt;&gt;"",G195=""),"Supplier code empty (High);","")&amp;IF(AND(X195&lt;&gt;"",OR(X195&gt;1,X195&lt;0)),"Incorrect PDS value (High);",IF(AND(X195&lt;&gt;"",X195&gt;0.5),"High PDS value (Medium);",""))&amp;IF(AND(Y195&lt;&gt;"",OR(Y195&gt;5,Y195&lt;1)),"Incorrect DQR value (High);",IF(AND(Y195&lt;&gt;"",Y195&gt;4),"Incorrect DQR value (Medium);",IF(AND(Y195&lt;&gt;"",Y195&gt;3),"Incorrect DQR value (Low);","")))&amp;IF(AND(V195&lt;&gt;"",OR(V195&lt;=0,V195&gt;100)),"Unusual PCF value might be wrong (High);","")&amp;IF(AND(AT195&lt;&gt;"",OR(AT195&gt;1,AT195&lt;0)),"Incorrect PDS value (High);",IF(AND(AT195&lt;&gt;"",AT195&gt;0.5),"High PDS value (Medium);",""))&amp;IF(AND(AX195&lt;&gt;"",OR(AX195&gt;5,AX195&lt;1)),"Incorrect DQR value (High);",IF(AND(AX195&lt;&gt;"",AX195&gt;4),"Incorrect DQR value (Medium);",IF(AND(AX195&lt;&gt;"",AX195&gt;3),"Incorrect DQR value (Low);","")))&amp;IF(AND(AR195&lt;&gt;"",OR(AR195&gt;1,AR195&lt;0)),"Incorrect scrap rate (High);",IF(AND(A195&lt;&gt;"",AR195=0),"No scrap rate (No impact);",""))&amp;IF(AND(A195&lt;&gt;"",I195="",J195="",K195=""),"No raw material available (High);","")&amp;""</f>
        <v>No scrap rate (No impact);</v>
      </c>
    </row>
    <row r="196" spans="1:54" x14ac:dyDescent="0.3">
      <c r="A196" t="s">
        <v>1339</v>
      </c>
      <c r="B196" t="s">
        <v>1340</v>
      </c>
      <c r="C196" t="s">
        <v>906</v>
      </c>
      <c r="D196" t="s">
        <v>907</v>
      </c>
      <c r="G196" t="s">
        <v>1332</v>
      </c>
      <c r="H196" t="s">
        <v>1333</v>
      </c>
      <c r="J196" t="s">
        <v>910</v>
      </c>
      <c r="L196">
        <v>1</v>
      </c>
      <c r="M196">
        <v>0.9</v>
      </c>
      <c r="N196" t="s">
        <v>198</v>
      </c>
      <c r="O196">
        <v>0</v>
      </c>
      <c r="P196" t="s">
        <v>198</v>
      </c>
      <c r="Q196" t="s">
        <v>199</v>
      </c>
      <c r="R196" s="3"/>
      <c r="W196" t="s">
        <v>200</v>
      </c>
      <c r="X196" s="25"/>
      <c r="Y196" s="26"/>
      <c r="Z196" s="27"/>
      <c r="AA196" t="s">
        <v>25</v>
      </c>
      <c r="AB196" t="s">
        <v>201</v>
      </c>
      <c r="AC196" s="3"/>
      <c r="AH196" t="s">
        <v>202</v>
      </c>
      <c r="AK196" t="s">
        <v>203</v>
      </c>
      <c r="AP196" t="s">
        <v>200</v>
      </c>
      <c r="AR196" s="25"/>
      <c r="AT196" s="25">
        <v>0</v>
      </c>
      <c r="AU196" s="26"/>
      <c r="AV196" s="26"/>
      <c r="AW196" s="26"/>
      <c r="AX196" s="26" t="str">
        <f t="shared" si="9"/>
        <v/>
      </c>
      <c r="AY196" t="str">
        <f t="shared" si="10"/>
        <v/>
      </c>
      <c r="AZ196" t="s">
        <v>200</v>
      </c>
      <c r="BA196" s="3"/>
      <c r="BB196" t="str">
        <f t="shared" si="11"/>
        <v>No scrap rate (No impact);</v>
      </c>
    </row>
    <row r="197" spans="1:54" x14ac:dyDescent="0.3">
      <c r="A197" t="s">
        <v>1341</v>
      </c>
      <c r="B197" t="s">
        <v>1342</v>
      </c>
      <c r="C197" t="s">
        <v>906</v>
      </c>
      <c r="D197" t="s">
        <v>907</v>
      </c>
      <c r="G197" t="s">
        <v>1014</v>
      </c>
      <c r="H197" t="s">
        <v>1015</v>
      </c>
      <c r="J197" t="s">
        <v>910</v>
      </c>
      <c r="L197">
        <v>1</v>
      </c>
      <c r="M197">
        <v>0.16</v>
      </c>
      <c r="N197" t="s">
        <v>198</v>
      </c>
      <c r="O197">
        <v>0</v>
      </c>
      <c r="P197" t="s">
        <v>198</v>
      </c>
      <c r="Q197" t="s">
        <v>199</v>
      </c>
      <c r="R197" s="3"/>
      <c r="W197" t="s">
        <v>200</v>
      </c>
      <c r="X197" s="25"/>
      <c r="Y197" s="26"/>
      <c r="Z197" s="27"/>
      <c r="AA197" t="s">
        <v>25</v>
      </c>
      <c r="AB197" t="s">
        <v>201</v>
      </c>
      <c r="AC197" s="3"/>
      <c r="AH197" t="s">
        <v>202</v>
      </c>
      <c r="AK197" t="s">
        <v>203</v>
      </c>
      <c r="AP197" t="s">
        <v>200</v>
      </c>
      <c r="AR197" s="25"/>
      <c r="AT197" s="25">
        <v>0</v>
      </c>
      <c r="AU197" s="26"/>
      <c r="AV197" s="26"/>
      <c r="AW197" s="26"/>
      <c r="AX197" s="26" t="str">
        <f t="shared" si="9"/>
        <v/>
      </c>
      <c r="AY197" t="str">
        <f t="shared" si="10"/>
        <v/>
      </c>
      <c r="AZ197" t="s">
        <v>200</v>
      </c>
      <c r="BA197" s="3"/>
      <c r="BB197" t="str">
        <f t="shared" si="11"/>
        <v>No scrap rate (No impact);</v>
      </c>
    </row>
    <row r="198" spans="1:54" x14ac:dyDescent="0.3">
      <c r="A198" t="s">
        <v>1343</v>
      </c>
      <c r="B198" t="s">
        <v>1344</v>
      </c>
      <c r="C198" t="s">
        <v>938</v>
      </c>
      <c r="D198" t="s">
        <v>939</v>
      </c>
      <c r="G198" t="s">
        <v>1345</v>
      </c>
      <c r="H198" t="s">
        <v>1346</v>
      </c>
      <c r="L198">
        <v>1</v>
      </c>
      <c r="M198">
        <v>0</v>
      </c>
      <c r="N198" t="s">
        <v>198</v>
      </c>
      <c r="O198">
        <v>0</v>
      </c>
      <c r="P198" t="s">
        <v>198</v>
      </c>
      <c r="Q198" t="s">
        <v>199</v>
      </c>
      <c r="R198" s="3"/>
      <c r="W198" t="s">
        <v>200</v>
      </c>
      <c r="X198" s="25"/>
      <c r="Y198" s="26"/>
      <c r="Z198" s="27"/>
      <c r="AA198" t="s">
        <v>25</v>
      </c>
      <c r="AB198" t="s">
        <v>201</v>
      </c>
      <c r="AC198" s="3"/>
      <c r="AH198" t="s">
        <v>202</v>
      </c>
      <c r="AK198" t="s">
        <v>203</v>
      </c>
      <c r="AP198" t="s">
        <v>200</v>
      </c>
      <c r="AR198" s="25"/>
      <c r="AT198" s="25">
        <v>0</v>
      </c>
      <c r="AU198" s="26"/>
      <c r="AV198" s="26"/>
      <c r="AW198" s="26"/>
      <c r="AX198" s="26" t="str">
        <f t="shared" si="9"/>
        <v/>
      </c>
      <c r="AY198" t="str">
        <f t="shared" si="10"/>
        <v/>
      </c>
      <c r="AZ198" t="s">
        <v>200</v>
      </c>
      <c r="BA198" s="3"/>
      <c r="BB198" t="str">
        <f t="shared" si="11"/>
        <v>No scrap rate (No impact);No raw material available (High);</v>
      </c>
    </row>
    <row r="199" spans="1:54" x14ac:dyDescent="0.3">
      <c r="A199" t="s">
        <v>1347</v>
      </c>
      <c r="B199" t="s">
        <v>1348</v>
      </c>
      <c r="C199" t="s">
        <v>1110</v>
      </c>
      <c r="D199" t="s">
        <v>1111</v>
      </c>
      <c r="G199" t="s">
        <v>507</v>
      </c>
      <c r="H199" t="s">
        <v>508</v>
      </c>
      <c r="L199">
        <v>0</v>
      </c>
      <c r="M199">
        <v>0.2</v>
      </c>
      <c r="N199" t="s">
        <v>198</v>
      </c>
      <c r="O199">
        <v>0</v>
      </c>
      <c r="P199" t="s">
        <v>198</v>
      </c>
      <c r="Q199" t="s">
        <v>199</v>
      </c>
      <c r="R199" s="3"/>
      <c r="W199" t="s">
        <v>200</v>
      </c>
      <c r="X199" s="25"/>
      <c r="Y199" s="26"/>
      <c r="Z199" s="27"/>
      <c r="AA199" t="s">
        <v>25</v>
      </c>
      <c r="AB199" t="s">
        <v>201</v>
      </c>
      <c r="AC199" s="3"/>
      <c r="AH199" t="s">
        <v>202</v>
      </c>
      <c r="AK199" t="s">
        <v>203</v>
      </c>
      <c r="AP199" t="s">
        <v>200</v>
      </c>
      <c r="AR199" s="25"/>
      <c r="AT199" s="25">
        <v>0</v>
      </c>
      <c r="AU199" s="26"/>
      <c r="AV199" s="26"/>
      <c r="AW199" s="26"/>
      <c r="AX199" s="26" t="str">
        <f t="shared" si="9"/>
        <v/>
      </c>
      <c r="AY199" t="str">
        <f t="shared" si="10"/>
        <v/>
      </c>
      <c r="AZ199" t="s">
        <v>200</v>
      </c>
      <c r="BA199" s="3"/>
      <c r="BB199" t="str">
        <f t="shared" si="11"/>
        <v>No scrap rate (No impact);No raw material available (High);</v>
      </c>
    </row>
    <row r="200" spans="1:54" x14ac:dyDescent="0.3">
      <c r="A200" t="s">
        <v>1349</v>
      </c>
      <c r="B200" t="s">
        <v>1350</v>
      </c>
      <c r="C200" t="s">
        <v>995</v>
      </c>
      <c r="D200" t="s">
        <v>996</v>
      </c>
      <c r="G200" t="s">
        <v>1262</v>
      </c>
      <c r="H200" t="s">
        <v>1263</v>
      </c>
      <c r="J200" t="s">
        <v>1046</v>
      </c>
      <c r="L200">
        <v>0</v>
      </c>
      <c r="M200">
        <v>1.2E-2</v>
      </c>
      <c r="N200" t="s">
        <v>198</v>
      </c>
      <c r="O200">
        <v>1.2E-2</v>
      </c>
      <c r="P200" t="s">
        <v>198</v>
      </c>
      <c r="Q200" t="s">
        <v>199</v>
      </c>
      <c r="R200" s="3"/>
      <c r="W200" t="s">
        <v>200</v>
      </c>
      <c r="X200" s="25"/>
      <c r="Y200" s="26"/>
      <c r="Z200" s="27"/>
      <c r="AA200" t="s">
        <v>25</v>
      </c>
      <c r="AB200" t="s">
        <v>201</v>
      </c>
      <c r="AC200" s="3"/>
      <c r="AH200" t="s">
        <v>202</v>
      </c>
      <c r="AK200" t="s">
        <v>203</v>
      </c>
      <c r="AP200" t="s">
        <v>200</v>
      </c>
      <c r="AR200" s="25"/>
      <c r="AT200" s="25">
        <v>0</v>
      </c>
      <c r="AU200" s="26"/>
      <c r="AV200" s="26"/>
      <c r="AW200" s="26"/>
      <c r="AX200" s="26" t="str">
        <f t="shared" si="9"/>
        <v/>
      </c>
      <c r="AY200" t="str">
        <f t="shared" si="10"/>
        <v/>
      </c>
      <c r="AZ200" t="s">
        <v>200</v>
      </c>
      <c r="BA200" s="3"/>
      <c r="BB200" t="str">
        <f t="shared" si="11"/>
        <v>No scrap rate (No impact);</v>
      </c>
    </row>
    <row r="201" spans="1:54" x14ac:dyDescent="0.3">
      <c r="A201" t="s">
        <v>1351</v>
      </c>
      <c r="B201" t="s">
        <v>1352</v>
      </c>
      <c r="C201" t="s">
        <v>946</v>
      </c>
      <c r="D201" t="s">
        <v>947</v>
      </c>
      <c r="G201" t="s">
        <v>1324</v>
      </c>
      <c r="H201" t="s">
        <v>1325</v>
      </c>
      <c r="J201" t="s">
        <v>926</v>
      </c>
      <c r="L201">
        <v>0</v>
      </c>
      <c r="M201">
        <v>0.1</v>
      </c>
      <c r="N201" t="s">
        <v>198</v>
      </c>
      <c r="O201">
        <v>0.1</v>
      </c>
      <c r="P201" t="s">
        <v>198</v>
      </c>
      <c r="Q201" t="s">
        <v>199</v>
      </c>
      <c r="R201" s="3"/>
      <c r="W201" t="s">
        <v>200</v>
      </c>
      <c r="X201" s="25"/>
      <c r="Y201" s="26"/>
      <c r="Z201" s="27"/>
      <c r="AA201" t="s">
        <v>25</v>
      </c>
      <c r="AB201" t="s">
        <v>201</v>
      </c>
      <c r="AC201" s="3"/>
      <c r="AH201" t="s">
        <v>202</v>
      </c>
      <c r="AK201" t="s">
        <v>203</v>
      </c>
      <c r="AP201" t="s">
        <v>200</v>
      </c>
      <c r="AR201" s="25"/>
      <c r="AT201" s="25">
        <v>0</v>
      </c>
      <c r="AU201" s="26"/>
      <c r="AV201" s="26"/>
      <c r="AW201" s="26"/>
      <c r="AX201" s="26" t="str">
        <f t="shared" si="9"/>
        <v/>
      </c>
      <c r="AY201" t="str">
        <f t="shared" si="10"/>
        <v/>
      </c>
      <c r="AZ201" t="s">
        <v>200</v>
      </c>
      <c r="BA201" s="3"/>
      <c r="BB201" t="str">
        <f t="shared" si="11"/>
        <v>No scrap rate (No impact);</v>
      </c>
    </row>
    <row r="202" spans="1:54" x14ac:dyDescent="0.3">
      <c r="A202" t="s">
        <v>1353</v>
      </c>
      <c r="B202" t="s">
        <v>1354</v>
      </c>
      <c r="C202" t="s">
        <v>946</v>
      </c>
      <c r="D202" t="s">
        <v>947</v>
      </c>
      <c r="G202" t="s">
        <v>368</v>
      </c>
      <c r="H202" t="s">
        <v>369</v>
      </c>
      <c r="L202">
        <v>0</v>
      </c>
      <c r="M202">
        <v>0.13300000000000001</v>
      </c>
      <c r="N202" t="s">
        <v>198</v>
      </c>
      <c r="O202">
        <v>0.02</v>
      </c>
      <c r="P202" t="s">
        <v>198</v>
      </c>
      <c r="Q202" t="s">
        <v>199</v>
      </c>
      <c r="R202" s="3"/>
      <c r="W202" t="s">
        <v>200</v>
      </c>
      <c r="X202" s="25"/>
      <c r="Y202" s="26"/>
      <c r="Z202" s="27"/>
      <c r="AA202" t="s">
        <v>25</v>
      </c>
      <c r="AB202" t="s">
        <v>201</v>
      </c>
      <c r="AC202" s="3"/>
      <c r="AH202" t="s">
        <v>202</v>
      </c>
      <c r="AK202" t="s">
        <v>203</v>
      </c>
      <c r="AP202" t="s">
        <v>200</v>
      </c>
      <c r="AR202" s="25"/>
      <c r="AT202" s="25">
        <v>0</v>
      </c>
      <c r="AU202" s="26"/>
      <c r="AV202" s="26"/>
      <c r="AW202" s="26"/>
      <c r="AX202" s="26" t="str">
        <f t="shared" si="9"/>
        <v/>
      </c>
      <c r="AY202" t="str">
        <f t="shared" si="10"/>
        <v/>
      </c>
      <c r="AZ202" t="s">
        <v>200</v>
      </c>
      <c r="BA202" s="3"/>
      <c r="BB202" t="str">
        <f t="shared" si="11"/>
        <v>No scrap rate (No impact);No raw material available (High);</v>
      </c>
    </row>
    <row r="203" spans="1:54" x14ac:dyDescent="0.3">
      <c r="A203" t="s">
        <v>1355</v>
      </c>
      <c r="B203" t="s">
        <v>1356</v>
      </c>
      <c r="C203" t="s">
        <v>946</v>
      </c>
      <c r="D203" t="s">
        <v>947</v>
      </c>
      <c r="G203" t="s">
        <v>368</v>
      </c>
      <c r="H203" t="s">
        <v>369</v>
      </c>
      <c r="L203">
        <v>0</v>
      </c>
      <c r="M203">
        <v>0.187</v>
      </c>
      <c r="N203" t="s">
        <v>198</v>
      </c>
      <c r="O203">
        <v>0.03</v>
      </c>
      <c r="P203" t="s">
        <v>198</v>
      </c>
      <c r="Q203" t="s">
        <v>199</v>
      </c>
      <c r="R203" s="3"/>
      <c r="W203" t="s">
        <v>200</v>
      </c>
      <c r="X203" s="25"/>
      <c r="Y203" s="26"/>
      <c r="Z203" s="27"/>
      <c r="AA203" t="s">
        <v>25</v>
      </c>
      <c r="AB203" t="s">
        <v>201</v>
      </c>
      <c r="AC203" s="3"/>
      <c r="AH203" t="s">
        <v>202</v>
      </c>
      <c r="AK203" t="s">
        <v>203</v>
      </c>
      <c r="AP203" t="s">
        <v>200</v>
      </c>
      <c r="AR203" s="25"/>
      <c r="AT203" s="25">
        <v>0</v>
      </c>
      <c r="AU203" s="26"/>
      <c r="AV203" s="26"/>
      <c r="AW203" s="26"/>
      <c r="AX203" s="26" t="str">
        <f t="shared" si="9"/>
        <v/>
      </c>
      <c r="AY203" t="str">
        <f t="shared" si="10"/>
        <v/>
      </c>
      <c r="AZ203" t="s">
        <v>200</v>
      </c>
      <c r="BA203" s="3"/>
      <c r="BB203" t="str">
        <f t="shared" si="11"/>
        <v>No scrap rate (No impact);No raw material available (High);</v>
      </c>
    </row>
    <row r="204" spans="1:54" x14ac:dyDescent="0.3">
      <c r="A204" t="s">
        <v>1357</v>
      </c>
      <c r="B204" t="s">
        <v>1358</v>
      </c>
      <c r="C204" t="s">
        <v>946</v>
      </c>
      <c r="D204" t="s">
        <v>947</v>
      </c>
      <c r="G204" t="s">
        <v>1070</v>
      </c>
      <c r="H204" t="s">
        <v>1071</v>
      </c>
      <c r="J204" t="s">
        <v>926</v>
      </c>
      <c r="L204">
        <v>1</v>
      </c>
      <c r="M204">
        <v>0.22900000000000001</v>
      </c>
      <c r="N204" t="s">
        <v>198</v>
      </c>
      <c r="O204">
        <v>0.22900000000000001</v>
      </c>
      <c r="P204" t="s">
        <v>198</v>
      </c>
      <c r="Q204" t="s">
        <v>199</v>
      </c>
      <c r="R204" s="3"/>
      <c r="W204" t="s">
        <v>200</v>
      </c>
      <c r="X204" s="25"/>
      <c r="Y204" s="26"/>
      <c r="Z204" s="27"/>
      <c r="AA204" t="s">
        <v>25</v>
      </c>
      <c r="AB204" t="s">
        <v>201</v>
      </c>
      <c r="AC204" s="3"/>
      <c r="AH204" t="s">
        <v>202</v>
      </c>
      <c r="AK204" t="s">
        <v>203</v>
      </c>
      <c r="AP204" t="s">
        <v>200</v>
      </c>
      <c r="AR204" s="25"/>
      <c r="AT204" s="25">
        <v>0</v>
      </c>
      <c r="AU204" s="26"/>
      <c r="AV204" s="26"/>
      <c r="AW204" s="26"/>
      <c r="AX204" s="26" t="str">
        <f t="shared" si="9"/>
        <v/>
      </c>
      <c r="AY204" t="str">
        <f t="shared" si="10"/>
        <v/>
      </c>
      <c r="AZ204" t="s">
        <v>200</v>
      </c>
      <c r="BA204" s="3"/>
      <c r="BB204" t="str">
        <f t="shared" si="11"/>
        <v>No scrap rate (No impact);</v>
      </c>
    </row>
    <row r="205" spans="1:54" x14ac:dyDescent="0.3">
      <c r="A205" t="s">
        <v>1359</v>
      </c>
      <c r="B205" t="s">
        <v>1360</v>
      </c>
      <c r="C205" t="s">
        <v>946</v>
      </c>
      <c r="D205" t="s">
        <v>947</v>
      </c>
      <c r="G205" t="s">
        <v>368</v>
      </c>
      <c r="H205" t="s">
        <v>369</v>
      </c>
      <c r="L205">
        <v>0</v>
      </c>
      <c r="M205">
        <v>0.23899999999999999</v>
      </c>
      <c r="N205" t="s">
        <v>198</v>
      </c>
      <c r="O205">
        <v>0.2</v>
      </c>
      <c r="P205" t="s">
        <v>198</v>
      </c>
      <c r="Q205" t="s">
        <v>199</v>
      </c>
      <c r="R205" s="3"/>
      <c r="W205" t="s">
        <v>200</v>
      </c>
      <c r="X205" s="25"/>
      <c r="Y205" s="26"/>
      <c r="Z205" s="27"/>
      <c r="AA205" t="s">
        <v>25</v>
      </c>
      <c r="AB205" t="s">
        <v>201</v>
      </c>
      <c r="AC205" s="3"/>
      <c r="AH205" t="s">
        <v>202</v>
      </c>
      <c r="AK205" t="s">
        <v>203</v>
      </c>
      <c r="AP205" t="s">
        <v>200</v>
      </c>
      <c r="AR205" s="25"/>
      <c r="AT205" s="25">
        <v>0</v>
      </c>
      <c r="AU205" s="26"/>
      <c r="AV205" s="26"/>
      <c r="AW205" s="26"/>
      <c r="AX205" s="26" t="str">
        <f t="shared" si="9"/>
        <v/>
      </c>
      <c r="AY205" t="str">
        <f t="shared" si="10"/>
        <v/>
      </c>
      <c r="AZ205" t="s">
        <v>200</v>
      </c>
      <c r="BA205" s="3"/>
      <c r="BB205" t="str">
        <f t="shared" si="11"/>
        <v>No scrap rate (No impact);No raw material available (High);</v>
      </c>
    </row>
    <row r="206" spans="1:54" x14ac:dyDescent="0.3">
      <c r="A206" t="s">
        <v>1361</v>
      </c>
      <c r="B206" t="s">
        <v>1362</v>
      </c>
      <c r="C206" t="s">
        <v>1110</v>
      </c>
      <c r="D206" t="s">
        <v>1111</v>
      </c>
      <c r="G206" t="s">
        <v>1188</v>
      </c>
      <c r="H206" t="s">
        <v>1189</v>
      </c>
      <c r="L206">
        <v>0</v>
      </c>
      <c r="M206">
        <v>0.2</v>
      </c>
      <c r="N206" t="s">
        <v>198</v>
      </c>
      <c r="O206">
        <v>0.2</v>
      </c>
      <c r="P206" t="s">
        <v>198</v>
      </c>
      <c r="Q206" t="s">
        <v>199</v>
      </c>
      <c r="R206" s="3"/>
      <c r="W206" t="s">
        <v>200</v>
      </c>
      <c r="X206" s="25"/>
      <c r="Y206" s="26"/>
      <c r="Z206" s="27"/>
      <c r="AA206" t="s">
        <v>25</v>
      </c>
      <c r="AB206" t="s">
        <v>201</v>
      </c>
      <c r="AC206" s="3"/>
      <c r="AH206" t="s">
        <v>202</v>
      </c>
      <c r="AK206" t="s">
        <v>203</v>
      </c>
      <c r="AP206" t="s">
        <v>200</v>
      </c>
      <c r="AR206" s="25"/>
      <c r="AT206" s="25">
        <v>0</v>
      </c>
      <c r="AU206" s="26"/>
      <c r="AV206" s="26"/>
      <c r="AW206" s="26"/>
      <c r="AX206" s="26" t="str">
        <f t="shared" si="9"/>
        <v/>
      </c>
      <c r="AY206" t="str">
        <f t="shared" si="10"/>
        <v/>
      </c>
      <c r="AZ206" t="s">
        <v>200</v>
      </c>
      <c r="BA206" s="3"/>
      <c r="BB206" t="str">
        <f t="shared" si="11"/>
        <v>No scrap rate (No impact);No raw material available (High);</v>
      </c>
    </row>
    <row r="207" spans="1:54" x14ac:dyDescent="0.3">
      <c r="A207" t="s">
        <v>1363</v>
      </c>
      <c r="B207" t="s">
        <v>1364</v>
      </c>
      <c r="C207" t="s">
        <v>946</v>
      </c>
      <c r="D207" t="s">
        <v>947</v>
      </c>
      <c r="G207" t="s">
        <v>246</v>
      </c>
      <c r="H207" t="s">
        <v>247</v>
      </c>
      <c r="J207" t="s">
        <v>926</v>
      </c>
      <c r="L207">
        <v>0</v>
      </c>
      <c r="M207">
        <v>0.2</v>
      </c>
      <c r="N207" t="s">
        <v>198</v>
      </c>
      <c r="O207">
        <v>0.2</v>
      </c>
      <c r="P207" t="s">
        <v>198</v>
      </c>
      <c r="Q207" t="s">
        <v>199</v>
      </c>
      <c r="R207" s="3"/>
      <c r="W207" t="s">
        <v>200</v>
      </c>
      <c r="X207" s="25"/>
      <c r="Y207" s="26"/>
      <c r="Z207" s="27"/>
      <c r="AA207" t="s">
        <v>25</v>
      </c>
      <c r="AB207" t="s">
        <v>201</v>
      </c>
      <c r="AC207" s="3"/>
      <c r="AH207" t="s">
        <v>202</v>
      </c>
      <c r="AK207" t="s">
        <v>203</v>
      </c>
      <c r="AP207" t="s">
        <v>200</v>
      </c>
      <c r="AR207" s="25"/>
      <c r="AT207" s="25">
        <v>0</v>
      </c>
      <c r="AU207" s="26"/>
      <c r="AV207" s="26"/>
      <c r="AW207" s="26"/>
      <c r="AX207" s="26" t="str">
        <f t="shared" si="9"/>
        <v/>
      </c>
      <c r="AY207" t="str">
        <f t="shared" si="10"/>
        <v/>
      </c>
      <c r="AZ207" t="s">
        <v>200</v>
      </c>
      <c r="BA207" s="3"/>
      <c r="BB207" t="str">
        <f t="shared" si="11"/>
        <v>No scrap rate (No impact);</v>
      </c>
    </row>
    <row r="208" spans="1:54" x14ac:dyDescent="0.3">
      <c r="A208" t="s">
        <v>1365</v>
      </c>
      <c r="B208" t="s">
        <v>1366</v>
      </c>
      <c r="C208" t="s">
        <v>995</v>
      </c>
      <c r="D208" t="s">
        <v>996</v>
      </c>
      <c r="G208" t="s">
        <v>1005</v>
      </c>
      <c r="H208" t="s">
        <v>1006</v>
      </c>
      <c r="J208" t="s">
        <v>910</v>
      </c>
      <c r="L208">
        <v>1</v>
      </c>
      <c r="M208">
        <v>6.0000000000000001E-3</v>
      </c>
      <c r="N208" t="s">
        <v>198</v>
      </c>
      <c r="O208">
        <v>6.0000000000000001E-3</v>
      </c>
      <c r="P208" t="s">
        <v>198</v>
      </c>
      <c r="Q208" t="s">
        <v>199</v>
      </c>
      <c r="R208" s="3"/>
      <c r="W208" t="s">
        <v>200</v>
      </c>
      <c r="X208" s="25"/>
      <c r="Y208" s="26"/>
      <c r="Z208" s="27"/>
      <c r="AA208" t="s">
        <v>25</v>
      </c>
      <c r="AB208" t="s">
        <v>201</v>
      </c>
      <c r="AC208" s="3"/>
      <c r="AH208" t="s">
        <v>202</v>
      </c>
      <c r="AK208" t="s">
        <v>203</v>
      </c>
      <c r="AP208" t="s">
        <v>200</v>
      </c>
      <c r="AR208" s="25"/>
      <c r="AT208" s="25">
        <v>0</v>
      </c>
      <c r="AU208" s="26"/>
      <c r="AV208" s="26"/>
      <c r="AW208" s="26"/>
      <c r="AX208" s="26" t="str">
        <f t="shared" si="9"/>
        <v/>
      </c>
      <c r="AY208" t="str">
        <f t="shared" si="10"/>
        <v/>
      </c>
      <c r="AZ208" t="s">
        <v>200</v>
      </c>
      <c r="BA208" s="3"/>
      <c r="BB208" t="str">
        <f t="shared" si="11"/>
        <v>No scrap rate (No impact);</v>
      </c>
    </row>
    <row r="209" spans="1:54" x14ac:dyDescent="0.3">
      <c r="A209" t="s">
        <v>1367</v>
      </c>
      <c r="B209" t="s">
        <v>1368</v>
      </c>
      <c r="C209" t="s">
        <v>1171</v>
      </c>
      <c r="D209" t="s">
        <v>1172</v>
      </c>
      <c r="G209" t="s">
        <v>443</v>
      </c>
      <c r="H209" t="s">
        <v>444</v>
      </c>
      <c r="L209">
        <v>0</v>
      </c>
      <c r="M209">
        <v>0.17199999999999999</v>
      </c>
      <c r="N209" t="s">
        <v>198</v>
      </c>
      <c r="O209">
        <v>0.17199999999999999</v>
      </c>
      <c r="P209" t="s">
        <v>198</v>
      </c>
      <c r="Q209" t="s">
        <v>199</v>
      </c>
      <c r="R209" s="3"/>
      <c r="W209" t="s">
        <v>200</v>
      </c>
      <c r="X209" s="25"/>
      <c r="Y209" s="26"/>
      <c r="Z209" s="27"/>
      <c r="AA209" t="s">
        <v>25</v>
      </c>
      <c r="AB209" t="s">
        <v>201</v>
      </c>
      <c r="AC209" s="3"/>
      <c r="AH209" t="s">
        <v>202</v>
      </c>
      <c r="AK209" t="s">
        <v>203</v>
      </c>
      <c r="AP209" t="s">
        <v>200</v>
      </c>
      <c r="AR209" s="25"/>
      <c r="AT209" s="25">
        <v>0</v>
      </c>
      <c r="AU209" s="26"/>
      <c r="AV209" s="26"/>
      <c r="AW209" s="26"/>
      <c r="AX209" s="26" t="str">
        <f t="shared" si="9"/>
        <v/>
      </c>
      <c r="AY209" t="str">
        <f t="shared" si="10"/>
        <v/>
      </c>
      <c r="AZ209" t="s">
        <v>200</v>
      </c>
      <c r="BA209" s="3"/>
      <c r="BB209" t="str">
        <f t="shared" si="11"/>
        <v>No scrap rate (No impact);No raw material available (High);</v>
      </c>
    </row>
    <row r="210" spans="1:54" x14ac:dyDescent="0.3">
      <c r="A210" t="s">
        <v>1369</v>
      </c>
      <c r="B210" t="s">
        <v>1370</v>
      </c>
      <c r="C210" t="s">
        <v>1171</v>
      </c>
      <c r="D210" t="s">
        <v>1172</v>
      </c>
      <c r="G210" t="s">
        <v>443</v>
      </c>
      <c r="H210" t="s">
        <v>444</v>
      </c>
      <c r="L210">
        <v>0</v>
      </c>
      <c r="M210">
        <v>0.25800000000000001</v>
      </c>
      <c r="N210" t="s">
        <v>198</v>
      </c>
      <c r="O210">
        <v>0.25800000000000001</v>
      </c>
      <c r="P210" t="s">
        <v>198</v>
      </c>
      <c r="Q210" t="s">
        <v>199</v>
      </c>
      <c r="R210" s="3"/>
      <c r="W210" t="s">
        <v>200</v>
      </c>
      <c r="X210" s="25"/>
      <c r="Y210" s="26"/>
      <c r="Z210" s="27"/>
      <c r="AA210" t="s">
        <v>25</v>
      </c>
      <c r="AB210" t="s">
        <v>201</v>
      </c>
      <c r="AC210" s="3"/>
      <c r="AH210" t="s">
        <v>202</v>
      </c>
      <c r="AK210" t="s">
        <v>203</v>
      </c>
      <c r="AP210" t="s">
        <v>200</v>
      </c>
      <c r="AR210" s="25"/>
      <c r="AT210" s="25">
        <v>0</v>
      </c>
      <c r="AU210" s="26"/>
      <c r="AV210" s="26"/>
      <c r="AW210" s="26"/>
      <c r="AX210" s="26" t="str">
        <f t="shared" si="9"/>
        <v/>
      </c>
      <c r="AY210" t="str">
        <f t="shared" si="10"/>
        <v/>
      </c>
      <c r="AZ210" t="s">
        <v>200</v>
      </c>
      <c r="BA210" s="3"/>
      <c r="BB210" t="str">
        <f t="shared" si="11"/>
        <v>No scrap rate (No impact);No raw material available (High);</v>
      </c>
    </row>
    <row r="211" spans="1:54" x14ac:dyDescent="0.3">
      <c r="A211" t="s">
        <v>1371</v>
      </c>
      <c r="B211" t="s">
        <v>1372</v>
      </c>
      <c r="C211" t="s">
        <v>906</v>
      </c>
      <c r="D211" t="s">
        <v>907</v>
      </c>
      <c r="G211" t="s">
        <v>1373</v>
      </c>
      <c r="H211" t="s">
        <v>1374</v>
      </c>
      <c r="J211" t="s">
        <v>1126</v>
      </c>
      <c r="L211">
        <v>1</v>
      </c>
      <c r="M211">
        <v>4.9000000000000002E-2</v>
      </c>
      <c r="N211" t="s">
        <v>198</v>
      </c>
      <c r="O211">
        <v>4.8000000000000001E-2</v>
      </c>
      <c r="P211" t="s">
        <v>198</v>
      </c>
      <c r="Q211" t="s">
        <v>199</v>
      </c>
      <c r="R211" s="3"/>
      <c r="W211" t="s">
        <v>200</v>
      </c>
      <c r="X211" s="25"/>
      <c r="Y211" s="26"/>
      <c r="Z211" s="27"/>
      <c r="AA211" t="s">
        <v>25</v>
      </c>
      <c r="AB211" t="s">
        <v>201</v>
      </c>
      <c r="AC211" s="3"/>
      <c r="AH211" t="s">
        <v>202</v>
      </c>
      <c r="AK211" t="s">
        <v>203</v>
      </c>
      <c r="AP211" t="s">
        <v>200</v>
      </c>
      <c r="AR211" s="25"/>
      <c r="AT211" s="25">
        <v>0</v>
      </c>
      <c r="AU211" s="26"/>
      <c r="AV211" s="26"/>
      <c r="AW211" s="26"/>
      <c r="AX211" s="26" t="str">
        <f t="shared" si="9"/>
        <v/>
      </c>
      <c r="AY211" t="str">
        <f t="shared" si="10"/>
        <v/>
      </c>
      <c r="AZ211" t="s">
        <v>200</v>
      </c>
      <c r="BA211" s="3"/>
      <c r="BB211" t="str">
        <f t="shared" si="11"/>
        <v>No scrap rate (No impact);</v>
      </c>
    </row>
    <row r="212" spans="1:54" x14ac:dyDescent="0.3">
      <c r="A212" t="s">
        <v>1375</v>
      </c>
      <c r="B212" t="s">
        <v>1376</v>
      </c>
      <c r="C212" t="s">
        <v>906</v>
      </c>
      <c r="D212" t="s">
        <v>907</v>
      </c>
      <c r="G212" t="s">
        <v>1373</v>
      </c>
      <c r="H212" t="s">
        <v>1374</v>
      </c>
      <c r="J212" t="s">
        <v>1126</v>
      </c>
      <c r="L212">
        <v>1</v>
      </c>
      <c r="M212">
        <v>4.9000000000000002E-2</v>
      </c>
      <c r="N212" t="s">
        <v>198</v>
      </c>
      <c r="O212">
        <v>3.2000000000000001E-2</v>
      </c>
      <c r="P212" t="s">
        <v>198</v>
      </c>
      <c r="Q212" t="s">
        <v>199</v>
      </c>
      <c r="R212" s="3"/>
      <c r="W212" t="s">
        <v>200</v>
      </c>
      <c r="X212" s="25"/>
      <c r="Y212" s="26"/>
      <c r="Z212" s="27"/>
      <c r="AA212" t="s">
        <v>25</v>
      </c>
      <c r="AB212" t="s">
        <v>201</v>
      </c>
      <c r="AC212" s="3"/>
      <c r="AH212" t="s">
        <v>202</v>
      </c>
      <c r="AK212" t="s">
        <v>203</v>
      </c>
      <c r="AP212" t="s">
        <v>200</v>
      </c>
      <c r="AR212" s="25"/>
      <c r="AT212" s="25">
        <v>0</v>
      </c>
      <c r="AU212" s="26"/>
      <c r="AV212" s="26"/>
      <c r="AW212" s="26"/>
      <c r="AX212" s="26" t="str">
        <f t="shared" si="9"/>
        <v/>
      </c>
      <c r="AY212" t="str">
        <f t="shared" si="10"/>
        <v/>
      </c>
      <c r="AZ212" t="s">
        <v>200</v>
      </c>
      <c r="BA212" s="3"/>
      <c r="BB212" t="str">
        <f t="shared" si="11"/>
        <v>No scrap rate (No impact);</v>
      </c>
    </row>
    <row r="213" spans="1:54" x14ac:dyDescent="0.3">
      <c r="A213" t="s">
        <v>1377</v>
      </c>
      <c r="B213" t="s">
        <v>1378</v>
      </c>
      <c r="C213" t="s">
        <v>906</v>
      </c>
      <c r="D213" t="s">
        <v>907</v>
      </c>
      <c r="G213" t="s">
        <v>1373</v>
      </c>
      <c r="H213" t="s">
        <v>1374</v>
      </c>
      <c r="J213" t="s">
        <v>1126</v>
      </c>
      <c r="L213">
        <v>1</v>
      </c>
      <c r="M213">
        <v>3.5000000000000003E-2</v>
      </c>
      <c r="N213" t="s">
        <v>198</v>
      </c>
      <c r="O213">
        <v>4.8000000000000001E-2</v>
      </c>
      <c r="P213" t="s">
        <v>198</v>
      </c>
      <c r="Q213" t="s">
        <v>199</v>
      </c>
      <c r="R213" s="3"/>
      <c r="W213" t="s">
        <v>200</v>
      </c>
      <c r="X213" s="25"/>
      <c r="Y213" s="26"/>
      <c r="Z213" s="27"/>
      <c r="AA213" t="s">
        <v>25</v>
      </c>
      <c r="AB213" t="s">
        <v>201</v>
      </c>
      <c r="AC213" s="3"/>
      <c r="AH213" t="s">
        <v>202</v>
      </c>
      <c r="AK213" t="s">
        <v>203</v>
      </c>
      <c r="AP213" t="s">
        <v>200</v>
      </c>
      <c r="AR213" s="25"/>
      <c r="AT213" s="25">
        <v>0</v>
      </c>
      <c r="AU213" s="26"/>
      <c r="AV213" s="26"/>
      <c r="AW213" s="26"/>
      <c r="AX213" s="26" t="str">
        <f t="shared" si="9"/>
        <v/>
      </c>
      <c r="AY213" t="str">
        <f t="shared" si="10"/>
        <v/>
      </c>
      <c r="AZ213" t="s">
        <v>200</v>
      </c>
      <c r="BA213" s="3"/>
      <c r="BB213" t="str">
        <f t="shared" si="11"/>
        <v>No scrap rate (No impact);</v>
      </c>
    </row>
    <row r="214" spans="1:54" x14ac:dyDescent="0.3">
      <c r="A214" t="s">
        <v>1379</v>
      </c>
      <c r="B214" t="s">
        <v>1380</v>
      </c>
      <c r="C214" t="s">
        <v>946</v>
      </c>
      <c r="D214" t="s">
        <v>947</v>
      </c>
      <c r="G214" t="s">
        <v>1070</v>
      </c>
      <c r="H214" t="s">
        <v>1071</v>
      </c>
      <c r="L214">
        <v>1</v>
      </c>
      <c r="M214">
        <v>0.33900000000000002</v>
      </c>
      <c r="N214" t="s">
        <v>198</v>
      </c>
      <c r="O214">
        <v>0.33900000000000002</v>
      </c>
      <c r="P214" t="s">
        <v>198</v>
      </c>
      <c r="Q214" t="s">
        <v>199</v>
      </c>
      <c r="R214" s="3"/>
      <c r="W214" t="s">
        <v>200</v>
      </c>
      <c r="X214" s="25"/>
      <c r="Y214" s="26"/>
      <c r="Z214" s="27"/>
      <c r="AA214" t="s">
        <v>25</v>
      </c>
      <c r="AB214" t="s">
        <v>201</v>
      </c>
      <c r="AC214" s="3"/>
      <c r="AH214" t="s">
        <v>202</v>
      </c>
      <c r="AK214" t="s">
        <v>203</v>
      </c>
      <c r="AP214" t="s">
        <v>200</v>
      </c>
      <c r="AR214" s="25"/>
      <c r="AT214" s="25">
        <v>0</v>
      </c>
      <c r="AU214" s="26"/>
      <c r="AV214" s="26"/>
      <c r="AW214" s="26"/>
      <c r="AX214" s="26" t="str">
        <f t="shared" si="9"/>
        <v/>
      </c>
      <c r="AY214" t="str">
        <f t="shared" si="10"/>
        <v/>
      </c>
      <c r="AZ214" t="s">
        <v>200</v>
      </c>
      <c r="BA214" s="3"/>
      <c r="BB214" t="str">
        <f t="shared" si="11"/>
        <v>No scrap rate (No impact);No raw material available (High);</v>
      </c>
    </row>
    <row r="215" spans="1:54" x14ac:dyDescent="0.3">
      <c r="A215" t="s">
        <v>1381</v>
      </c>
      <c r="B215" t="s">
        <v>1382</v>
      </c>
      <c r="C215" t="s">
        <v>946</v>
      </c>
      <c r="D215" t="s">
        <v>947</v>
      </c>
      <c r="G215" t="s">
        <v>575</v>
      </c>
      <c r="H215" t="s">
        <v>576</v>
      </c>
      <c r="J215" t="s">
        <v>926</v>
      </c>
      <c r="L215">
        <v>0</v>
      </c>
      <c r="M215">
        <v>6.6000000000000003E-2</v>
      </c>
      <c r="N215" t="s">
        <v>198</v>
      </c>
      <c r="O215">
        <v>6.6000000000000003E-2</v>
      </c>
      <c r="P215" t="s">
        <v>198</v>
      </c>
      <c r="Q215" t="s">
        <v>199</v>
      </c>
      <c r="R215" s="3"/>
      <c r="W215" t="s">
        <v>200</v>
      </c>
      <c r="X215" s="25"/>
      <c r="Y215" s="26"/>
      <c r="Z215" s="27"/>
      <c r="AA215" t="s">
        <v>25</v>
      </c>
      <c r="AB215" t="s">
        <v>201</v>
      </c>
      <c r="AC215" s="3"/>
      <c r="AH215" t="s">
        <v>202</v>
      </c>
      <c r="AK215" t="s">
        <v>203</v>
      </c>
      <c r="AP215" t="s">
        <v>200</v>
      </c>
      <c r="AR215" s="25"/>
      <c r="AT215" s="25">
        <v>0</v>
      </c>
      <c r="AU215" s="26"/>
      <c r="AV215" s="26"/>
      <c r="AW215" s="26"/>
      <c r="AX215" s="26" t="str">
        <f t="shared" si="9"/>
        <v/>
      </c>
      <c r="AY215" t="str">
        <f t="shared" si="10"/>
        <v/>
      </c>
      <c r="AZ215" t="s">
        <v>200</v>
      </c>
      <c r="BA215" s="3"/>
      <c r="BB215" t="str">
        <f t="shared" si="11"/>
        <v>No scrap rate (No impact);</v>
      </c>
    </row>
    <row r="216" spans="1:54" x14ac:dyDescent="0.3">
      <c r="A216" t="s">
        <v>1383</v>
      </c>
      <c r="B216" t="s">
        <v>1384</v>
      </c>
      <c r="C216" t="s">
        <v>918</v>
      </c>
      <c r="D216" t="s">
        <v>919</v>
      </c>
      <c r="G216" t="s">
        <v>575</v>
      </c>
      <c r="H216" t="s">
        <v>576</v>
      </c>
      <c r="J216" t="s">
        <v>1290</v>
      </c>
      <c r="L216">
        <v>0</v>
      </c>
      <c r="M216">
        <v>2E-3</v>
      </c>
      <c r="N216" t="s">
        <v>198</v>
      </c>
      <c r="O216">
        <v>0.1</v>
      </c>
      <c r="P216" t="s">
        <v>198</v>
      </c>
      <c r="Q216" t="s">
        <v>199</v>
      </c>
      <c r="R216" s="3"/>
      <c r="W216" t="s">
        <v>200</v>
      </c>
      <c r="X216" s="25"/>
      <c r="Y216" s="26"/>
      <c r="Z216" s="27"/>
      <c r="AA216" t="s">
        <v>25</v>
      </c>
      <c r="AB216" t="s">
        <v>201</v>
      </c>
      <c r="AC216" s="3"/>
      <c r="AH216" t="s">
        <v>202</v>
      </c>
      <c r="AK216" t="s">
        <v>203</v>
      </c>
      <c r="AP216" t="s">
        <v>200</v>
      </c>
      <c r="AR216" s="25"/>
      <c r="AT216" s="25">
        <v>0</v>
      </c>
      <c r="AU216" s="26"/>
      <c r="AV216" s="26"/>
      <c r="AW216" s="26"/>
      <c r="AX216" s="26" t="str">
        <f t="shared" si="9"/>
        <v/>
      </c>
      <c r="AY216" t="str">
        <f t="shared" si="10"/>
        <v/>
      </c>
      <c r="AZ216" t="s">
        <v>200</v>
      </c>
      <c r="BA216" s="3"/>
      <c r="BB216" t="str">
        <f t="shared" si="11"/>
        <v>No scrap rate (No impact);</v>
      </c>
    </row>
    <row r="217" spans="1:54" x14ac:dyDescent="0.3">
      <c r="A217" t="s">
        <v>1385</v>
      </c>
      <c r="B217" t="s">
        <v>1386</v>
      </c>
      <c r="C217" t="s">
        <v>1171</v>
      </c>
      <c r="D217" t="s">
        <v>1172</v>
      </c>
      <c r="G217" t="s">
        <v>575</v>
      </c>
      <c r="H217" t="s">
        <v>576</v>
      </c>
      <c r="J217" t="s">
        <v>1046</v>
      </c>
      <c r="L217">
        <v>0</v>
      </c>
      <c r="M217">
        <v>0.23200000000000001</v>
      </c>
      <c r="N217" t="s">
        <v>198</v>
      </c>
      <c r="O217">
        <v>0.17699999999999999</v>
      </c>
      <c r="P217" t="s">
        <v>198</v>
      </c>
      <c r="Q217" t="s">
        <v>199</v>
      </c>
      <c r="R217" s="3"/>
      <c r="W217" t="s">
        <v>200</v>
      </c>
      <c r="X217" s="25"/>
      <c r="Y217" s="26"/>
      <c r="Z217" s="27"/>
      <c r="AA217" t="s">
        <v>25</v>
      </c>
      <c r="AB217" t="s">
        <v>201</v>
      </c>
      <c r="AC217" s="3"/>
      <c r="AH217" t="s">
        <v>202</v>
      </c>
      <c r="AK217" t="s">
        <v>203</v>
      </c>
      <c r="AP217" t="s">
        <v>200</v>
      </c>
      <c r="AR217" s="25"/>
      <c r="AT217" s="25">
        <v>0</v>
      </c>
      <c r="AU217" s="26"/>
      <c r="AV217" s="26"/>
      <c r="AW217" s="26"/>
      <c r="AX217" s="26" t="str">
        <f t="shared" si="9"/>
        <v/>
      </c>
      <c r="AY217" t="str">
        <f t="shared" si="10"/>
        <v/>
      </c>
      <c r="AZ217" t="s">
        <v>200</v>
      </c>
      <c r="BA217" s="3"/>
      <c r="BB217" t="str">
        <f t="shared" si="11"/>
        <v>No scrap rate (No impact);</v>
      </c>
    </row>
    <row r="218" spans="1:54" x14ac:dyDescent="0.3">
      <c r="A218" t="s">
        <v>1387</v>
      </c>
      <c r="B218" t="s">
        <v>1388</v>
      </c>
      <c r="C218" t="s">
        <v>946</v>
      </c>
      <c r="D218" t="s">
        <v>947</v>
      </c>
      <c r="G218" t="s">
        <v>575</v>
      </c>
      <c r="H218" t="s">
        <v>576</v>
      </c>
      <c r="L218">
        <v>0</v>
      </c>
      <c r="M218">
        <v>0.16500000000000001</v>
      </c>
      <c r="N218" t="s">
        <v>198</v>
      </c>
      <c r="O218">
        <v>0.2</v>
      </c>
      <c r="P218" t="s">
        <v>198</v>
      </c>
      <c r="Q218" t="s">
        <v>199</v>
      </c>
      <c r="R218" s="3"/>
      <c r="W218" t="s">
        <v>200</v>
      </c>
      <c r="X218" s="25"/>
      <c r="Y218" s="26"/>
      <c r="Z218" s="27"/>
      <c r="AA218" t="s">
        <v>25</v>
      </c>
      <c r="AB218" t="s">
        <v>201</v>
      </c>
      <c r="AC218" s="3"/>
      <c r="AH218" t="s">
        <v>202</v>
      </c>
      <c r="AK218" t="s">
        <v>203</v>
      </c>
      <c r="AP218" t="s">
        <v>200</v>
      </c>
      <c r="AR218" s="25"/>
      <c r="AT218" s="25">
        <v>0</v>
      </c>
      <c r="AU218" s="26"/>
      <c r="AV218" s="26"/>
      <c r="AW218" s="26"/>
      <c r="AX218" s="26" t="str">
        <f t="shared" si="9"/>
        <v/>
      </c>
      <c r="AY218" t="str">
        <f t="shared" si="10"/>
        <v/>
      </c>
      <c r="AZ218" t="s">
        <v>200</v>
      </c>
      <c r="BA218" s="3"/>
      <c r="BB218" t="str">
        <f t="shared" si="11"/>
        <v>No scrap rate (No impact);No raw material available (High);</v>
      </c>
    </row>
    <row r="219" spans="1:54" x14ac:dyDescent="0.3">
      <c r="A219" t="s">
        <v>1389</v>
      </c>
      <c r="B219" t="s">
        <v>1390</v>
      </c>
      <c r="C219" t="s">
        <v>1256</v>
      </c>
      <c r="D219" t="s">
        <v>1257</v>
      </c>
      <c r="G219" t="s">
        <v>575</v>
      </c>
      <c r="H219" t="s">
        <v>576</v>
      </c>
      <c r="L219">
        <v>0</v>
      </c>
      <c r="M219">
        <v>1E-3</v>
      </c>
      <c r="N219" t="s">
        <v>198</v>
      </c>
      <c r="O219">
        <v>1E-3</v>
      </c>
      <c r="P219" t="s">
        <v>198</v>
      </c>
      <c r="Q219" t="s">
        <v>199</v>
      </c>
      <c r="R219" s="3"/>
      <c r="W219" t="s">
        <v>200</v>
      </c>
      <c r="X219" s="25"/>
      <c r="Y219" s="26"/>
      <c r="Z219" s="27"/>
      <c r="AA219" t="s">
        <v>25</v>
      </c>
      <c r="AB219" t="s">
        <v>201</v>
      </c>
      <c r="AC219" s="3"/>
      <c r="AH219" t="s">
        <v>202</v>
      </c>
      <c r="AK219" t="s">
        <v>203</v>
      </c>
      <c r="AP219" t="s">
        <v>200</v>
      </c>
      <c r="AR219" s="25"/>
      <c r="AT219" s="25">
        <v>0</v>
      </c>
      <c r="AU219" s="26"/>
      <c r="AV219" s="26"/>
      <c r="AW219" s="26"/>
      <c r="AX219" s="26" t="str">
        <f t="shared" si="9"/>
        <v/>
      </c>
      <c r="AY219" t="str">
        <f t="shared" si="10"/>
        <v/>
      </c>
      <c r="AZ219" t="s">
        <v>200</v>
      </c>
      <c r="BA219" s="3"/>
      <c r="BB219" t="str">
        <f t="shared" si="11"/>
        <v>No scrap rate (No impact);No raw material available (High);</v>
      </c>
    </row>
    <row r="220" spans="1:54" x14ac:dyDescent="0.3">
      <c r="A220" t="s">
        <v>1391</v>
      </c>
      <c r="B220" t="s">
        <v>1392</v>
      </c>
      <c r="C220" t="s">
        <v>906</v>
      </c>
      <c r="D220" t="s">
        <v>907</v>
      </c>
      <c r="G220" t="s">
        <v>1373</v>
      </c>
      <c r="H220" t="s">
        <v>1374</v>
      </c>
      <c r="J220" t="s">
        <v>1126</v>
      </c>
      <c r="L220">
        <v>1</v>
      </c>
      <c r="M220">
        <v>4.9000000000000002E-2</v>
      </c>
      <c r="N220" t="s">
        <v>198</v>
      </c>
      <c r="O220">
        <v>4.8000000000000001E-2</v>
      </c>
      <c r="P220" t="s">
        <v>198</v>
      </c>
      <c r="Q220" t="s">
        <v>199</v>
      </c>
      <c r="R220" s="3"/>
      <c r="W220" t="s">
        <v>200</v>
      </c>
      <c r="X220" s="25"/>
      <c r="Y220" s="26"/>
      <c r="Z220" s="27"/>
      <c r="AA220" t="s">
        <v>25</v>
      </c>
      <c r="AB220" t="s">
        <v>201</v>
      </c>
      <c r="AC220" s="3"/>
      <c r="AH220" t="s">
        <v>202</v>
      </c>
      <c r="AK220" t="s">
        <v>203</v>
      </c>
      <c r="AP220" t="s">
        <v>200</v>
      </c>
      <c r="AR220" s="25"/>
      <c r="AT220" s="25">
        <v>0</v>
      </c>
      <c r="AU220" s="26"/>
      <c r="AV220" s="26"/>
      <c r="AW220" s="26"/>
      <c r="AX220" s="26" t="str">
        <f t="shared" si="9"/>
        <v/>
      </c>
      <c r="AY220" t="str">
        <f t="shared" si="10"/>
        <v/>
      </c>
      <c r="AZ220" t="s">
        <v>200</v>
      </c>
      <c r="BA220" s="3"/>
      <c r="BB220" t="str">
        <f t="shared" si="11"/>
        <v>No scrap rate (No impact);</v>
      </c>
    </row>
    <row r="221" spans="1:54" x14ac:dyDescent="0.3">
      <c r="A221" t="s">
        <v>1393</v>
      </c>
      <c r="B221" t="s">
        <v>1394</v>
      </c>
      <c r="C221" t="s">
        <v>913</v>
      </c>
      <c r="D221" t="s">
        <v>914</v>
      </c>
      <c r="G221" t="s">
        <v>1395</v>
      </c>
      <c r="H221" t="s">
        <v>1396</v>
      </c>
      <c r="J221" t="s">
        <v>1046</v>
      </c>
      <c r="L221">
        <v>1</v>
      </c>
      <c r="M221">
        <v>3.0000000000000001E-3</v>
      </c>
      <c r="N221" t="s">
        <v>198</v>
      </c>
      <c r="O221">
        <v>0</v>
      </c>
      <c r="P221" t="s">
        <v>198</v>
      </c>
      <c r="Q221" t="s">
        <v>199</v>
      </c>
      <c r="R221" s="3"/>
      <c r="W221" t="s">
        <v>200</v>
      </c>
      <c r="X221" s="25"/>
      <c r="Y221" s="26"/>
      <c r="Z221" s="27"/>
      <c r="AA221" t="s">
        <v>25</v>
      </c>
      <c r="AB221" t="s">
        <v>201</v>
      </c>
      <c r="AC221" s="3"/>
      <c r="AH221" t="s">
        <v>202</v>
      </c>
      <c r="AK221" t="s">
        <v>203</v>
      </c>
      <c r="AP221" t="s">
        <v>200</v>
      </c>
      <c r="AR221" s="25"/>
      <c r="AT221" s="25">
        <v>0</v>
      </c>
      <c r="AU221" s="26"/>
      <c r="AV221" s="26"/>
      <c r="AW221" s="26"/>
      <c r="AX221" s="26" t="str">
        <f t="shared" si="9"/>
        <v/>
      </c>
      <c r="AY221" t="str">
        <f t="shared" si="10"/>
        <v/>
      </c>
      <c r="AZ221" t="s">
        <v>200</v>
      </c>
      <c r="BA221" s="3"/>
      <c r="BB221" t="str">
        <f t="shared" si="11"/>
        <v>No scrap rate (No impact);</v>
      </c>
    </row>
    <row r="222" spans="1:54" x14ac:dyDescent="0.3">
      <c r="A222" t="s">
        <v>1397</v>
      </c>
      <c r="B222" t="s">
        <v>1398</v>
      </c>
      <c r="C222" t="s">
        <v>1110</v>
      </c>
      <c r="D222" t="s">
        <v>1111</v>
      </c>
      <c r="G222" t="s">
        <v>1070</v>
      </c>
      <c r="H222" t="s">
        <v>1071</v>
      </c>
      <c r="L222">
        <v>0</v>
      </c>
      <c r="M222">
        <v>0</v>
      </c>
      <c r="N222" t="s">
        <v>198</v>
      </c>
      <c r="O222">
        <v>0</v>
      </c>
      <c r="P222" t="s">
        <v>198</v>
      </c>
      <c r="Q222" t="s">
        <v>199</v>
      </c>
      <c r="R222" s="3"/>
      <c r="W222" t="s">
        <v>200</v>
      </c>
      <c r="X222" s="25"/>
      <c r="Y222" s="26"/>
      <c r="Z222" s="27"/>
      <c r="AA222" t="s">
        <v>25</v>
      </c>
      <c r="AB222" t="s">
        <v>201</v>
      </c>
      <c r="AC222" s="3"/>
      <c r="AH222" t="s">
        <v>202</v>
      </c>
      <c r="AK222" t="s">
        <v>203</v>
      </c>
      <c r="AP222" t="s">
        <v>200</v>
      </c>
      <c r="AR222" s="25"/>
      <c r="AT222" s="25">
        <v>0</v>
      </c>
      <c r="AU222" s="26"/>
      <c r="AV222" s="26"/>
      <c r="AW222" s="26"/>
      <c r="AX222" s="26" t="str">
        <f t="shared" si="9"/>
        <v/>
      </c>
      <c r="AY222" t="str">
        <f t="shared" si="10"/>
        <v/>
      </c>
      <c r="AZ222" t="s">
        <v>200</v>
      </c>
      <c r="BA222" s="3"/>
      <c r="BB222" t="str">
        <f t="shared" si="11"/>
        <v>No scrap rate (No impact);No raw material available (High);</v>
      </c>
    </row>
    <row r="223" spans="1:54" x14ac:dyDescent="0.3">
      <c r="A223" t="s">
        <v>1399</v>
      </c>
      <c r="B223" t="s">
        <v>1400</v>
      </c>
      <c r="C223" t="s">
        <v>995</v>
      </c>
      <c r="D223" t="s">
        <v>996</v>
      </c>
      <c r="G223" t="s">
        <v>1262</v>
      </c>
      <c r="H223" t="s">
        <v>1263</v>
      </c>
      <c r="J223" t="s">
        <v>1401</v>
      </c>
      <c r="L223">
        <v>0</v>
      </c>
      <c r="M223">
        <v>1.4999999999999999E-2</v>
      </c>
      <c r="N223" t="s">
        <v>198</v>
      </c>
      <c r="O223">
        <v>1.4999999999999999E-2</v>
      </c>
      <c r="P223" t="s">
        <v>198</v>
      </c>
      <c r="Q223" t="s">
        <v>199</v>
      </c>
      <c r="R223" s="3"/>
      <c r="W223" t="s">
        <v>200</v>
      </c>
      <c r="X223" s="25"/>
      <c r="Y223" s="26"/>
      <c r="Z223" s="27"/>
      <c r="AA223" t="s">
        <v>25</v>
      </c>
      <c r="AB223" t="s">
        <v>201</v>
      </c>
      <c r="AC223" s="3"/>
      <c r="AH223" t="s">
        <v>202</v>
      </c>
      <c r="AK223" t="s">
        <v>203</v>
      </c>
      <c r="AP223" t="s">
        <v>200</v>
      </c>
      <c r="AR223" s="25"/>
      <c r="AT223" s="25">
        <v>0</v>
      </c>
      <c r="AU223" s="26"/>
      <c r="AV223" s="26"/>
      <c r="AW223" s="26"/>
      <c r="AX223" s="26" t="str">
        <f t="shared" si="9"/>
        <v/>
      </c>
      <c r="AY223" t="str">
        <f t="shared" si="10"/>
        <v/>
      </c>
      <c r="AZ223" t="s">
        <v>200</v>
      </c>
      <c r="BA223" s="3"/>
      <c r="BB223" t="str">
        <f t="shared" si="11"/>
        <v>No scrap rate (No impact);</v>
      </c>
    </row>
    <row r="224" spans="1:54" x14ac:dyDescent="0.3">
      <c r="A224" t="s">
        <v>1402</v>
      </c>
      <c r="B224" t="s">
        <v>1403</v>
      </c>
      <c r="C224" t="s">
        <v>906</v>
      </c>
      <c r="D224" t="s">
        <v>907</v>
      </c>
      <c r="G224" t="s">
        <v>1278</v>
      </c>
      <c r="H224" t="s">
        <v>1279</v>
      </c>
      <c r="J224" t="s">
        <v>910</v>
      </c>
      <c r="L224">
        <v>1</v>
      </c>
      <c r="M224">
        <v>0.02</v>
      </c>
      <c r="N224" t="s">
        <v>198</v>
      </c>
      <c r="O224">
        <v>0</v>
      </c>
      <c r="P224" t="s">
        <v>198</v>
      </c>
      <c r="Q224" t="s">
        <v>199</v>
      </c>
      <c r="R224" s="3"/>
      <c r="W224" t="s">
        <v>200</v>
      </c>
      <c r="X224" s="25"/>
      <c r="Y224" s="26"/>
      <c r="Z224" s="27"/>
      <c r="AA224" t="s">
        <v>25</v>
      </c>
      <c r="AB224" t="s">
        <v>201</v>
      </c>
      <c r="AC224" s="3"/>
      <c r="AH224" t="s">
        <v>202</v>
      </c>
      <c r="AK224" t="s">
        <v>203</v>
      </c>
      <c r="AP224" t="s">
        <v>200</v>
      </c>
      <c r="AR224" s="25"/>
      <c r="AT224" s="25">
        <v>0</v>
      </c>
      <c r="AU224" s="26"/>
      <c r="AV224" s="26"/>
      <c r="AW224" s="26"/>
      <c r="AX224" s="26" t="str">
        <f t="shared" si="9"/>
        <v/>
      </c>
      <c r="AY224" t="str">
        <f t="shared" si="10"/>
        <v/>
      </c>
      <c r="AZ224" t="s">
        <v>200</v>
      </c>
      <c r="BA224" s="3"/>
      <c r="BB224" t="str">
        <f t="shared" si="11"/>
        <v>No scrap rate (No impact);</v>
      </c>
    </row>
    <row r="225" spans="1:54" x14ac:dyDescent="0.3">
      <c r="A225" t="s">
        <v>1404</v>
      </c>
      <c r="B225" t="s">
        <v>1405</v>
      </c>
      <c r="C225" t="s">
        <v>906</v>
      </c>
      <c r="D225" t="s">
        <v>907</v>
      </c>
      <c r="G225" t="s">
        <v>1278</v>
      </c>
      <c r="H225" t="s">
        <v>1279</v>
      </c>
      <c r="J225" t="s">
        <v>910</v>
      </c>
      <c r="L225">
        <v>1</v>
      </c>
      <c r="M225">
        <v>0.03</v>
      </c>
      <c r="N225" t="s">
        <v>198</v>
      </c>
      <c r="O225">
        <v>0</v>
      </c>
      <c r="P225" t="s">
        <v>198</v>
      </c>
      <c r="Q225" t="s">
        <v>199</v>
      </c>
      <c r="R225" s="3"/>
      <c r="W225" t="s">
        <v>200</v>
      </c>
      <c r="X225" s="25"/>
      <c r="Y225" s="26"/>
      <c r="Z225" s="27"/>
      <c r="AA225" t="s">
        <v>25</v>
      </c>
      <c r="AB225" t="s">
        <v>201</v>
      </c>
      <c r="AC225" s="3"/>
      <c r="AH225" t="s">
        <v>202</v>
      </c>
      <c r="AK225" t="s">
        <v>203</v>
      </c>
      <c r="AP225" t="s">
        <v>200</v>
      </c>
      <c r="AR225" s="25"/>
      <c r="AT225" s="25">
        <v>0</v>
      </c>
      <c r="AU225" s="26"/>
      <c r="AV225" s="26"/>
      <c r="AW225" s="26"/>
      <c r="AX225" s="26" t="str">
        <f t="shared" si="9"/>
        <v/>
      </c>
      <c r="AY225" t="str">
        <f t="shared" si="10"/>
        <v/>
      </c>
      <c r="AZ225" t="s">
        <v>200</v>
      </c>
      <c r="BA225" s="3"/>
      <c r="BB225" t="str">
        <f t="shared" si="11"/>
        <v>No scrap rate (No impact);</v>
      </c>
    </row>
    <row r="226" spans="1:54" x14ac:dyDescent="0.3">
      <c r="A226" t="s">
        <v>1406</v>
      </c>
      <c r="B226" t="s">
        <v>1407</v>
      </c>
      <c r="C226" t="s">
        <v>906</v>
      </c>
      <c r="D226" t="s">
        <v>907</v>
      </c>
      <c r="G226" t="s">
        <v>1278</v>
      </c>
      <c r="H226" t="s">
        <v>1279</v>
      </c>
      <c r="J226" t="s">
        <v>1307</v>
      </c>
      <c r="L226">
        <v>2700</v>
      </c>
      <c r="M226">
        <v>0.03</v>
      </c>
      <c r="N226" t="s">
        <v>198</v>
      </c>
      <c r="O226">
        <v>0</v>
      </c>
      <c r="P226" t="s">
        <v>198</v>
      </c>
      <c r="Q226" t="s">
        <v>199</v>
      </c>
      <c r="R226" s="3"/>
      <c r="W226" t="s">
        <v>200</v>
      </c>
      <c r="X226" s="25"/>
      <c r="Y226" s="26"/>
      <c r="Z226" s="27"/>
      <c r="AA226" t="s">
        <v>25</v>
      </c>
      <c r="AB226" t="s">
        <v>201</v>
      </c>
      <c r="AC226" s="3"/>
      <c r="AH226" t="s">
        <v>202</v>
      </c>
      <c r="AK226" t="s">
        <v>203</v>
      </c>
      <c r="AP226" t="s">
        <v>200</v>
      </c>
      <c r="AR226" s="25"/>
      <c r="AT226" s="25">
        <v>0</v>
      </c>
      <c r="AU226" s="26"/>
      <c r="AV226" s="26"/>
      <c r="AW226" s="26"/>
      <c r="AX226" s="26" t="str">
        <f t="shared" si="9"/>
        <v/>
      </c>
      <c r="AY226" t="str">
        <f t="shared" si="10"/>
        <v/>
      </c>
      <c r="AZ226" t="s">
        <v>200</v>
      </c>
      <c r="BA226" s="3"/>
      <c r="BB226" t="str">
        <f t="shared" si="11"/>
        <v>No scrap rate (No impact);</v>
      </c>
    </row>
    <row r="227" spans="1:54" x14ac:dyDescent="0.3">
      <c r="A227" t="s">
        <v>1408</v>
      </c>
      <c r="B227" t="s">
        <v>1409</v>
      </c>
      <c r="C227" t="s">
        <v>906</v>
      </c>
      <c r="D227" t="s">
        <v>907</v>
      </c>
      <c r="G227" t="s">
        <v>1278</v>
      </c>
      <c r="H227" t="s">
        <v>1279</v>
      </c>
      <c r="J227" t="s">
        <v>1139</v>
      </c>
      <c r="L227">
        <v>2700</v>
      </c>
      <c r="M227">
        <v>0.03</v>
      </c>
      <c r="N227" t="s">
        <v>198</v>
      </c>
      <c r="O227">
        <v>0</v>
      </c>
      <c r="P227" t="s">
        <v>198</v>
      </c>
      <c r="Q227" t="s">
        <v>199</v>
      </c>
      <c r="R227" s="3"/>
      <c r="W227" t="s">
        <v>200</v>
      </c>
      <c r="X227" s="25"/>
      <c r="Y227" s="26"/>
      <c r="Z227" s="27"/>
      <c r="AA227" t="s">
        <v>25</v>
      </c>
      <c r="AB227" t="s">
        <v>201</v>
      </c>
      <c r="AC227" s="3"/>
      <c r="AH227" t="s">
        <v>202</v>
      </c>
      <c r="AK227" t="s">
        <v>203</v>
      </c>
      <c r="AP227" t="s">
        <v>200</v>
      </c>
      <c r="AR227" s="25"/>
      <c r="AT227" s="25">
        <v>0</v>
      </c>
      <c r="AU227" s="26"/>
      <c r="AV227" s="26"/>
      <c r="AW227" s="26"/>
      <c r="AX227" s="26" t="str">
        <f t="shared" si="9"/>
        <v/>
      </c>
      <c r="AY227" t="str">
        <f t="shared" si="10"/>
        <v/>
      </c>
      <c r="AZ227" t="s">
        <v>200</v>
      </c>
      <c r="BA227" s="3"/>
      <c r="BB227" t="str">
        <f t="shared" si="11"/>
        <v>No scrap rate (No impact);</v>
      </c>
    </row>
    <row r="228" spans="1:54" x14ac:dyDescent="0.3">
      <c r="A228" t="s">
        <v>1410</v>
      </c>
      <c r="B228" t="s">
        <v>1411</v>
      </c>
      <c r="C228" t="s">
        <v>906</v>
      </c>
      <c r="D228" t="s">
        <v>907</v>
      </c>
      <c r="G228" t="s">
        <v>1278</v>
      </c>
      <c r="H228" t="s">
        <v>1279</v>
      </c>
      <c r="J228" t="s">
        <v>910</v>
      </c>
      <c r="L228">
        <v>1</v>
      </c>
      <c r="M228">
        <v>7.4999999999999997E-2</v>
      </c>
      <c r="N228" t="s">
        <v>198</v>
      </c>
      <c r="O228">
        <v>0</v>
      </c>
      <c r="P228" t="s">
        <v>198</v>
      </c>
      <c r="Q228" t="s">
        <v>199</v>
      </c>
      <c r="R228" s="3"/>
      <c r="W228" t="s">
        <v>200</v>
      </c>
      <c r="X228" s="25"/>
      <c r="Y228" s="26"/>
      <c r="Z228" s="27"/>
      <c r="AA228" t="s">
        <v>25</v>
      </c>
      <c r="AB228" t="s">
        <v>201</v>
      </c>
      <c r="AC228" s="3"/>
      <c r="AH228" t="s">
        <v>202</v>
      </c>
      <c r="AK228" t="s">
        <v>203</v>
      </c>
      <c r="AP228" t="s">
        <v>200</v>
      </c>
      <c r="AR228" s="25"/>
      <c r="AT228" s="25">
        <v>0</v>
      </c>
      <c r="AU228" s="26"/>
      <c r="AV228" s="26"/>
      <c r="AW228" s="26"/>
      <c r="AX228" s="26" t="str">
        <f t="shared" si="9"/>
        <v/>
      </c>
      <c r="AY228" t="str">
        <f t="shared" si="10"/>
        <v/>
      </c>
      <c r="AZ228" t="s">
        <v>200</v>
      </c>
      <c r="BA228" s="3"/>
      <c r="BB228" t="str">
        <f t="shared" si="11"/>
        <v>No scrap rate (No impact);</v>
      </c>
    </row>
    <row r="229" spans="1:54" x14ac:dyDescent="0.3">
      <c r="A229" t="s">
        <v>1412</v>
      </c>
      <c r="B229" t="s">
        <v>1413</v>
      </c>
      <c r="C229" t="s">
        <v>906</v>
      </c>
      <c r="D229" t="s">
        <v>907</v>
      </c>
      <c r="G229" t="s">
        <v>1278</v>
      </c>
      <c r="H229" t="s">
        <v>1279</v>
      </c>
      <c r="J229" t="s">
        <v>1307</v>
      </c>
      <c r="L229">
        <v>1</v>
      </c>
      <c r="M229">
        <v>7.4999999999999997E-2</v>
      </c>
      <c r="N229" t="s">
        <v>198</v>
      </c>
      <c r="O229">
        <v>7.4999999999999997E-2</v>
      </c>
      <c r="P229" t="s">
        <v>198</v>
      </c>
      <c r="Q229" t="s">
        <v>199</v>
      </c>
      <c r="R229" s="3"/>
      <c r="W229" t="s">
        <v>200</v>
      </c>
      <c r="X229" s="25"/>
      <c r="Y229" s="26"/>
      <c r="Z229" s="27"/>
      <c r="AA229" t="s">
        <v>25</v>
      </c>
      <c r="AB229" t="s">
        <v>201</v>
      </c>
      <c r="AC229" s="3"/>
      <c r="AH229" t="s">
        <v>202</v>
      </c>
      <c r="AK229" t="s">
        <v>203</v>
      </c>
      <c r="AP229" t="s">
        <v>200</v>
      </c>
      <c r="AR229" s="25"/>
      <c r="AT229" s="25">
        <v>0</v>
      </c>
      <c r="AU229" s="26"/>
      <c r="AV229" s="26"/>
      <c r="AW229" s="26"/>
      <c r="AX229" s="26" t="str">
        <f t="shared" si="9"/>
        <v/>
      </c>
      <c r="AY229" t="str">
        <f t="shared" si="10"/>
        <v/>
      </c>
      <c r="AZ229" t="s">
        <v>200</v>
      </c>
      <c r="BA229" s="3"/>
      <c r="BB229" t="str">
        <f t="shared" si="11"/>
        <v>No scrap rate (No impact);</v>
      </c>
    </row>
    <row r="230" spans="1:54" x14ac:dyDescent="0.3">
      <c r="A230" t="s">
        <v>1414</v>
      </c>
      <c r="B230" t="s">
        <v>1415</v>
      </c>
      <c r="C230" t="s">
        <v>946</v>
      </c>
      <c r="D230" t="s">
        <v>947</v>
      </c>
      <c r="G230" t="s">
        <v>903</v>
      </c>
      <c r="H230" t="s">
        <v>361</v>
      </c>
      <c r="J230" t="s">
        <v>926</v>
      </c>
      <c r="L230">
        <v>0</v>
      </c>
      <c r="M230">
        <v>0.15</v>
      </c>
      <c r="N230" t="s">
        <v>198</v>
      </c>
      <c r="O230">
        <v>0.15</v>
      </c>
      <c r="P230" t="s">
        <v>198</v>
      </c>
      <c r="Q230" t="s">
        <v>199</v>
      </c>
      <c r="R230" s="3"/>
      <c r="W230" t="s">
        <v>200</v>
      </c>
      <c r="X230" s="25"/>
      <c r="Y230" s="26"/>
      <c r="Z230" s="27"/>
      <c r="AA230" t="s">
        <v>25</v>
      </c>
      <c r="AB230" t="s">
        <v>201</v>
      </c>
      <c r="AC230" s="3"/>
      <c r="AH230" t="s">
        <v>202</v>
      </c>
      <c r="AK230" t="s">
        <v>203</v>
      </c>
      <c r="AP230" t="s">
        <v>200</v>
      </c>
      <c r="AR230" s="25"/>
      <c r="AT230" s="25">
        <v>0</v>
      </c>
      <c r="AU230" s="26"/>
      <c r="AV230" s="26"/>
      <c r="AW230" s="26"/>
      <c r="AX230" s="26" t="str">
        <f t="shared" si="9"/>
        <v/>
      </c>
      <c r="AY230" t="str">
        <f t="shared" si="10"/>
        <v/>
      </c>
      <c r="AZ230" t="s">
        <v>200</v>
      </c>
      <c r="BA230" s="3"/>
      <c r="BB230" t="str">
        <f t="shared" si="11"/>
        <v>No scrap rate (No impact);</v>
      </c>
    </row>
    <row r="231" spans="1:54" x14ac:dyDescent="0.3">
      <c r="A231" t="s">
        <v>1416</v>
      </c>
      <c r="B231" t="s">
        <v>1417</v>
      </c>
      <c r="C231" t="s">
        <v>946</v>
      </c>
      <c r="D231" t="s">
        <v>947</v>
      </c>
      <c r="G231" t="s">
        <v>675</v>
      </c>
      <c r="H231" t="s">
        <v>676</v>
      </c>
      <c r="L231">
        <v>0</v>
      </c>
      <c r="M231">
        <v>0.152</v>
      </c>
      <c r="N231" t="s">
        <v>198</v>
      </c>
      <c r="O231">
        <v>0.152</v>
      </c>
      <c r="P231" t="s">
        <v>198</v>
      </c>
      <c r="Q231" t="s">
        <v>199</v>
      </c>
      <c r="R231" s="3"/>
      <c r="W231" t="s">
        <v>200</v>
      </c>
      <c r="X231" s="25"/>
      <c r="Y231" s="26"/>
      <c r="Z231" s="27"/>
      <c r="AA231" t="s">
        <v>25</v>
      </c>
      <c r="AB231" t="s">
        <v>201</v>
      </c>
      <c r="AC231" s="3"/>
      <c r="AH231" t="s">
        <v>202</v>
      </c>
      <c r="AK231" t="s">
        <v>203</v>
      </c>
      <c r="AP231" t="s">
        <v>200</v>
      </c>
      <c r="AR231" s="25"/>
      <c r="AT231" s="25">
        <v>0</v>
      </c>
      <c r="AU231" s="26"/>
      <c r="AV231" s="26"/>
      <c r="AW231" s="26"/>
      <c r="AX231" s="26" t="str">
        <f t="shared" si="9"/>
        <v/>
      </c>
      <c r="AY231" t="str">
        <f t="shared" si="10"/>
        <v/>
      </c>
      <c r="AZ231" t="s">
        <v>200</v>
      </c>
      <c r="BA231" s="3"/>
      <c r="BB231" t="str">
        <f t="shared" si="11"/>
        <v>No scrap rate (No impact);No raw material available (High);</v>
      </c>
    </row>
    <row r="232" spans="1:54" x14ac:dyDescent="0.3">
      <c r="A232" t="s">
        <v>1418</v>
      </c>
      <c r="B232" t="s">
        <v>1419</v>
      </c>
      <c r="C232" t="s">
        <v>995</v>
      </c>
      <c r="D232" t="s">
        <v>996</v>
      </c>
      <c r="G232" t="s">
        <v>1420</v>
      </c>
      <c r="H232" t="s">
        <v>1421</v>
      </c>
      <c r="J232" t="s">
        <v>1290</v>
      </c>
      <c r="L232">
        <v>1</v>
      </c>
      <c r="M232">
        <v>2.1999999999999999E-2</v>
      </c>
      <c r="N232" t="s">
        <v>198</v>
      </c>
      <c r="O232">
        <v>2.3E-2</v>
      </c>
      <c r="P232" t="s">
        <v>198</v>
      </c>
      <c r="Q232" t="s">
        <v>199</v>
      </c>
      <c r="R232" s="3"/>
      <c r="W232" t="s">
        <v>200</v>
      </c>
      <c r="X232" s="25"/>
      <c r="Y232" s="26"/>
      <c r="Z232" s="27"/>
      <c r="AA232" t="s">
        <v>25</v>
      </c>
      <c r="AB232" t="s">
        <v>201</v>
      </c>
      <c r="AC232" s="3"/>
      <c r="AH232" t="s">
        <v>202</v>
      </c>
      <c r="AK232" t="s">
        <v>203</v>
      </c>
      <c r="AP232" t="s">
        <v>200</v>
      </c>
      <c r="AR232" s="25"/>
      <c r="AT232" s="25">
        <v>0</v>
      </c>
      <c r="AU232" s="26"/>
      <c r="AV232" s="26"/>
      <c r="AW232" s="26"/>
      <c r="AX232" s="26" t="str">
        <f t="shared" si="9"/>
        <v/>
      </c>
      <c r="AY232" t="str">
        <f t="shared" si="10"/>
        <v/>
      </c>
      <c r="AZ232" t="s">
        <v>200</v>
      </c>
      <c r="BA232" s="3"/>
      <c r="BB232" t="str">
        <f t="shared" si="11"/>
        <v>No scrap rate (No impact);</v>
      </c>
    </row>
    <row r="233" spans="1:54" x14ac:dyDescent="0.3">
      <c r="A233" t="s">
        <v>1422</v>
      </c>
      <c r="B233" t="s">
        <v>1423</v>
      </c>
      <c r="C233" t="s">
        <v>995</v>
      </c>
      <c r="D233" t="s">
        <v>996</v>
      </c>
      <c r="G233" t="s">
        <v>1420</v>
      </c>
      <c r="H233" t="s">
        <v>1421</v>
      </c>
      <c r="J233" t="s">
        <v>1290</v>
      </c>
      <c r="L233">
        <v>1</v>
      </c>
      <c r="M233">
        <v>2.1999999999999999E-2</v>
      </c>
      <c r="N233" t="s">
        <v>198</v>
      </c>
      <c r="O233">
        <v>2.3E-2</v>
      </c>
      <c r="P233" t="s">
        <v>198</v>
      </c>
      <c r="Q233" t="s">
        <v>199</v>
      </c>
      <c r="R233" s="3"/>
      <c r="W233" t="s">
        <v>200</v>
      </c>
      <c r="X233" s="25"/>
      <c r="Y233" s="26"/>
      <c r="Z233" s="27"/>
      <c r="AA233" t="s">
        <v>25</v>
      </c>
      <c r="AB233" t="s">
        <v>201</v>
      </c>
      <c r="AC233" s="3"/>
      <c r="AH233" t="s">
        <v>202</v>
      </c>
      <c r="AK233" t="s">
        <v>203</v>
      </c>
      <c r="AP233" t="s">
        <v>200</v>
      </c>
      <c r="AR233" s="25"/>
      <c r="AT233" s="25">
        <v>0</v>
      </c>
      <c r="AU233" s="26"/>
      <c r="AV233" s="26"/>
      <c r="AW233" s="26"/>
      <c r="AX233" s="26" t="str">
        <f t="shared" si="9"/>
        <v/>
      </c>
      <c r="AY233" t="str">
        <f t="shared" si="10"/>
        <v/>
      </c>
      <c r="AZ233" t="s">
        <v>200</v>
      </c>
      <c r="BA233" s="3"/>
      <c r="BB233" t="str">
        <f t="shared" si="11"/>
        <v>No scrap rate (No impact);</v>
      </c>
    </row>
    <row r="234" spans="1:54" x14ac:dyDescent="0.3">
      <c r="A234" t="s">
        <v>1424</v>
      </c>
      <c r="B234" t="s">
        <v>1425</v>
      </c>
      <c r="C234" t="s">
        <v>946</v>
      </c>
      <c r="D234" t="s">
        <v>947</v>
      </c>
      <c r="G234" t="s">
        <v>1070</v>
      </c>
      <c r="H234" t="s">
        <v>1071</v>
      </c>
      <c r="L234">
        <v>0</v>
      </c>
      <c r="M234">
        <v>0.16600000000000001</v>
      </c>
      <c r="N234" t="s">
        <v>198</v>
      </c>
      <c r="O234">
        <v>0.16600000000000001</v>
      </c>
      <c r="P234" t="s">
        <v>198</v>
      </c>
      <c r="Q234" t="s">
        <v>199</v>
      </c>
      <c r="R234" s="3"/>
      <c r="W234" t="s">
        <v>200</v>
      </c>
      <c r="X234" s="25"/>
      <c r="Y234" s="26"/>
      <c r="Z234" s="27"/>
      <c r="AA234" t="s">
        <v>25</v>
      </c>
      <c r="AB234" t="s">
        <v>201</v>
      </c>
      <c r="AC234" s="3"/>
      <c r="AH234" t="s">
        <v>202</v>
      </c>
      <c r="AK234" t="s">
        <v>203</v>
      </c>
      <c r="AP234" t="s">
        <v>200</v>
      </c>
      <c r="AR234" s="25"/>
      <c r="AT234" s="25">
        <v>0</v>
      </c>
      <c r="AU234" s="26"/>
      <c r="AV234" s="26"/>
      <c r="AW234" s="26"/>
      <c r="AX234" s="26" t="str">
        <f t="shared" si="9"/>
        <v/>
      </c>
      <c r="AY234" t="str">
        <f t="shared" si="10"/>
        <v/>
      </c>
      <c r="AZ234" t="s">
        <v>200</v>
      </c>
      <c r="BA234" s="3"/>
      <c r="BB234" t="str">
        <f t="shared" si="11"/>
        <v>No scrap rate (No impact);No raw material available (High);</v>
      </c>
    </row>
    <row r="235" spans="1:54" x14ac:dyDescent="0.3">
      <c r="A235" t="s">
        <v>1426</v>
      </c>
      <c r="B235" t="s">
        <v>1427</v>
      </c>
      <c r="C235" t="s">
        <v>946</v>
      </c>
      <c r="D235" t="s">
        <v>947</v>
      </c>
      <c r="G235" t="s">
        <v>1428</v>
      </c>
      <c r="H235" t="s">
        <v>1429</v>
      </c>
      <c r="J235" t="s">
        <v>926</v>
      </c>
      <c r="L235">
        <v>0</v>
      </c>
      <c r="M235">
        <v>0.186</v>
      </c>
      <c r="N235" t="s">
        <v>198</v>
      </c>
      <c r="O235">
        <v>0.186</v>
      </c>
      <c r="P235" t="s">
        <v>198</v>
      </c>
      <c r="Q235" t="s">
        <v>199</v>
      </c>
      <c r="R235" s="3"/>
      <c r="W235" t="s">
        <v>200</v>
      </c>
      <c r="X235" s="25"/>
      <c r="Y235" s="26"/>
      <c r="Z235" s="27"/>
      <c r="AA235" t="s">
        <v>25</v>
      </c>
      <c r="AB235" t="s">
        <v>201</v>
      </c>
      <c r="AC235" s="3"/>
      <c r="AH235" t="s">
        <v>202</v>
      </c>
      <c r="AK235" t="s">
        <v>203</v>
      </c>
      <c r="AP235" t="s">
        <v>200</v>
      </c>
      <c r="AR235" s="25"/>
      <c r="AT235" s="25">
        <v>0</v>
      </c>
      <c r="AU235" s="26"/>
      <c r="AV235" s="26"/>
      <c r="AW235" s="26"/>
      <c r="AX235" s="26" t="str">
        <f t="shared" si="9"/>
        <v/>
      </c>
      <c r="AY235" t="str">
        <f t="shared" si="10"/>
        <v/>
      </c>
      <c r="AZ235" t="s">
        <v>200</v>
      </c>
      <c r="BA235" s="3"/>
      <c r="BB235" t="str">
        <f t="shared" si="11"/>
        <v>No scrap rate (No impact);</v>
      </c>
    </row>
    <row r="236" spans="1:54" x14ac:dyDescent="0.3">
      <c r="A236" t="s">
        <v>1430</v>
      </c>
      <c r="B236" t="s">
        <v>1431</v>
      </c>
      <c r="C236" t="s">
        <v>946</v>
      </c>
      <c r="D236" t="s">
        <v>947</v>
      </c>
      <c r="G236" t="s">
        <v>1070</v>
      </c>
      <c r="H236" t="s">
        <v>1071</v>
      </c>
      <c r="J236" t="s">
        <v>926</v>
      </c>
      <c r="L236">
        <v>0</v>
      </c>
      <c r="M236">
        <v>0.02</v>
      </c>
      <c r="N236" t="s">
        <v>198</v>
      </c>
      <c r="O236">
        <v>0.02</v>
      </c>
      <c r="P236" t="s">
        <v>198</v>
      </c>
      <c r="Q236" t="s">
        <v>199</v>
      </c>
      <c r="R236" s="3"/>
      <c r="W236" t="s">
        <v>200</v>
      </c>
      <c r="X236" s="25"/>
      <c r="Y236" s="26"/>
      <c r="Z236" s="27"/>
      <c r="AA236" t="s">
        <v>25</v>
      </c>
      <c r="AB236" t="s">
        <v>201</v>
      </c>
      <c r="AC236" s="3"/>
      <c r="AH236" t="s">
        <v>202</v>
      </c>
      <c r="AK236" t="s">
        <v>203</v>
      </c>
      <c r="AP236" t="s">
        <v>200</v>
      </c>
      <c r="AR236" s="25"/>
      <c r="AT236" s="25">
        <v>0</v>
      </c>
      <c r="AU236" s="26"/>
      <c r="AV236" s="26"/>
      <c r="AW236" s="26"/>
      <c r="AX236" s="26" t="str">
        <f t="shared" si="9"/>
        <v/>
      </c>
      <c r="AY236" t="str">
        <f t="shared" si="10"/>
        <v/>
      </c>
      <c r="AZ236" t="s">
        <v>200</v>
      </c>
      <c r="BA236" s="3"/>
      <c r="BB236" t="str">
        <f t="shared" si="11"/>
        <v>No scrap rate (No impact);</v>
      </c>
    </row>
    <row r="237" spans="1:54" x14ac:dyDescent="0.3">
      <c r="A237" t="s">
        <v>1432</v>
      </c>
      <c r="B237" t="s">
        <v>1433</v>
      </c>
      <c r="C237" t="s">
        <v>946</v>
      </c>
      <c r="D237" t="s">
        <v>947</v>
      </c>
      <c r="G237" t="s">
        <v>1070</v>
      </c>
      <c r="H237" t="s">
        <v>1071</v>
      </c>
      <c r="L237">
        <v>1</v>
      </c>
      <c r="M237">
        <v>0.29599999999999999</v>
      </c>
      <c r="N237" t="s">
        <v>198</v>
      </c>
      <c r="O237">
        <v>0</v>
      </c>
      <c r="P237" t="s">
        <v>198</v>
      </c>
      <c r="Q237" t="s">
        <v>199</v>
      </c>
      <c r="R237" s="3"/>
      <c r="W237" t="s">
        <v>200</v>
      </c>
      <c r="X237" s="25"/>
      <c r="Y237" s="26"/>
      <c r="Z237" s="27"/>
      <c r="AA237" t="s">
        <v>25</v>
      </c>
      <c r="AB237" t="s">
        <v>201</v>
      </c>
      <c r="AC237" s="3"/>
      <c r="AH237" t="s">
        <v>202</v>
      </c>
      <c r="AK237" t="s">
        <v>203</v>
      </c>
      <c r="AP237" t="s">
        <v>200</v>
      </c>
      <c r="AR237" s="25"/>
      <c r="AT237" s="25">
        <v>0</v>
      </c>
      <c r="AU237" s="26"/>
      <c r="AV237" s="26"/>
      <c r="AW237" s="26"/>
      <c r="AX237" s="26" t="str">
        <f t="shared" si="9"/>
        <v/>
      </c>
      <c r="AY237" t="str">
        <f t="shared" si="10"/>
        <v/>
      </c>
      <c r="AZ237" t="s">
        <v>200</v>
      </c>
      <c r="BA237" s="3"/>
      <c r="BB237" t="str">
        <f t="shared" si="11"/>
        <v>No scrap rate (No impact);No raw material available (High);</v>
      </c>
    </row>
    <row r="238" spans="1:54" x14ac:dyDescent="0.3">
      <c r="A238" t="s">
        <v>1434</v>
      </c>
      <c r="B238" t="s">
        <v>1435</v>
      </c>
      <c r="C238" t="s">
        <v>946</v>
      </c>
      <c r="D238" t="s">
        <v>947</v>
      </c>
      <c r="G238" t="s">
        <v>1070</v>
      </c>
      <c r="H238" t="s">
        <v>1071</v>
      </c>
      <c r="J238" t="s">
        <v>926</v>
      </c>
      <c r="L238">
        <v>1</v>
      </c>
      <c r="M238">
        <v>0.51200000000000001</v>
      </c>
      <c r="N238" t="s">
        <v>198</v>
      </c>
      <c r="O238">
        <v>0.51200000000000001</v>
      </c>
      <c r="P238" t="s">
        <v>198</v>
      </c>
      <c r="Q238" t="s">
        <v>199</v>
      </c>
      <c r="R238" s="3"/>
      <c r="W238" t="s">
        <v>200</v>
      </c>
      <c r="X238" s="25"/>
      <c r="Y238" s="26"/>
      <c r="Z238" s="27"/>
      <c r="AA238" t="s">
        <v>25</v>
      </c>
      <c r="AB238" t="s">
        <v>201</v>
      </c>
      <c r="AC238" s="3"/>
      <c r="AH238" t="s">
        <v>202</v>
      </c>
      <c r="AK238" t="s">
        <v>203</v>
      </c>
      <c r="AP238" t="s">
        <v>200</v>
      </c>
      <c r="AR238" s="25"/>
      <c r="AT238" s="25">
        <v>0</v>
      </c>
      <c r="AU238" s="26"/>
      <c r="AV238" s="26"/>
      <c r="AW238" s="26"/>
      <c r="AX238" s="26" t="str">
        <f t="shared" si="9"/>
        <v/>
      </c>
      <c r="AY238" t="str">
        <f t="shared" si="10"/>
        <v/>
      </c>
      <c r="AZ238" t="s">
        <v>200</v>
      </c>
      <c r="BA238" s="3"/>
      <c r="BB238" t="str">
        <f t="shared" si="11"/>
        <v>No scrap rate (No impact);</v>
      </c>
    </row>
    <row r="239" spans="1:54" x14ac:dyDescent="0.3">
      <c r="A239" t="s">
        <v>1436</v>
      </c>
      <c r="B239" t="s">
        <v>1437</v>
      </c>
      <c r="C239" t="s">
        <v>995</v>
      </c>
      <c r="D239" t="s">
        <v>996</v>
      </c>
      <c r="G239" t="s">
        <v>463</v>
      </c>
      <c r="H239" t="s">
        <v>464</v>
      </c>
      <c r="J239" t="s">
        <v>1046</v>
      </c>
      <c r="L239">
        <v>0</v>
      </c>
      <c r="M239">
        <v>7.0000000000000001E-3</v>
      </c>
      <c r="N239" t="s">
        <v>198</v>
      </c>
      <c r="O239">
        <v>7.0000000000000001E-3</v>
      </c>
      <c r="P239" t="s">
        <v>198</v>
      </c>
      <c r="Q239" t="s">
        <v>199</v>
      </c>
      <c r="R239" s="3"/>
      <c r="W239" t="s">
        <v>200</v>
      </c>
      <c r="X239" s="25"/>
      <c r="Y239" s="26"/>
      <c r="Z239" s="27"/>
      <c r="AA239" t="s">
        <v>25</v>
      </c>
      <c r="AB239" t="s">
        <v>201</v>
      </c>
      <c r="AC239" s="3"/>
      <c r="AH239" t="s">
        <v>202</v>
      </c>
      <c r="AK239" t="s">
        <v>203</v>
      </c>
      <c r="AP239" t="s">
        <v>200</v>
      </c>
      <c r="AR239" s="25"/>
      <c r="AT239" s="25">
        <v>0</v>
      </c>
      <c r="AU239" s="26"/>
      <c r="AV239" s="26"/>
      <c r="AW239" s="26"/>
      <c r="AX239" s="26" t="str">
        <f t="shared" si="9"/>
        <v/>
      </c>
      <c r="AY239" t="str">
        <f t="shared" si="10"/>
        <v/>
      </c>
      <c r="AZ239" t="s">
        <v>200</v>
      </c>
      <c r="BA239" s="3"/>
      <c r="BB239" t="str">
        <f t="shared" si="11"/>
        <v>No scrap rate (No impact);</v>
      </c>
    </row>
    <row r="240" spans="1:54" x14ac:dyDescent="0.3">
      <c r="A240" t="s">
        <v>1438</v>
      </c>
      <c r="B240" t="s">
        <v>1439</v>
      </c>
      <c r="C240" t="s">
        <v>995</v>
      </c>
      <c r="D240" t="s">
        <v>996</v>
      </c>
      <c r="G240" t="s">
        <v>1262</v>
      </c>
      <c r="H240" t="s">
        <v>1263</v>
      </c>
      <c r="J240" t="s">
        <v>1290</v>
      </c>
      <c r="L240">
        <v>1</v>
      </c>
      <c r="M240">
        <v>0</v>
      </c>
      <c r="N240" t="s">
        <v>198</v>
      </c>
      <c r="O240">
        <v>0</v>
      </c>
      <c r="P240" t="s">
        <v>198</v>
      </c>
      <c r="Q240" t="s">
        <v>199</v>
      </c>
      <c r="R240" s="3"/>
      <c r="W240" t="s">
        <v>200</v>
      </c>
      <c r="X240" s="25"/>
      <c r="Y240" s="26"/>
      <c r="Z240" s="27"/>
      <c r="AA240" t="s">
        <v>25</v>
      </c>
      <c r="AB240" t="s">
        <v>201</v>
      </c>
      <c r="AC240" s="3"/>
      <c r="AH240" t="s">
        <v>202</v>
      </c>
      <c r="AK240" t="s">
        <v>203</v>
      </c>
      <c r="AP240" t="s">
        <v>200</v>
      </c>
      <c r="AR240" s="25"/>
      <c r="AT240" s="25">
        <v>0</v>
      </c>
      <c r="AU240" s="26"/>
      <c r="AV240" s="26"/>
      <c r="AW240" s="26"/>
      <c r="AX240" s="26" t="str">
        <f t="shared" si="9"/>
        <v/>
      </c>
      <c r="AY240" t="str">
        <f t="shared" si="10"/>
        <v/>
      </c>
      <c r="AZ240" t="s">
        <v>200</v>
      </c>
      <c r="BA240" s="3"/>
      <c r="BB240" t="str">
        <f t="shared" si="11"/>
        <v>No scrap rate (No impact);</v>
      </c>
    </row>
    <row r="241" spans="1:54" x14ac:dyDescent="0.3">
      <c r="A241" t="s">
        <v>1440</v>
      </c>
      <c r="B241" t="s">
        <v>1441</v>
      </c>
      <c r="C241" t="s">
        <v>995</v>
      </c>
      <c r="D241" t="s">
        <v>996</v>
      </c>
      <c r="G241" t="s">
        <v>1262</v>
      </c>
      <c r="H241" t="s">
        <v>1263</v>
      </c>
      <c r="J241" t="s">
        <v>1026</v>
      </c>
      <c r="L241">
        <v>0</v>
      </c>
      <c r="M241">
        <v>1.4999999999999999E-2</v>
      </c>
      <c r="N241" t="s">
        <v>198</v>
      </c>
      <c r="O241">
        <v>1.4999999999999999E-2</v>
      </c>
      <c r="P241" t="s">
        <v>198</v>
      </c>
      <c r="Q241" t="s">
        <v>199</v>
      </c>
      <c r="R241" s="3"/>
      <c r="W241" t="s">
        <v>200</v>
      </c>
      <c r="X241" s="25"/>
      <c r="Y241" s="26"/>
      <c r="Z241" s="27"/>
      <c r="AA241" t="s">
        <v>25</v>
      </c>
      <c r="AB241" t="s">
        <v>201</v>
      </c>
      <c r="AC241" s="3"/>
      <c r="AH241" t="s">
        <v>202</v>
      </c>
      <c r="AK241" t="s">
        <v>203</v>
      </c>
      <c r="AP241" t="s">
        <v>200</v>
      </c>
      <c r="AR241" s="25"/>
      <c r="AT241" s="25">
        <v>0</v>
      </c>
      <c r="AU241" s="26"/>
      <c r="AV241" s="26"/>
      <c r="AW241" s="26"/>
      <c r="AX241" s="26" t="str">
        <f t="shared" si="9"/>
        <v/>
      </c>
      <c r="AY241" t="str">
        <f t="shared" si="10"/>
        <v/>
      </c>
      <c r="AZ241" t="s">
        <v>200</v>
      </c>
      <c r="BA241" s="3"/>
      <c r="BB241" t="str">
        <f t="shared" si="11"/>
        <v>No scrap rate (No impact);</v>
      </c>
    </row>
    <row r="242" spans="1:54" x14ac:dyDescent="0.3">
      <c r="A242" t="s">
        <v>1442</v>
      </c>
      <c r="B242" t="s">
        <v>1443</v>
      </c>
      <c r="C242" t="s">
        <v>906</v>
      </c>
      <c r="D242" t="s">
        <v>907</v>
      </c>
      <c r="G242" t="s">
        <v>1286</v>
      </c>
      <c r="H242" t="s">
        <v>1287</v>
      </c>
      <c r="J242" t="s">
        <v>1290</v>
      </c>
      <c r="L242">
        <v>1</v>
      </c>
      <c r="M242">
        <v>9.1999999999999998E-2</v>
      </c>
      <c r="N242" t="s">
        <v>198</v>
      </c>
      <c r="O242">
        <v>0</v>
      </c>
      <c r="P242" t="s">
        <v>198</v>
      </c>
      <c r="Q242" t="s">
        <v>199</v>
      </c>
      <c r="R242" s="3"/>
      <c r="W242" t="s">
        <v>200</v>
      </c>
      <c r="X242" s="25"/>
      <c r="Y242" s="26"/>
      <c r="Z242" s="27"/>
      <c r="AA242" t="s">
        <v>25</v>
      </c>
      <c r="AB242" t="s">
        <v>201</v>
      </c>
      <c r="AC242" s="3"/>
      <c r="AH242" t="s">
        <v>202</v>
      </c>
      <c r="AK242" t="s">
        <v>203</v>
      </c>
      <c r="AP242" t="s">
        <v>200</v>
      </c>
      <c r="AR242" s="25"/>
      <c r="AT242" s="25">
        <v>0</v>
      </c>
      <c r="AU242" s="26"/>
      <c r="AV242" s="26"/>
      <c r="AW242" s="26"/>
      <c r="AX242" s="26" t="str">
        <f t="shared" si="9"/>
        <v/>
      </c>
      <c r="AY242" t="str">
        <f t="shared" si="10"/>
        <v/>
      </c>
      <c r="AZ242" t="s">
        <v>200</v>
      </c>
      <c r="BA242" s="3"/>
      <c r="BB242" t="str">
        <f t="shared" si="11"/>
        <v>No scrap rate (No impact);</v>
      </c>
    </row>
    <row r="243" spans="1:54" x14ac:dyDescent="0.3">
      <c r="A243" t="s">
        <v>1444</v>
      </c>
      <c r="B243" t="s">
        <v>1445</v>
      </c>
      <c r="C243" t="s">
        <v>906</v>
      </c>
      <c r="D243" t="s">
        <v>907</v>
      </c>
      <c r="G243" t="s">
        <v>1278</v>
      </c>
      <c r="H243" t="s">
        <v>1279</v>
      </c>
      <c r="J243" t="s">
        <v>1139</v>
      </c>
      <c r="L243">
        <v>1</v>
      </c>
      <c r="M243">
        <v>7.4999999999999997E-2</v>
      </c>
      <c r="N243" t="s">
        <v>198</v>
      </c>
      <c r="O243">
        <v>0</v>
      </c>
      <c r="P243" t="s">
        <v>198</v>
      </c>
      <c r="Q243" t="s">
        <v>199</v>
      </c>
      <c r="R243" s="3"/>
      <c r="W243" t="s">
        <v>200</v>
      </c>
      <c r="X243" s="25"/>
      <c r="Y243" s="26"/>
      <c r="Z243" s="27"/>
      <c r="AA243" t="s">
        <v>25</v>
      </c>
      <c r="AB243" t="s">
        <v>201</v>
      </c>
      <c r="AC243" s="3"/>
      <c r="AH243" t="s">
        <v>202</v>
      </c>
      <c r="AK243" t="s">
        <v>203</v>
      </c>
      <c r="AP243" t="s">
        <v>200</v>
      </c>
      <c r="AR243" s="25"/>
      <c r="AT243" s="25">
        <v>0</v>
      </c>
      <c r="AU243" s="26"/>
      <c r="AV243" s="26"/>
      <c r="AW243" s="26"/>
      <c r="AX243" s="26" t="str">
        <f t="shared" si="9"/>
        <v/>
      </c>
      <c r="AY243" t="str">
        <f t="shared" si="10"/>
        <v/>
      </c>
      <c r="AZ243" t="s">
        <v>200</v>
      </c>
      <c r="BA243" s="3"/>
      <c r="BB243" t="str">
        <f t="shared" si="11"/>
        <v>No scrap rate (No impact);</v>
      </c>
    </row>
    <row r="244" spans="1:54" x14ac:dyDescent="0.3">
      <c r="A244" t="s">
        <v>1446</v>
      </c>
      <c r="B244" t="s">
        <v>1447</v>
      </c>
      <c r="C244" t="s">
        <v>938</v>
      </c>
      <c r="D244" t="s">
        <v>939</v>
      </c>
      <c r="G244" t="s">
        <v>463</v>
      </c>
      <c r="H244" t="s">
        <v>464</v>
      </c>
      <c r="L244">
        <v>0</v>
      </c>
      <c r="M244">
        <v>8.0000000000000002E-3</v>
      </c>
      <c r="N244" t="s">
        <v>198</v>
      </c>
      <c r="O244">
        <v>8.0000000000000002E-3</v>
      </c>
      <c r="P244" t="s">
        <v>198</v>
      </c>
      <c r="Q244" t="s">
        <v>199</v>
      </c>
      <c r="R244" s="3"/>
      <c r="W244" t="s">
        <v>200</v>
      </c>
      <c r="X244" s="25"/>
      <c r="Y244" s="26"/>
      <c r="Z244" s="27"/>
      <c r="AA244" t="s">
        <v>25</v>
      </c>
      <c r="AB244" t="s">
        <v>201</v>
      </c>
      <c r="AC244" s="3"/>
      <c r="AH244" t="s">
        <v>202</v>
      </c>
      <c r="AK244" t="s">
        <v>203</v>
      </c>
      <c r="AP244" t="s">
        <v>200</v>
      </c>
      <c r="AR244" s="25"/>
      <c r="AT244" s="25">
        <v>0</v>
      </c>
      <c r="AU244" s="26"/>
      <c r="AV244" s="26"/>
      <c r="AW244" s="26"/>
      <c r="AX244" s="26" t="str">
        <f t="shared" si="9"/>
        <v/>
      </c>
      <c r="AY244" t="str">
        <f t="shared" si="10"/>
        <v/>
      </c>
      <c r="AZ244" t="s">
        <v>200</v>
      </c>
      <c r="BA244" s="3"/>
      <c r="BB244" t="str">
        <f t="shared" si="11"/>
        <v>No scrap rate (No impact);No raw material available (High);</v>
      </c>
    </row>
    <row r="245" spans="1:54" x14ac:dyDescent="0.3">
      <c r="A245" t="s">
        <v>1448</v>
      </c>
      <c r="B245" t="s">
        <v>1449</v>
      </c>
      <c r="C245" t="s">
        <v>946</v>
      </c>
      <c r="D245" t="s">
        <v>947</v>
      </c>
      <c r="G245" t="s">
        <v>463</v>
      </c>
      <c r="H245" t="s">
        <v>464</v>
      </c>
      <c r="J245" t="s">
        <v>926</v>
      </c>
      <c r="L245">
        <v>0</v>
      </c>
      <c r="M245">
        <v>0.112</v>
      </c>
      <c r="N245" t="s">
        <v>198</v>
      </c>
      <c r="O245">
        <v>0.112</v>
      </c>
      <c r="P245" t="s">
        <v>198</v>
      </c>
      <c r="Q245" t="s">
        <v>199</v>
      </c>
      <c r="R245" s="3"/>
      <c r="W245" t="s">
        <v>200</v>
      </c>
      <c r="X245" s="25"/>
      <c r="Y245" s="26"/>
      <c r="Z245" s="27"/>
      <c r="AA245" t="s">
        <v>25</v>
      </c>
      <c r="AB245" t="s">
        <v>201</v>
      </c>
      <c r="AC245" s="3"/>
      <c r="AH245" t="s">
        <v>202</v>
      </c>
      <c r="AK245" t="s">
        <v>203</v>
      </c>
      <c r="AP245" t="s">
        <v>200</v>
      </c>
      <c r="AR245" s="25"/>
      <c r="AT245" s="25">
        <v>0</v>
      </c>
      <c r="AU245" s="26"/>
      <c r="AV245" s="26"/>
      <c r="AW245" s="26"/>
      <c r="AX245" s="26" t="str">
        <f t="shared" si="9"/>
        <v/>
      </c>
      <c r="AY245" t="str">
        <f t="shared" si="10"/>
        <v/>
      </c>
      <c r="AZ245" t="s">
        <v>200</v>
      </c>
      <c r="BA245" s="3"/>
      <c r="BB245" t="str">
        <f t="shared" si="11"/>
        <v>No scrap rate (No impact);</v>
      </c>
    </row>
    <row r="246" spans="1:54" x14ac:dyDescent="0.3">
      <c r="A246" t="s">
        <v>1450</v>
      </c>
      <c r="B246" t="s">
        <v>1451</v>
      </c>
      <c r="C246" t="s">
        <v>938</v>
      </c>
      <c r="D246" t="s">
        <v>939</v>
      </c>
      <c r="G246" t="s">
        <v>463</v>
      </c>
      <c r="H246" t="s">
        <v>464</v>
      </c>
      <c r="L246">
        <v>0</v>
      </c>
      <c r="M246">
        <v>3.0000000000000001E-3</v>
      </c>
      <c r="N246" t="s">
        <v>198</v>
      </c>
      <c r="O246">
        <v>3.0000000000000001E-3</v>
      </c>
      <c r="P246" t="s">
        <v>198</v>
      </c>
      <c r="Q246" t="s">
        <v>199</v>
      </c>
      <c r="R246" s="3"/>
      <c r="W246" t="s">
        <v>200</v>
      </c>
      <c r="X246" s="25"/>
      <c r="Y246" s="26"/>
      <c r="Z246" s="27"/>
      <c r="AA246" t="s">
        <v>25</v>
      </c>
      <c r="AB246" t="s">
        <v>201</v>
      </c>
      <c r="AC246" s="3"/>
      <c r="AH246" t="s">
        <v>202</v>
      </c>
      <c r="AK246" t="s">
        <v>203</v>
      </c>
      <c r="AP246" t="s">
        <v>200</v>
      </c>
      <c r="AR246" s="25"/>
      <c r="AT246" s="25">
        <v>0</v>
      </c>
      <c r="AU246" s="26"/>
      <c r="AV246" s="26"/>
      <c r="AW246" s="26"/>
      <c r="AX246" s="26" t="str">
        <f t="shared" si="9"/>
        <v/>
      </c>
      <c r="AY246" t="str">
        <f t="shared" si="10"/>
        <v/>
      </c>
      <c r="AZ246" t="s">
        <v>200</v>
      </c>
      <c r="BA246" s="3"/>
      <c r="BB246" t="str">
        <f t="shared" si="11"/>
        <v>No scrap rate (No impact);No raw material available (High);</v>
      </c>
    </row>
    <row r="247" spans="1:54" x14ac:dyDescent="0.3">
      <c r="A247" t="s">
        <v>1452</v>
      </c>
      <c r="B247" t="s">
        <v>1453</v>
      </c>
      <c r="C247" t="s">
        <v>1256</v>
      </c>
      <c r="D247" t="s">
        <v>1257</v>
      </c>
      <c r="G247" t="s">
        <v>433</v>
      </c>
      <c r="H247" t="s">
        <v>434</v>
      </c>
      <c r="L247">
        <v>0</v>
      </c>
      <c r="M247">
        <v>0.33500000000000002</v>
      </c>
      <c r="N247" t="s">
        <v>198</v>
      </c>
      <c r="O247">
        <v>0.33500000000000002</v>
      </c>
      <c r="P247" t="s">
        <v>198</v>
      </c>
      <c r="Q247" t="s">
        <v>199</v>
      </c>
      <c r="R247" s="3"/>
      <c r="W247" t="s">
        <v>200</v>
      </c>
      <c r="X247" s="25"/>
      <c r="Y247" s="26"/>
      <c r="Z247" s="27"/>
      <c r="AA247" t="s">
        <v>25</v>
      </c>
      <c r="AB247" t="s">
        <v>201</v>
      </c>
      <c r="AC247" s="3"/>
      <c r="AH247" t="s">
        <v>202</v>
      </c>
      <c r="AK247" t="s">
        <v>203</v>
      </c>
      <c r="AP247" t="s">
        <v>200</v>
      </c>
      <c r="AR247" s="25"/>
      <c r="AT247" s="25">
        <v>0</v>
      </c>
      <c r="AU247" s="26"/>
      <c r="AV247" s="26"/>
      <c r="AW247" s="26"/>
      <c r="AX247" s="26" t="str">
        <f t="shared" si="9"/>
        <v/>
      </c>
      <c r="AY247" t="str">
        <f t="shared" si="10"/>
        <v/>
      </c>
      <c r="AZ247" t="s">
        <v>200</v>
      </c>
      <c r="BA247" s="3"/>
      <c r="BB247" t="str">
        <f t="shared" si="11"/>
        <v>No scrap rate (No impact);No raw material available (High);</v>
      </c>
    </row>
    <row r="248" spans="1:54" x14ac:dyDescent="0.3">
      <c r="A248" t="s">
        <v>1454</v>
      </c>
      <c r="B248" t="s">
        <v>1455</v>
      </c>
      <c r="C248" t="s">
        <v>946</v>
      </c>
      <c r="D248" t="s">
        <v>947</v>
      </c>
      <c r="G248" t="s">
        <v>433</v>
      </c>
      <c r="H248" t="s">
        <v>434</v>
      </c>
      <c r="J248" t="s">
        <v>926</v>
      </c>
      <c r="L248">
        <v>0</v>
      </c>
      <c r="M248">
        <v>0.18</v>
      </c>
      <c r="N248" t="s">
        <v>198</v>
      </c>
      <c r="O248">
        <v>0.18</v>
      </c>
      <c r="P248" t="s">
        <v>198</v>
      </c>
      <c r="Q248" t="s">
        <v>199</v>
      </c>
      <c r="R248" s="3"/>
      <c r="W248" t="s">
        <v>200</v>
      </c>
      <c r="X248" s="25"/>
      <c r="Y248" s="26"/>
      <c r="Z248" s="27"/>
      <c r="AA248" t="s">
        <v>25</v>
      </c>
      <c r="AB248" t="s">
        <v>201</v>
      </c>
      <c r="AC248" s="3"/>
      <c r="AH248" t="s">
        <v>202</v>
      </c>
      <c r="AK248" t="s">
        <v>203</v>
      </c>
      <c r="AP248" t="s">
        <v>200</v>
      </c>
      <c r="AR248" s="25"/>
      <c r="AT248" s="25">
        <v>0</v>
      </c>
      <c r="AU248" s="26"/>
      <c r="AV248" s="26"/>
      <c r="AW248" s="26"/>
      <c r="AX248" s="26" t="str">
        <f t="shared" si="9"/>
        <v/>
      </c>
      <c r="AY248" t="str">
        <f t="shared" si="10"/>
        <v/>
      </c>
      <c r="AZ248" t="s">
        <v>200</v>
      </c>
      <c r="BA248" s="3"/>
      <c r="BB248" t="str">
        <f t="shared" si="11"/>
        <v>No scrap rate (No impact);</v>
      </c>
    </row>
    <row r="249" spans="1:54" x14ac:dyDescent="0.3">
      <c r="A249" t="s">
        <v>1456</v>
      </c>
      <c r="B249" t="s">
        <v>1457</v>
      </c>
      <c r="C249" t="s">
        <v>906</v>
      </c>
      <c r="D249" t="s">
        <v>907</v>
      </c>
      <c r="G249" t="s">
        <v>1278</v>
      </c>
      <c r="H249" t="s">
        <v>1279</v>
      </c>
      <c r="J249" t="s">
        <v>1307</v>
      </c>
      <c r="L249">
        <v>4480</v>
      </c>
      <c r="M249">
        <v>0.02</v>
      </c>
      <c r="N249" t="s">
        <v>198</v>
      </c>
      <c r="O249">
        <v>0</v>
      </c>
      <c r="P249" t="s">
        <v>198</v>
      </c>
      <c r="Q249" t="s">
        <v>199</v>
      </c>
      <c r="R249" s="3"/>
      <c r="W249" t="s">
        <v>200</v>
      </c>
      <c r="X249" s="25"/>
      <c r="Y249" s="26"/>
      <c r="Z249" s="27"/>
      <c r="AA249" t="s">
        <v>25</v>
      </c>
      <c r="AB249" t="s">
        <v>201</v>
      </c>
      <c r="AC249" s="3"/>
      <c r="AH249" t="s">
        <v>202</v>
      </c>
      <c r="AK249" t="s">
        <v>203</v>
      </c>
      <c r="AP249" t="s">
        <v>200</v>
      </c>
      <c r="AR249" s="25"/>
      <c r="AT249" s="25">
        <v>0</v>
      </c>
      <c r="AU249" s="26"/>
      <c r="AV249" s="26"/>
      <c r="AW249" s="26"/>
      <c r="AX249" s="26" t="str">
        <f t="shared" si="9"/>
        <v/>
      </c>
      <c r="AY249" t="str">
        <f t="shared" si="10"/>
        <v/>
      </c>
      <c r="AZ249" t="s">
        <v>200</v>
      </c>
      <c r="BA249" s="3"/>
      <c r="BB249" t="str">
        <f t="shared" si="11"/>
        <v>No scrap rate (No impact);</v>
      </c>
    </row>
    <row r="250" spans="1:54" x14ac:dyDescent="0.3">
      <c r="A250" t="s">
        <v>1458</v>
      </c>
      <c r="B250" t="s">
        <v>1459</v>
      </c>
      <c r="C250" t="s">
        <v>995</v>
      </c>
      <c r="D250" t="s">
        <v>996</v>
      </c>
      <c r="G250" t="s">
        <v>1005</v>
      </c>
      <c r="H250" t="s">
        <v>1006</v>
      </c>
      <c r="J250" t="s">
        <v>1046</v>
      </c>
      <c r="L250">
        <v>1</v>
      </c>
      <c r="M250">
        <v>6.0000000000000001E-3</v>
      </c>
      <c r="N250" t="s">
        <v>198</v>
      </c>
      <c r="O250">
        <v>6.0000000000000001E-3</v>
      </c>
      <c r="P250" t="s">
        <v>198</v>
      </c>
      <c r="Q250" t="s">
        <v>199</v>
      </c>
      <c r="R250" s="3"/>
      <c r="W250" t="s">
        <v>200</v>
      </c>
      <c r="X250" s="25"/>
      <c r="Y250" s="26"/>
      <c r="Z250" s="27"/>
      <c r="AA250" t="s">
        <v>25</v>
      </c>
      <c r="AB250" t="s">
        <v>201</v>
      </c>
      <c r="AC250" s="3"/>
      <c r="AH250" t="s">
        <v>202</v>
      </c>
      <c r="AK250" t="s">
        <v>203</v>
      </c>
      <c r="AP250" t="s">
        <v>200</v>
      </c>
      <c r="AR250" s="25"/>
      <c r="AT250" s="25">
        <v>0</v>
      </c>
      <c r="AU250" s="26"/>
      <c r="AV250" s="26"/>
      <c r="AW250" s="26"/>
      <c r="AX250" s="26" t="str">
        <f t="shared" si="9"/>
        <v/>
      </c>
      <c r="AY250" t="str">
        <f t="shared" si="10"/>
        <v/>
      </c>
      <c r="AZ250" t="s">
        <v>200</v>
      </c>
      <c r="BA250" s="3"/>
      <c r="BB250" t="str">
        <f t="shared" si="11"/>
        <v>No scrap rate (No impact);</v>
      </c>
    </row>
    <row r="251" spans="1:54" x14ac:dyDescent="0.3">
      <c r="A251" t="s">
        <v>1460</v>
      </c>
      <c r="B251" t="s">
        <v>1461</v>
      </c>
      <c r="C251" t="s">
        <v>946</v>
      </c>
      <c r="D251" t="s">
        <v>947</v>
      </c>
      <c r="G251" t="s">
        <v>463</v>
      </c>
      <c r="H251" t="s">
        <v>464</v>
      </c>
      <c r="J251" t="s">
        <v>926</v>
      </c>
      <c r="L251">
        <v>0</v>
      </c>
      <c r="M251">
        <v>0.11</v>
      </c>
      <c r="N251" t="s">
        <v>198</v>
      </c>
      <c r="O251">
        <v>0.11</v>
      </c>
      <c r="P251" t="s">
        <v>198</v>
      </c>
      <c r="Q251" t="s">
        <v>199</v>
      </c>
      <c r="R251" s="3"/>
      <c r="W251" t="s">
        <v>200</v>
      </c>
      <c r="X251" s="25"/>
      <c r="Y251" s="26"/>
      <c r="Z251" s="27"/>
      <c r="AA251" t="s">
        <v>25</v>
      </c>
      <c r="AB251" t="s">
        <v>201</v>
      </c>
      <c r="AC251" s="3"/>
      <c r="AH251" t="s">
        <v>202</v>
      </c>
      <c r="AK251" t="s">
        <v>203</v>
      </c>
      <c r="AP251" t="s">
        <v>200</v>
      </c>
      <c r="AR251" s="25"/>
      <c r="AT251" s="25">
        <v>0</v>
      </c>
      <c r="AU251" s="26"/>
      <c r="AV251" s="26"/>
      <c r="AW251" s="26"/>
      <c r="AX251" s="26" t="str">
        <f t="shared" si="9"/>
        <v/>
      </c>
      <c r="AY251" t="str">
        <f t="shared" si="10"/>
        <v/>
      </c>
      <c r="AZ251" t="s">
        <v>200</v>
      </c>
      <c r="BA251" s="3"/>
      <c r="BB251" t="str">
        <f t="shared" si="11"/>
        <v>No scrap rate (No impact);</v>
      </c>
    </row>
    <row r="252" spans="1:54" x14ac:dyDescent="0.3">
      <c r="A252" t="s">
        <v>1462</v>
      </c>
      <c r="B252" t="s">
        <v>1463</v>
      </c>
      <c r="C252" t="s">
        <v>1171</v>
      </c>
      <c r="D252" t="s">
        <v>1172</v>
      </c>
      <c r="G252" t="s">
        <v>575</v>
      </c>
      <c r="H252" t="s">
        <v>576</v>
      </c>
      <c r="J252" t="s">
        <v>1046</v>
      </c>
      <c r="L252">
        <v>0</v>
      </c>
      <c r="M252">
        <v>1E-3</v>
      </c>
      <c r="N252" t="s">
        <v>198</v>
      </c>
      <c r="O252">
        <v>1E-3</v>
      </c>
      <c r="P252" t="s">
        <v>198</v>
      </c>
      <c r="Q252" t="s">
        <v>199</v>
      </c>
      <c r="R252" s="3"/>
      <c r="W252" t="s">
        <v>200</v>
      </c>
      <c r="X252" s="25"/>
      <c r="Y252" s="26"/>
      <c r="Z252" s="27"/>
      <c r="AA252" t="s">
        <v>25</v>
      </c>
      <c r="AB252" t="s">
        <v>201</v>
      </c>
      <c r="AC252" s="3"/>
      <c r="AH252" t="s">
        <v>202</v>
      </c>
      <c r="AK252" t="s">
        <v>203</v>
      </c>
      <c r="AP252" t="s">
        <v>200</v>
      </c>
      <c r="AR252" s="25"/>
      <c r="AT252" s="25">
        <v>0</v>
      </c>
      <c r="AU252" s="26"/>
      <c r="AV252" s="26"/>
      <c r="AW252" s="26"/>
      <c r="AX252" s="26" t="str">
        <f t="shared" si="9"/>
        <v/>
      </c>
      <c r="AY252" t="str">
        <f t="shared" si="10"/>
        <v/>
      </c>
      <c r="AZ252" t="s">
        <v>200</v>
      </c>
      <c r="BA252" s="3"/>
      <c r="BB252" t="str">
        <f t="shared" si="11"/>
        <v>No scrap rate (No impact);</v>
      </c>
    </row>
    <row r="253" spans="1:54" x14ac:dyDescent="0.3">
      <c r="A253" t="s">
        <v>1464</v>
      </c>
      <c r="B253" t="s">
        <v>1465</v>
      </c>
      <c r="C253" t="s">
        <v>995</v>
      </c>
      <c r="D253" t="s">
        <v>996</v>
      </c>
      <c r="G253" t="s">
        <v>1044</v>
      </c>
      <c r="H253" t="s">
        <v>1045</v>
      </c>
      <c r="L253">
        <v>0</v>
      </c>
      <c r="M253">
        <v>0</v>
      </c>
      <c r="N253" t="s">
        <v>1466</v>
      </c>
      <c r="O253">
        <v>0</v>
      </c>
      <c r="P253" t="s">
        <v>1466</v>
      </c>
      <c r="Q253" t="s">
        <v>199</v>
      </c>
      <c r="R253" s="3"/>
      <c r="W253" t="s">
        <v>200</v>
      </c>
      <c r="X253" s="25"/>
      <c r="Y253" s="26"/>
      <c r="Z253" s="27"/>
      <c r="AA253" t="s">
        <v>25</v>
      </c>
      <c r="AB253" t="s">
        <v>201</v>
      </c>
      <c r="AC253" s="3"/>
      <c r="AH253" t="s">
        <v>202</v>
      </c>
      <c r="AK253" t="s">
        <v>203</v>
      </c>
      <c r="AP253" t="s">
        <v>200</v>
      </c>
      <c r="AR253" s="25"/>
      <c r="AT253" s="25">
        <v>0</v>
      </c>
      <c r="AU253" s="26"/>
      <c r="AV253" s="26"/>
      <c r="AW253" s="26"/>
      <c r="AX253" s="26" t="str">
        <f t="shared" si="9"/>
        <v/>
      </c>
      <c r="AY253" t="str">
        <f t="shared" si="10"/>
        <v/>
      </c>
      <c r="AZ253" t="s">
        <v>200</v>
      </c>
      <c r="BA253" s="3"/>
      <c r="BB253" t="str">
        <f t="shared" si="11"/>
        <v>No scrap rate (No impact);No raw material available (High);</v>
      </c>
    </row>
    <row r="254" spans="1:54" x14ac:dyDescent="0.3">
      <c r="A254" t="s">
        <v>1467</v>
      </c>
      <c r="B254" t="s">
        <v>1468</v>
      </c>
      <c r="C254" t="s">
        <v>747</v>
      </c>
      <c r="D254" t="s">
        <v>748</v>
      </c>
      <c r="G254" t="s">
        <v>1469</v>
      </c>
      <c r="H254" t="s">
        <v>1470</v>
      </c>
      <c r="L254">
        <v>0</v>
      </c>
      <c r="M254">
        <v>0</v>
      </c>
      <c r="N254" t="s">
        <v>1466</v>
      </c>
      <c r="O254">
        <v>0</v>
      </c>
      <c r="P254" t="s">
        <v>1466</v>
      </c>
      <c r="Q254" t="s">
        <v>199</v>
      </c>
      <c r="R254" s="3"/>
      <c r="W254" t="s">
        <v>200</v>
      </c>
      <c r="X254" s="25"/>
      <c r="Y254" s="26"/>
      <c r="Z254" s="27"/>
      <c r="AA254" t="s">
        <v>25</v>
      </c>
      <c r="AB254" t="s">
        <v>201</v>
      </c>
      <c r="AC254" s="3"/>
      <c r="AH254" t="s">
        <v>202</v>
      </c>
      <c r="AK254" t="s">
        <v>203</v>
      </c>
      <c r="AP254" t="s">
        <v>200</v>
      </c>
      <c r="AR254" s="25"/>
      <c r="AT254" s="25">
        <v>0</v>
      </c>
      <c r="AU254" s="26"/>
      <c r="AV254" s="26"/>
      <c r="AW254" s="26"/>
      <c r="AX254" s="26" t="str">
        <f t="shared" si="9"/>
        <v/>
      </c>
      <c r="AY254" t="str">
        <f t="shared" si="10"/>
        <v/>
      </c>
      <c r="AZ254" t="s">
        <v>200</v>
      </c>
      <c r="BA254" s="3"/>
      <c r="BB254" t="str">
        <f t="shared" si="11"/>
        <v>No scrap rate (No impact);No raw material available (High);</v>
      </c>
    </row>
    <row r="255" spans="1:54" x14ac:dyDescent="0.3">
      <c r="A255" t="s">
        <v>1471</v>
      </c>
      <c r="B255" t="s">
        <v>1472</v>
      </c>
      <c r="C255" t="s">
        <v>946</v>
      </c>
      <c r="D255" t="s">
        <v>947</v>
      </c>
      <c r="G255" t="s">
        <v>1469</v>
      </c>
      <c r="H255" t="s">
        <v>1470</v>
      </c>
      <c r="J255" t="s">
        <v>926</v>
      </c>
      <c r="L255">
        <v>0</v>
      </c>
      <c r="M255">
        <v>0.253</v>
      </c>
      <c r="N255" t="s">
        <v>1466</v>
      </c>
      <c r="O255">
        <v>0.253</v>
      </c>
      <c r="P255" t="s">
        <v>1466</v>
      </c>
      <c r="Q255" t="s">
        <v>199</v>
      </c>
      <c r="R255" s="3"/>
      <c r="W255" t="s">
        <v>200</v>
      </c>
      <c r="X255" s="25"/>
      <c r="Y255" s="26"/>
      <c r="Z255" s="27"/>
      <c r="AA255" t="s">
        <v>25</v>
      </c>
      <c r="AB255" t="s">
        <v>201</v>
      </c>
      <c r="AC255" s="3"/>
      <c r="AH255" t="s">
        <v>202</v>
      </c>
      <c r="AK255" t="s">
        <v>203</v>
      </c>
      <c r="AP255" t="s">
        <v>200</v>
      </c>
      <c r="AR255" s="25"/>
      <c r="AT255" s="25">
        <v>0</v>
      </c>
      <c r="AU255" s="26"/>
      <c r="AV255" s="26"/>
      <c r="AW255" s="26"/>
      <c r="AX255" s="26" t="str">
        <f t="shared" si="9"/>
        <v/>
      </c>
      <c r="AY255" t="str">
        <f t="shared" si="10"/>
        <v/>
      </c>
      <c r="AZ255" t="s">
        <v>200</v>
      </c>
      <c r="BA255" s="3"/>
      <c r="BB255" t="str">
        <f t="shared" si="11"/>
        <v>No scrap rate (No impact);</v>
      </c>
    </row>
    <row r="256" spans="1:54" x14ac:dyDescent="0.3">
      <c r="A256" t="s">
        <v>1473</v>
      </c>
      <c r="B256" t="s">
        <v>1474</v>
      </c>
      <c r="C256" t="s">
        <v>946</v>
      </c>
      <c r="D256" t="s">
        <v>947</v>
      </c>
      <c r="G256" t="s">
        <v>1469</v>
      </c>
      <c r="H256" t="s">
        <v>1470</v>
      </c>
      <c r="J256" t="s">
        <v>1475</v>
      </c>
      <c r="L256">
        <v>0</v>
      </c>
      <c r="M256">
        <v>2.3E-2</v>
      </c>
      <c r="N256" t="s">
        <v>1466</v>
      </c>
      <c r="O256">
        <v>2.3E-2</v>
      </c>
      <c r="P256" t="s">
        <v>1466</v>
      </c>
      <c r="Q256" t="s">
        <v>199</v>
      </c>
      <c r="R256" s="3"/>
      <c r="W256" t="s">
        <v>200</v>
      </c>
      <c r="X256" s="25"/>
      <c r="Y256" s="26"/>
      <c r="Z256" s="27"/>
      <c r="AA256" t="s">
        <v>25</v>
      </c>
      <c r="AB256" t="s">
        <v>201</v>
      </c>
      <c r="AC256" s="3"/>
      <c r="AH256" t="s">
        <v>202</v>
      </c>
      <c r="AK256" t="s">
        <v>203</v>
      </c>
      <c r="AP256" t="s">
        <v>200</v>
      </c>
      <c r="AR256" s="25"/>
      <c r="AT256" s="25">
        <v>0</v>
      </c>
      <c r="AU256" s="26"/>
      <c r="AV256" s="26"/>
      <c r="AW256" s="26"/>
      <c r="AX256" s="26" t="str">
        <f t="shared" si="9"/>
        <v/>
      </c>
      <c r="AY256" t="str">
        <f t="shared" si="10"/>
        <v/>
      </c>
      <c r="AZ256" t="s">
        <v>200</v>
      </c>
      <c r="BA256" s="3"/>
      <c r="BB256" t="str">
        <f t="shared" si="11"/>
        <v>No scrap rate (No impact);</v>
      </c>
    </row>
    <row r="257" spans="1:54" x14ac:dyDescent="0.3">
      <c r="A257" t="s">
        <v>1476</v>
      </c>
      <c r="B257" t="s">
        <v>1477</v>
      </c>
      <c r="C257" t="s">
        <v>995</v>
      </c>
      <c r="D257" t="s">
        <v>996</v>
      </c>
      <c r="G257" t="s">
        <v>997</v>
      </c>
      <c r="H257" t="s">
        <v>998</v>
      </c>
      <c r="L257">
        <v>0</v>
      </c>
      <c r="M257">
        <v>0</v>
      </c>
      <c r="N257" t="s">
        <v>1466</v>
      </c>
      <c r="O257">
        <v>0</v>
      </c>
      <c r="P257" t="s">
        <v>1466</v>
      </c>
      <c r="Q257" t="s">
        <v>199</v>
      </c>
      <c r="R257" s="3"/>
      <c r="W257" t="s">
        <v>200</v>
      </c>
      <c r="X257" s="25"/>
      <c r="Y257" s="26"/>
      <c r="Z257" s="27"/>
      <c r="AA257" t="s">
        <v>25</v>
      </c>
      <c r="AB257" t="s">
        <v>201</v>
      </c>
      <c r="AC257" s="3"/>
      <c r="AH257" t="s">
        <v>202</v>
      </c>
      <c r="AK257" t="s">
        <v>203</v>
      </c>
      <c r="AP257" t="s">
        <v>200</v>
      </c>
      <c r="AR257" s="25"/>
      <c r="AT257" s="25">
        <v>0</v>
      </c>
      <c r="AU257" s="26"/>
      <c r="AV257" s="26"/>
      <c r="AW257" s="26"/>
      <c r="AX257" s="26" t="str">
        <f t="shared" si="9"/>
        <v/>
      </c>
      <c r="AY257" t="str">
        <f t="shared" si="10"/>
        <v/>
      </c>
      <c r="AZ257" t="s">
        <v>200</v>
      </c>
      <c r="BA257" s="3"/>
      <c r="BB257" t="str">
        <f t="shared" si="11"/>
        <v>No scrap rate (No impact);No raw material available (High);</v>
      </c>
    </row>
    <row r="258" spans="1:54" x14ac:dyDescent="0.3">
      <c r="A258" t="s">
        <v>1478</v>
      </c>
      <c r="B258" t="s">
        <v>1479</v>
      </c>
      <c r="C258" t="s">
        <v>906</v>
      </c>
      <c r="D258" t="s">
        <v>907</v>
      </c>
      <c r="G258" t="s">
        <v>1480</v>
      </c>
      <c r="H258" t="s">
        <v>1481</v>
      </c>
      <c r="J258" t="s">
        <v>910</v>
      </c>
      <c r="L258">
        <v>0</v>
      </c>
      <c r="M258">
        <v>0.03</v>
      </c>
      <c r="N258" t="s">
        <v>1466</v>
      </c>
      <c r="O258">
        <v>0</v>
      </c>
      <c r="P258" t="s">
        <v>1466</v>
      </c>
      <c r="Q258" t="s">
        <v>199</v>
      </c>
      <c r="R258" s="3"/>
      <c r="W258" t="s">
        <v>200</v>
      </c>
      <c r="X258" s="25"/>
      <c r="Y258" s="26"/>
      <c r="Z258" s="27"/>
      <c r="AA258" t="s">
        <v>25</v>
      </c>
      <c r="AB258" t="s">
        <v>201</v>
      </c>
      <c r="AC258" s="3"/>
      <c r="AH258" t="s">
        <v>202</v>
      </c>
      <c r="AK258" t="s">
        <v>203</v>
      </c>
      <c r="AP258" t="s">
        <v>200</v>
      </c>
      <c r="AR258" s="25"/>
      <c r="AT258" s="25">
        <v>0</v>
      </c>
      <c r="AU258" s="26"/>
      <c r="AV258" s="26"/>
      <c r="AW258" s="26"/>
      <c r="AX258" s="26" t="str">
        <f t="shared" si="9"/>
        <v/>
      </c>
      <c r="AY258" t="str">
        <f t="shared" si="10"/>
        <v/>
      </c>
      <c r="AZ258" t="s">
        <v>200</v>
      </c>
      <c r="BA258" s="3"/>
      <c r="BB258" t="str">
        <f t="shared" si="11"/>
        <v>No scrap rate (No impact);</v>
      </c>
    </row>
    <row r="259" spans="1:54" x14ac:dyDescent="0.3">
      <c r="A259" t="s">
        <v>1482</v>
      </c>
      <c r="B259" t="s">
        <v>1483</v>
      </c>
      <c r="C259" t="s">
        <v>747</v>
      </c>
      <c r="D259" t="s">
        <v>748</v>
      </c>
      <c r="G259" t="s">
        <v>1055</v>
      </c>
      <c r="H259" t="s">
        <v>1056</v>
      </c>
      <c r="L259">
        <v>0</v>
      </c>
      <c r="M259">
        <v>0</v>
      </c>
      <c r="N259" t="s">
        <v>1466</v>
      </c>
      <c r="O259">
        <v>0</v>
      </c>
      <c r="P259" t="s">
        <v>1466</v>
      </c>
      <c r="Q259" t="s">
        <v>199</v>
      </c>
      <c r="R259" s="3"/>
      <c r="W259" t="s">
        <v>200</v>
      </c>
      <c r="X259" s="25"/>
      <c r="Y259" s="26"/>
      <c r="Z259" s="27"/>
      <c r="AA259" t="s">
        <v>25</v>
      </c>
      <c r="AB259" t="s">
        <v>201</v>
      </c>
      <c r="AC259" s="3"/>
      <c r="AH259" t="s">
        <v>202</v>
      </c>
      <c r="AK259" t="s">
        <v>203</v>
      </c>
      <c r="AP259" t="s">
        <v>200</v>
      </c>
      <c r="AR259" s="25"/>
      <c r="AT259" s="25">
        <v>0</v>
      </c>
      <c r="AU259" s="26"/>
      <c r="AV259" s="26"/>
      <c r="AW259" s="26"/>
      <c r="AX259" s="26" t="str">
        <f t="shared" ref="AX259:AX322" si="12">IF(COUNT(AU259,AV259,AW259)=0,"",ROUND(AVERAGE(AU259,AV259,AW259),3))</f>
        <v/>
      </c>
      <c r="AY259" t="str">
        <f t="shared" ref="AY259:AY322" si="13">IF(AO259="","",ROUND(AO259*IF(M259="",0,M259)*(1+IF(AR259="",0,AR259)),5))</f>
        <v/>
      </c>
      <c r="AZ259" t="s">
        <v>200</v>
      </c>
      <c r="BA259" s="3"/>
      <c r="BB259" t="str">
        <f t="shared" ref="BB259:BB322" si="14">IF(AND(A259&lt;&gt;"",G259=""),"Supplier code empty (High);","")&amp;IF(AND(X259&lt;&gt;"",OR(X259&gt;1,X259&lt;0)),"Incorrect PDS value (High);",IF(AND(X259&lt;&gt;"",X259&gt;0.5),"High PDS value (Medium);",""))&amp;IF(AND(Y259&lt;&gt;"",OR(Y259&gt;5,Y259&lt;1)),"Incorrect DQR value (High);",IF(AND(Y259&lt;&gt;"",Y259&gt;4),"Incorrect DQR value (Medium);",IF(AND(Y259&lt;&gt;"",Y259&gt;3),"Incorrect DQR value (Low);","")))&amp;IF(AND(V259&lt;&gt;"",OR(V259&lt;=0,V259&gt;100)),"Unusual PCF value might be wrong (High);","")&amp;IF(AND(AT259&lt;&gt;"",OR(AT259&gt;1,AT259&lt;0)),"Incorrect PDS value (High);",IF(AND(AT259&lt;&gt;"",AT259&gt;0.5),"High PDS value (Medium);",""))&amp;IF(AND(AX259&lt;&gt;"",OR(AX259&gt;5,AX259&lt;1)),"Incorrect DQR value (High);",IF(AND(AX259&lt;&gt;"",AX259&gt;4),"Incorrect DQR value (Medium);",IF(AND(AX259&lt;&gt;"",AX259&gt;3),"Incorrect DQR value (Low);","")))&amp;IF(AND(AR259&lt;&gt;"",OR(AR259&gt;1,AR259&lt;0)),"Incorrect scrap rate (High);",IF(AND(A259&lt;&gt;"",AR259=0),"No scrap rate (No impact);",""))&amp;IF(AND(A259&lt;&gt;"",I259="",J259="",K259=""),"No raw material available (High);","")&amp;""</f>
        <v>No scrap rate (No impact);No raw material available (High);</v>
      </c>
    </row>
    <row r="260" spans="1:54" x14ac:dyDescent="0.3">
      <c r="A260" t="s">
        <v>1484</v>
      </c>
      <c r="B260" t="s">
        <v>1485</v>
      </c>
      <c r="C260" t="s">
        <v>747</v>
      </c>
      <c r="D260" t="s">
        <v>748</v>
      </c>
      <c r="G260" t="s">
        <v>1486</v>
      </c>
      <c r="H260" t="s">
        <v>1487</v>
      </c>
      <c r="L260">
        <v>0</v>
      </c>
      <c r="M260">
        <v>0</v>
      </c>
      <c r="N260" t="s">
        <v>1466</v>
      </c>
      <c r="O260">
        <v>0</v>
      </c>
      <c r="P260" t="s">
        <v>1466</v>
      </c>
      <c r="Q260" t="s">
        <v>199</v>
      </c>
      <c r="R260" s="3"/>
      <c r="W260" t="s">
        <v>200</v>
      </c>
      <c r="X260" s="25"/>
      <c r="Y260" s="26"/>
      <c r="Z260" s="27"/>
      <c r="AA260" t="s">
        <v>25</v>
      </c>
      <c r="AB260" t="s">
        <v>201</v>
      </c>
      <c r="AC260" s="3"/>
      <c r="AH260" t="s">
        <v>202</v>
      </c>
      <c r="AK260" t="s">
        <v>203</v>
      </c>
      <c r="AP260" t="s">
        <v>200</v>
      </c>
      <c r="AR260" s="25"/>
      <c r="AT260" s="25">
        <v>0</v>
      </c>
      <c r="AU260" s="26"/>
      <c r="AV260" s="26"/>
      <c r="AW260" s="26"/>
      <c r="AX260" s="26" t="str">
        <f t="shared" si="12"/>
        <v/>
      </c>
      <c r="AY260" t="str">
        <f t="shared" si="13"/>
        <v/>
      </c>
      <c r="AZ260" t="s">
        <v>200</v>
      </c>
      <c r="BA260" s="3"/>
      <c r="BB260" t="str">
        <f t="shared" si="14"/>
        <v>No scrap rate (No impact);No raw material available (High);</v>
      </c>
    </row>
    <row r="261" spans="1:54" x14ac:dyDescent="0.3">
      <c r="A261" t="s">
        <v>1488</v>
      </c>
      <c r="B261" t="s">
        <v>1489</v>
      </c>
      <c r="C261" t="s">
        <v>747</v>
      </c>
      <c r="D261" t="s">
        <v>748</v>
      </c>
      <c r="G261" t="s">
        <v>1490</v>
      </c>
      <c r="H261" t="s">
        <v>1491</v>
      </c>
      <c r="L261">
        <v>0</v>
      </c>
      <c r="M261">
        <v>0</v>
      </c>
      <c r="N261" t="s">
        <v>1466</v>
      </c>
      <c r="O261">
        <v>0</v>
      </c>
      <c r="P261" t="s">
        <v>1466</v>
      </c>
      <c r="Q261" t="s">
        <v>199</v>
      </c>
      <c r="R261" s="3"/>
      <c r="W261" t="s">
        <v>200</v>
      </c>
      <c r="X261" s="25"/>
      <c r="Y261" s="26"/>
      <c r="Z261" s="27"/>
      <c r="AA261" t="s">
        <v>25</v>
      </c>
      <c r="AB261" t="s">
        <v>201</v>
      </c>
      <c r="AC261" s="3"/>
      <c r="AH261" t="s">
        <v>202</v>
      </c>
      <c r="AK261" t="s">
        <v>203</v>
      </c>
      <c r="AP261" t="s">
        <v>200</v>
      </c>
      <c r="AR261" s="25"/>
      <c r="AT261" s="25">
        <v>0</v>
      </c>
      <c r="AU261" s="26"/>
      <c r="AV261" s="26"/>
      <c r="AW261" s="26"/>
      <c r="AX261" s="26" t="str">
        <f t="shared" si="12"/>
        <v/>
      </c>
      <c r="AY261" t="str">
        <f t="shared" si="13"/>
        <v/>
      </c>
      <c r="AZ261" t="s">
        <v>200</v>
      </c>
      <c r="BA261" s="3"/>
      <c r="BB261" t="str">
        <f t="shared" si="14"/>
        <v>No scrap rate (No impact);No raw material available (High);</v>
      </c>
    </row>
    <row r="262" spans="1:54" x14ac:dyDescent="0.3">
      <c r="A262" t="s">
        <v>1492</v>
      </c>
      <c r="B262" t="s">
        <v>1493</v>
      </c>
      <c r="C262" t="s">
        <v>1110</v>
      </c>
      <c r="D262" t="s">
        <v>1111</v>
      </c>
      <c r="G262" t="s">
        <v>1324</v>
      </c>
      <c r="H262" t="s">
        <v>1325</v>
      </c>
      <c r="L262">
        <v>0</v>
      </c>
      <c r="M262">
        <v>0</v>
      </c>
      <c r="N262" t="s">
        <v>198</v>
      </c>
      <c r="O262">
        <v>0</v>
      </c>
      <c r="P262" t="s">
        <v>198</v>
      </c>
      <c r="Q262" t="s">
        <v>199</v>
      </c>
      <c r="R262" s="3"/>
      <c r="W262" t="s">
        <v>200</v>
      </c>
      <c r="X262" s="25"/>
      <c r="Y262" s="26"/>
      <c r="Z262" s="27"/>
      <c r="AA262" t="s">
        <v>25</v>
      </c>
      <c r="AB262" t="s">
        <v>201</v>
      </c>
      <c r="AC262" s="3"/>
      <c r="AH262" t="s">
        <v>202</v>
      </c>
      <c r="AK262" t="s">
        <v>203</v>
      </c>
      <c r="AP262" t="s">
        <v>200</v>
      </c>
      <c r="AR262" s="25"/>
      <c r="AT262" s="25">
        <v>0</v>
      </c>
      <c r="AU262" s="26"/>
      <c r="AV262" s="26"/>
      <c r="AW262" s="26"/>
      <c r="AX262" s="26" t="str">
        <f t="shared" si="12"/>
        <v/>
      </c>
      <c r="AY262" t="str">
        <f t="shared" si="13"/>
        <v/>
      </c>
      <c r="AZ262" t="s">
        <v>200</v>
      </c>
      <c r="BA262" s="3"/>
      <c r="BB262" t="str">
        <f t="shared" si="14"/>
        <v>No scrap rate (No impact);No raw material available (High);</v>
      </c>
    </row>
    <row r="263" spans="1:54" x14ac:dyDescent="0.3">
      <c r="A263" t="s">
        <v>1494</v>
      </c>
      <c r="B263" t="s">
        <v>1495</v>
      </c>
      <c r="C263" t="s">
        <v>1110</v>
      </c>
      <c r="D263" t="s">
        <v>1111</v>
      </c>
      <c r="G263" t="s">
        <v>1324</v>
      </c>
      <c r="H263" t="s">
        <v>1325</v>
      </c>
      <c r="L263">
        <v>0</v>
      </c>
      <c r="M263">
        <v>0</v>
      </c>
      <c r="N263" t="s">
        <v>198</v>
      </c>
      <c r="O263">
        <v>0</v>
      </c>
      <c r="P263" t="s">
        <v>198</v>
      </c>
      <c r="Q263" t="s">
        <v>199</v>
      </c>
      <c r="R263" s="3"/>
      <c r="W263" t="s">
        <v>200</v>
      </c>
      <c r="X263" s="25"/>
      <c r="Y263" s="26"/>
      <c r="Z263" s="27"/>
      <c r="AA263" t="s">
        <v>25</v>
      </c>
      <c r="AB263" t="s">
        <v>201</v>
      </c>
      <c r="AC263" s="3"/>
      <c r="AH263" t="s">
        <v>202</v>
      </c>
      <c r="AK263" t="s">
        <v>203</v>
      </c>
      <c r="AP263" t="s">
        <v>200</v>
      </c>
      <c r="AR263" s="25"/>
      <c r="AT263" s="25">
        <v>0</v>
      </c>
      <c r="AU263" s="26"/>
      <c r="AV263" s="26"/>
      <c r="AW263" s="26"/>
      <c r="AX263" s="26" t="str">
        <f t="shared" si="12"/>
        <v/>
      </c>
      <c r="AY263" t="str">
        <f t="shared" si="13"/>
        <v/>
      </c>
      <c r="AZ263" t="s">
        <v>200</v>
      </c>
      <c r="BA263" s="3"/>
      <c r="BB263" t="str">
        <f t="shared" si="14"/>
        <v>No scrap rate (No impact);No raw material available (High);</v>
      </c>
    </row>
    <row r="264" spans="1:54" x14ac:dyDescent="0.3">
      <c r="A264" t="s">
        <v>1496</v>
      </c>
      <c r="B264" t="s">
        <v>1497</v>
      </c>
      <c r="C264" t="s">
        <v>946</v>
      </c>
      <c r="D264" t="s">
        <v>947</v>
      </c>
      <c r="G264" t="s">
        <v>246</v>
      </c>
      <c r="H264" t="s">
        <v>247</v>
      </c>
      <c r="J264" t="s">
        <v>926</v>
      </c>
      <c r="L264">
        <v>0</v>
      </c>
      <c r="M264">
        <v>0.74399999999999999</v>
      </c>
      <c r="N264" t="s">
        <v>198</v>
      </c>
      <c r="O264">
        <v>0.74399999999999999</v>
      </c>
      <c r="P264" t="s">
        <v>198</v>
      </c>
      <c r="Q264" t="s">
        <v>199</v>
      </c>
      <c r="R264" s="3"/>
      <c r="W264" t="s">
        <v>200</v>
      </c>
      <c r="X264" s="25"/>
      <c r="Y264" s="26"/>
      <c r="Z264" s="27"/>
      <c r="AA264" t="s">
        <v>25</v>
      </c>
      <c r="AB264" t="s">
        <v>201</v>
      </c>
      <c r="AC264" s="3"/>
      <c r="AH264" t="s">
        <v>202</v>
      </c>
      <c r="AK264" t="s">
        <v>203</v>
      </c>
      <c r="AP264" t="s">
        <v>200</v>
      </c>
      <c r="AR264" s="25"/>
      <c r="AT264" s="25">
        <v>0</v>
      </c>
      <c r="AU264" s="26"/>
      <c r="AV264" s="26"/>
      <c r="AW264" s="26"/>
      <c r="AX264" s="26" t="str">
        <f t="shared" si="12"/>
        <v/>
      </c>
      <c r="AY264" t="str">
        <f t="shared" si="13"/>
        <v/>
      </c>
      <c r="AZ264" t="s">
        <v>200</v>
      </c>
      <c r="BA264" s="3"/>
      <c r="BB264" t="str">
        <f t="shared" si="14"/>
        <v>No scrap rate (No impact);</v>
      </c>
    </row>
    <row r="265" spans="1:54" x14ac:dyDescent="0.3">
      <c r="A265" t="s">
        <v>1498</v>
      </c>
      <c r="B265" t="s">
        <v>1499</v>
      </c>
      <c r="C265" t="s">
        <v>938</v>
      </c>
      <c r="D265" t="s">
        <v>939</v>
      </c>
      <c r="G265" t="s">
        <v>1262</v>
      </c>
      <c r="H265" t="s">
        <v>1263</v>
      </c>
      <c r="L265">
        <v>500</v>
      </c>
      <c r="M265">
        <v>1.7999999999999999E-2</v>
      </c>
      <c r="N265" t="s">
        <v>198</v>
      </c>
      <c r="O265">
        <v>0</v>
      </c>
      <c r="P265" t="s">
        <v>198</v>
      </c>
      <c r="Q265" t="s">
        <v>199</v>
      </c>
      <c r="R265" s="3"/>
      <c r="W265" t="s">
        <v>200</v>
      </c>
      <c r="X265" s="25"/>
      <c r="Y265" s="26"/>
      <c r="Z265" s="27"/>
      <c r="AA265" t="s">
        <v>25</v>
      </c>
      <c r="AB265" t="s">
        <v>201</v>
      </c>
      <c r="AC265" s="3"/>
      <c r="AH265" t="s">
        <v>202</v>
      </c>
      <c r="AK265" t="s">
        <v>203</v>
      </c>
      <c r="AP265" t="s">
        <v>200</v>
      </c>
      <c r="AR265" s="25"/>
      <c r="AT265" s="25">
        <v>0</v>
      </c>
      <c r="AU265" s="26"/>
      <c r="AV265" s="26"/>
      <c r="AW265" s="26"/>
      <c r="AX265" s="26" t="str">
        <f t="shared" si="12"/>
        <v/>
      </c>
      <c r="AY265" t="str">
        <f t="shared" si="13"/>
        <v/>
      </c>
      <c r="AZ265" t="s">
        <v>200</v>
      </c>
      <c r="BA265" s="3"/>
      <c r="BB265" t="str">
        <f t="shared" si="14"/>
        <v>No scrap rate (No impact);No raw material available (High);</v>
      </c>
    </row>
    <row r="266" spans="1:54" x14ac:dyDescent="0.3">
      <c r="A266" t="s">
        <v>1500</v>
      </c>
      <c r="B266" t="s">
        <v>1501</v>
      </c>
      <c r="C266" t="s">
        <v>995</v>
      </c>
      <c r="D266" t="s">
        <v>996</v>
      </c>
      <c r="G266" t="s">
        <v>1420</v>
      </c>
      <c r="H266" t="s">
        <v>1421</v>
      </c>
      <c r="J266" t="s">
        <v>1290</v>
      </c>
      <c r="L266">
        <v>1</v>
      </c>
      <c r="M266">
        <v>2.1999999999999999E-2</v>
      </c>
      <c r="N266" t="s">
        <v>198</v>
      </c>
      <c r="O266">
        <v>2.1999999999999999E-2</v>
      </c>
      <c r="P266" t="s">
        <v>198</v>
      </c>
      <c r="Q266" t="s">
        <v>199</v>
      </c>
      <c r="R266" s="3"/>
      <c r="W266" t="s">
        <v>200</v>
      </c>
      <c r="X266" s="25"/>
      <c r="Y266" s="26"/>
      <c r="Z266" s="27"/>
      <c r="AA266" t="s">
        <v>25</v>
      </c>
      <c r="AB266" t="s">
        <v>201</v>
      </c>
      <c r="AC266" s="3"/>
      <c r="AH266" t="s">
        <v>202</v>
      </c>
      <c r="AK266" t="s">
        <v>203</v>
      </c>
      <c r="AP266" t="s">
        <v>200</v>
      </c>
      <c r="AR266" s="25"/>
      <c r="AT266" s="25">
        <v>0</v>
      </c>
      <c r="AU266" s="26"/>
      <c r="AV266" s="26"/>
      <c r="AW266" s="26"/>
      <c r="AX266" s="26" t="str">
        <f t="shared" si="12"/>
        <v/>
      </c>
      <c r="AY266" t="str">
        <f t="shared" si="13"/>
        <v/>
      </c>
      <c r="AZ266" t="s">
        <v>200</v>
      </c>
      <c r="BA266" s="3"/>
      <c r="BB266" t="str">
        <f t="shared" si="14"/>
        <v>No scrap rate (No impact);</v>
      </c>
    </row>
    <row r="267" spans="1:54" x14ac:dyDescent="0.3">
      <c r="A267" t="s">
        <v>1502</v>
      </c>
      <c r="B267" t="s">
        <v>1503</v>
      </c>
      <c r="C267" t="s">
        <v>946</v>
      </c>
      <c r="D267" t="s">
        <v>947</v>
      </c>
      <c r="G267" t="s">
        <v>433</v>
      </c>
      <c r="H267" t="s">
        <v>434</v>
      </c>
      <c r="J267" t="s">
        <v>926</v>
      </c>
      <c r="L267">
        <v>0</v>
      </c>
      <c r="M267">
        <v>2.3E-2</v>
      </c>
      <c r="N267" t="s">
        <v>198</v>
      </c>
      <c r="O267">
        <v>2.3E-2</v>
      </c>
      <c r="P267" t="s">
        <v>198</v>
      </c>
      <c r="Q267" t="s">
        <v>199</v>
      </c>
      <c r="R267" s="3"/>
      <c r="W267" t="s">
        <v>200</v>
      </c>
      <c r="X267" s="25"/>
      <c r="Y267" s="26"/>
      <c r="Z267" s="27"/>
      <c r="AA267" t="s">
        <v>25</v>
      </c>
      <c r="AB267" t="s">
        <v>201</v>
      </c>
      <c r="AC267" s="3"/>
      <c r="AH267" t="s">
        <v>202</v>
      </c>
      <c r="AK267" t="s">
        <v>203</v>
      </c>
      <c r="AP267" t="s">
        <v>200</v>
      </c>
      <c r="AR267" s="25"/>
      <c r="AT267" s="25">
        <v>0</v>
      </c>
      <c r="AU267" s="26"/>
      <c r="AV267" s="26"/>
      <c r="AW267" s="26"/>
      <c r="AX267" s="26" t="str">
        <f t="shared" si="12"/>
        <v/>
      </c>
      <c r="AY267" t="str">
        <f t="shared" si="13"/>
        <v/>
      </c>
      <c r="AZ267" t="s">
        <v>200</v>
      </c>
      <c r="BA267" s="3"/>
      <c r="BB267" t="str">
        <f t="shared" si="14"/>
        <v>No scrap rate (No impact);</v>
      </c>
    </row>
    <row r="268" spans="1:54" x14ac:dyDescent="0.3">
      <c r="A268" t="s">
        <v>1504</v>
      </c>
      <c r="B268" t="s">
        <v>1505</v>
      </c>
      <c r="C268" t="s">
        <v>906</v>
      </c>
      <c r="D268" t="s">
        <v>907</v>
      </c>
      <c r="G268" t="s">
        <v>274</v>
      </c>
      <c r="H268" t="s">
        <v>275</v>
      </c>
      <c r="J268" t="s">
        <v>910</v>
      </c>
      <c r="L268">
        <v>0</v>
      </c>
      <c r="M268">
        <v>0.1</v>
      </c>
      <c r="N268" t="s">
        <v>198</v>
      </c>
      <c r="O268">
        <v>0.1</v>
      </c>
      <c r="P268" t="s">
        <v>198</v>
      </c>
      <c r="Q268" t="s">
        <v>199</v>
      </c>
      <c r="R268" s="3"/>
      <c r="W268" t="s">
        <v>200</v>
      </c>
      <c r="X268" s="25"/>
      <c r="Y268" s="26"/>
      <c r="Z268" s="27"/>
      <c r="AA268" t="s">
        <v>25</v>
      </c>
      <c r="AB268" t="s">
        <v>201</v>
      </c>
      <c r="AC268" s="3"/>
      <c r="AH268" t="s">
        <v>202</v>
      </c>
      <c r="AK268" t="s">
        <v>203</v>
      </c>
      <c r="AP268" t="s">
        <v>200</v>
      </c>
      <c r="AR268" s="25"/>
      <c r="AT268" s="25">
        <v>0</v>
      </c>
      <c r="AU268" s="26"/>
      <c r="AV268" s="26"/>
      <c r="AW268" s="26"/>
      <c r="AX268" s="26" t="str">
        <f t="shared" si="12"/>
        <v/>
      </c>
      <c r="AY268" t="str">
        <f t="shared" si="13"/>
        <v/>
      </c>
      <c r="AZ268" t="s">
        <v>200</v>
      </c>
      <c r="BA268" s="3"/>
      <c r="BB268" t="str">
        <f t="shared" si="14"/>
        <v>No scrap rate (No impact);</v>
      </c>
    </row>
    <row r="269" spans="1:54" x14ac:dyDescent="0.3">
      <c r="A269" t="s">
        <v>1506</v>
      </c>
      <c r="B269" t="s">
        <v>1507</v>
      </c>
      <c r="C269" t="s">
        <v>995</v>
      </c>
      <c r="D269" t="s">
        <v>996</v>
      </c>
      <c r="G269" t="s">
        <v>274</v>
      </c>
      <c r="H269" t="s">
        <v>275</v>
      </c>
      <c r="J269" t="s">
        <v>1060</v>
      </c>
      <c r="L269">
        <v>0</v>
      </c>
      <c r="M269">
        <v>6.0000000000000001E-3</v>
      </c>
      <c r="N269" t="s">
        <v>198</v>
      </c>
      <c r="O269">
        <v>6.0000000000000001E-3</v>
      </c>
      <c r="P269" t="s">
        <v>198</v>
      </c>
      <c r="Q269" t="s">
        <v>199</v>
      </c>
      <c r="R269" s="3"/>
      <c r="W269" t="s">
        <v>200</v>
      </c>
      <c r="X269" s="25"/>
      <c r="Y269" s="26"/>
      <c r="Z269" s="27"/>
      <c r="AA269" t="s">
        <v>25</v>
      </c>
      <c r="AB269" t="s">
        <v>201</v>
      </c>
      <c r="AC269" s="3"/>
      <c r="AH269" t="s">
        <v>202</v>
      </c>
      <c r="AK269" t="s">
        <v>203</v>
      </c>
      <c r="AP269" t="s">
        <v>200</v>
      </c>
      <c r="AR269" s="25"/>
      <c r="AT269" s="25">
        <v>0</v>
      </c>
      <c r="AU269" s="26"/>
      <c r="AV269" s="26"/>
      <c r="AW269" s="26"/>
      <c r="AX269" s="26" t="str">
        <f t="shared" si="12"/>
        <v/>
      </c>
      <c r="AY269" t="str">
        <f t="shared" si="13"/>
        <v/>
      </c>
      <c r="AZ269" t="s">
        <v>200</v>
      </c>
      <c r="BA269" s="3"/>
      <c r="BB269" t="str">
        <f t="shared" si="14"/>
        <v>No scrap rate (No impact);</v>
      </c>
    </row>
    <row r="270" spans="1:54" x14ac:dyDescent="0.3">
      <c r="A270" t="s">
        <v>1508</v>
      </c>
      <c r="B270" t="s">
        <v>1509</v>
      </c>
      <c r="C270" t="s">
        <v>946</v>
      </c>
      <c r="D270" t="s">
        <v>947</v>
      </c>
      <c r="G270" t="s">
        <v>274</v>
      </c>
      <c r="H270" t="s">
        <v>275</v>
      </c>
      <c r="J270" t="s">
        <v>926</v>
      </c>
      <c r="L270">
        <v>0</v>
      </c>
      <c r="M270">
        <v>0.13</v>
      </c>
      <c r="N270" t="s">
        <v>198</v>
      </c>
      <c r="O270">
        <v>0.13</v>
      </c>
      <c r="P270" t="s">
        <v>198</v>
      </c>
      <c r="Q270" t="s">
        <v>199</v>
      </c>
      <c r="R270" s="3"/>
      <c r="W270" t="s">
        <v>200</v>
      </c>
      <c r="X270" s="25"/>
      <c r="Y270" s="26"/>
      <c r="Z270" s="27"/>
      <c r="AA270" t="s">
        <v>25</v>
      </c>
      <c r="AB270" t="s">
        <v>201</v>
      </c>
      <c r="AC270" s="3"/>
      <c r="AH270" t="s">
        <v>202</v>
      </c>
      <c r="AK270" t="s">
        <v>203</v>
      </c>
      <c r="AP270" t="s">
        <v>200</v>
      </c>
      <c r="AR270" s="25"/>
      <c r="AT270" s="25">
        <v>0</v>
      </c>
      <c r="AU270" s="26"/>
      <c r="AV270" s="26"/>
      <c r="AW270" s="26"/>
      <c r="AX270" s="26" t="str">
        <f t="shared" si="12"/>
        <v/>
      </c>
      <c r="AY270" t="str">
        <f t="shared" si="13"/>
        <v/>
      </c>
      <c r="AZ270" t="s">
        <v>200</v>
      </c>
      <c r="BA270" s="3"/>
      <c r="BB270" t="str">
        <f t="shared" si="14"/>
        <v>No scrap rate (No impact);</v>
      </c>
    </row>
    <row r="271" spans="1:54" x14ac:dyDescent="0.3">
      <c r="A271" t="s">
        <v>1510</v>
      </c>
      <c r="B271" t="s">
        <v>1511</v>
      </c>
      <c r="C271" t="s">
        <v>966</v>
      </c>
      <c r="D271" t="s">
        <v>967</v>
      </c>
      <c r="G271" t="s">
        <v>777</v>
      </c>
      <c r="H271" t="s">
        <v>313</v>
      </c>
      <c r="J271" t="s">
        <v>1126</v>
      </c>
      <c r="L271">
        <v>0</v>
      </c>
      <c r="M271">
        <v>0.1</v>
      </c>
      <c r="N271" t="s">
        <v>198</v>
      </c>
      <c r="O271">
        <v>0.1</v>
      </c>
      <c r="P271" t="s">
        <v>198</v>
      </c>
      <c r="Q271" t="s">
        <v>199</v>
      </c>
      <c r="R271" s="3"/>
      <c r="W271" t="s">
        <v>200</v>
      </c>
      <c r="X271" s="25"/>
      <c r="Y271" s="26"/>
      <c r="Z271" s="27"/>
      <c r="AA271" t="s">
        <v>25</v>
      </c>
      <c r="AB271" t="s">
        <v>201</v>
      </c>
      <c r="AC271" s="3"/>
      <c r="AH271" t="s">
        <v>202</v>
      </c>
      <c r="AK271" t="s">
        <v>203</v>
      </c>
      <c r="AP271" t="s">
        <v>200</v>
      </c>
      <c r="AR271" s="25"/>
      <c r="AT271" s="25">
        <v>0</v>
      </c>
      <c r="AU271" s="26"/>
      <c r="AV271" s="26"/>
      <c r="AW271" s="26"/>
      <c r="AX271" s="26" t="str">
        <f t="shared" si="12"/>
        <v/>
      </c>
      <c r="AY271" t="str">
        <f t="shared" si="13"/>
        <v/>
      </c>
      <c r="AZ271" t="s">
        <v>200</v>
      </c>
      <c r="BA271" s="3"/>
      <c r="BB271" t="str">
        <f t="shared" si="14"/>
        <v>No scrap rate (No impact);</v>
      </c>
    </row>
    <row r="272" spans="1:54" x14ac:dyDescent="0.3">
      <c r="A272" t="s">
        <v>1512</v>
      </c>
      <c r="B272" t="s">
        <v>1513</v>
      </c>
      <c r="C272" t="s">
        <v>995</v>
      </c>
      <c r="D272" t="s">
        <v>996</v>
      </c>
      <c r="G272" t="s">
        <v>1151</v>
      </c>
      <c r="H272" t="s">
        <v>1152</v>
      </c>
      <c r="J272" t="s">
        <v>1046</v>
      </c>
      <c r="L272">
        <v>1</v>
      </c>
      <c r="M272">
        <v>1.2999999999999999E-2</v>
      </c>
      <c r="N272" t="s">
        <v>198</v>
      </c>
      <c r="O272">
        <v>1.2999999999999999E-2</v>
      </c>
      <c r="P272" t="s">
        <v>198</v>
      </c>
      <c r="Q272" t="s">
        <v>199</v>
      </c>
      <c r="R272" s="3"/>
      <c r="W272" t="s">
        <v>200</v>
      </c>
      <c r="X272" s="25"/>
      <c r="Y272" s="26"/>
      <c r="Z272" s="27"/>
      <c r="AA272" t="s">
        <v>25</v>
      </c>
      <c r="AB272" t="s">
        <v>201</v>
      </c>
      <c r="AC272" s="3"/>
      <c r="AH272" t="s">
        <v>202</v>
      </c>
      <c r="AK272" t="s">
        <v>203</v>
      </c>
      <c r="AP272" t="s">
        <v>200</v>
      </c>
      <c r="AR272" s="25"/>
      <c r="AT272" s="25">
        <v>0</v>
      </c>
      <c r="AU272" s="26"/>
      <c r="AV272" s="26"/>
      <c r="AW272" s="26"/>
      <c r="AX272" s="26" t="str">
        <f t="shared" si="12"/>
        <v/>
      </c>
      <c r="AY272" t="str">
        <f t="shared" si="13"/>
        <v/>
      </c>
      <c r="AZ272" t="s">
        <v>200</v>
      </c>
      <c r="BA272" s="3"/>
      <c r="BB272" t="str">
        <f t="shared" si="14"/>
        <v>No scrap rate (No impact);</v>
      </c>
    </row>
    <row r="273" spans="1:54" x14ac:dyDescent="0.3">
      <c r="A273" t="s">
        <v>1514</v>
      </c>
      <c r="B273" t="s">
        <v>1515</v>
      </c>
      <c r="C273" t="s">
        <v>995</v>
      </c>
      <c r="D273" t="s">
        <v>996</v>
      </c>
      <c r="G273" t="s">
        <v>1151</v>
      </c>
      <c r="H273" t="s">
        <v>1152</v>
      </c>
      <c r="J273" t="s">
        <v>1046</v>
      </c>
      <c r="L273">
        <v>1</v>
      </c>
      <c r="M273">
        <v>1.2999999999999999E-2</v>
      </c>
      <c r="N273" t="s">
        <v>198</v>
      </c>
      <c r="O273">
        <v>1.2999999999999999E-2</v>
      </c>
      <c r="P273" t="s">
        <v>198</v>
      </c>
      <c r="Q273" t="s">
        <v>199</v>
      </c>
      <c r="R273" s="3"/>
      <c r="W273" t="s">
        <v>200</v>
      </c>
      <c r="X273" s="25"/>
      <c r="Y273" s="26"/>
      <c r="Z273" s="27"/>
      <c r="AA273" t="s">
        <v>25</v>
      </c>
      <c r="AB273" t="s">
        <v>201</v>
      </c>
      <c r="AC273" s="3"/>
      <c r="AH273" t="s">
        <v>202</v>
      </c>
      <c r="AK273" t="s">
        <v>203</v>
      </c>
      <c r="AP273" t="s">
        <v>200</v>
      </c>
      <c r="AR273" s="25"/>
      <c r="AT273" s="25">
        <v>0</v>
      </c>
      <c r="AU273" s="26"/>
      <c r="AV273" s="26"/>
      <c r="AW273" s="26"/>
      <c r="AX273" s="26" t="str">
        <f t="shared" si="12"/>
        <v/>
      </c>
      <c r="AY273" t="str">
        <f t="shared" si="13"/>
        <v/>
      </c>
      <c r="AZ273" t="s">
        <v>200</v>
      </c>
      <c r="BA273" s="3"/>
      <c r="BB273" t="str">
        <f t="shared" si="14"/>
        <v>No scrap rate (No impact);</v>
      </c>
    </row>
    <row r="274" spans="1:54" x14ac:dyDescent="0.3">
      <c r="A274" t="s">
        <v>1516</v>
      </c>
      <c r="B274" t="s">
        <v>1517</v>
      </c>
      <c r="C274" t="s">
        <v>995</v>
      </c>
      <c r="D274" t="s">
        <v>996</v>
      </c>
      <c r="G274" t="s">
        <v>1044</v>
      </c>
      <c r="H274" t="s">
        <v>1045</v>
      </c>
      <c r="J274" t="s">
        <v>1046</v>
      </c>
      <c r="L274">
        <v>0</v>
      </c>
      <c r="M274">
        <v>1.4999999999999999E-2</v>
      </c>
      <c r="N274" t="s">
        <v>198</v>
      </c>
      <c r="O274">
        <v>1.4999999999999999E-2</v>
      </c>
      <c r="P274" t="s">
        <v>198</v>
      </c>
      <c r="Q274" t="s">
        <v>199</v>
      </c>
      <c r="R274" s="3"/>
      <c r="W274" t="s">
        <v>200</v>
      </c>
      <c r="X274" s="25"/>
      <c r="Y274" s="26"/>
      <c r="Z274" s="27"/>
      <c r="AA274" t="s">
        <v>25</v>
      </c>
      <c r="AB274" t="s">
        <v>201</v>
      </c>
      <c r="AC274" s="3"/>
      <c r="AH274" t="s">
        <v>202</v>
      </c>
      <c r="AK274" t="s">
        <v>203</v>
      </c>
      <c r="AP274" t="s">
        <v>200</v>
      </c>
      <c r="AR274" s="25"/>
      <c r="AT274" s="25">
        <v>0</v>
      </c>
      <c r="AU274" s="26"/>
      <c r="AV274" s="26"/>
      <c r="AW274" s="26"/>
      <c r="AX274" s="26" t="str">
        <f t="shared" si="12"/>
        <v/>
      </c>
      <c r="AY274" t="str">
        <f t="shared" si="13"/>
        <v/>
      </c>
      <c r="AZ274" t="s">
        <v>200</v>
      </c>
      <c r="BA274" s="3"/>
      <c r="BB274" t="str">
        <f t="shared" si="14"/>
        <v>No scrap rate (No impact);</v>
      </c>
    </row>
    <row r="275" spans="1:54" x14ac:dyDescent="0.3">
      <c r="A275" t="s">
        <v>1518</v>
      </c>
      <c r="B275" t="s">
        <v>1519</v>
      </c>
      <c r="C275" t="s">
        <v>946</v>
      </c>
      <c r="D275" t="s">
        <v>947</v>
      </c>
      <c r="G275" t="s">
        <v>1070</v>
      </c>
      <c r="H275" t="s">
        <v>1071</v>
      </c>
      <c r="J275" t="s">
        <v>1089</v>
      </c>
      <c r="L275">
        <v>1</v>
      </c>
      <c r="M275">
        <v>0.46100000000000002</v>
      </c>
      <c r="N275" t="s">
        <v>198</v>
      </c>
      <c r="O275">
        <v>0.46100000000000002</v>
      </c>
      <c r="P275" t="s">
        <v>198</v>
      </c>
      <c r="Q275" t="s">
        <v>199</v>
      </c>
      <c r="R275" s="3"/>
      <c r="W275" t="s">
        <v>200</v>
      </c>
      <c r="X275" s="25"/>
      <c r="Y275" s="26"/>
      <c r="Z275" s="27"/>
      <c r="AA275" t="s">
        <v>25</v>
      </c>
      <c r="AB275" t="s">
        <v>201</v>
      </c>
      <c r="AC275" s="3"/>
      <c r="AH275" t="s">
        <v>202</v>
      </c>
      <c r="AK275" t="s">
        <v>203</v>
      </c>
      <c r="AP275" t="s">
        <v>200</v>
      </c>
      <c r="AR275" s="25"/>
      <c r="AT275" s="25">
        <v>0</v>
      </c>
      <c r="AU275" s="26"/>
      <c r="AV275" s="26"/>
      <c r="AW275" s="26"/>
      <c r="AX275" s="26" t="str">
        <f t="shared" si="12"/>
        <v/>
      </c>
      <c r="AY275" t="str">
        <f t="shared" si="13"/>
        <v/>
      </c>
      <c r="AZ275" t="s">
        <v>200</v>
      </c>
      <c r="BA275" s="3"/>
      <c r="BB275" t="str">
        <f t="shared" si="14"/>
        <v>No scrap rate (No impact);</v>
      </c>
    </row>
    <row r="276" spans="1:54" x14ac:dyDescent="0.3">
      <c r="A276" t="s">
        <v>1520</v>
      </c>
      <c r="B276" t="s">
        <v>1521</v>
      </c>
      <c r="C276" t="s">
        <v>946</v>
      </c>
      <c r="D276" t="s">
        <v>947</v>
      </c>
      <c r="G276" t="s">
        <v>1522</v>
      </c>
      <c r="H276" t="s">
        <v>347</v>
      </c>
      <c r="J276" t="s">
        <v>1089</v>
      </c>
      <c r="L276">
        <v>0</v>
      </c>
      <c r="M276">
        <v>6.6000000000000003E-2</v>
      </c>
      <c r="N276" t="s">
        <v>198</v>
      </c>
      <c r="O276">
        <v>6.6000000000000003E-2</v>
      </c>
      <c r="P276" t="s">
        <v>198</v>
      </c>
      <c r="Q276" t="s">
        <v>199</v>
      </c>
      <c r="R276" s="3"/>
      <c r="W276" t="s">
        <v>200</v>
      </c>
      <c r="X276" s="25"/>
      <c r="Y276" s="26"/>
      <c r="Z276" s="27"/>
      <c r="AA276" t="s">
        <v>25</v>
      </c>
      <c r="AB276" t="s">
        <v>201</v>
      </c>
      <c r="AC276" s="3"/>
      <c r="AH276" t="s">
        <v>202</v>
      </c>
      <c r="AK276" t="s">
        <v>203</v>
      </c>
      <c r="AP276" t="s">
        <v>200</v>
      </c>
      <c r="AR276" s="25"/>
      <c r="AT276" s="25">
        <v>0</v>
      </c>
      <c r="AU276" s="26"/>
      <c r="AV276" s="26"/>
      <c r="AW276" s="26"/>
      <c r="AX276" s="26" t="str">
        <f t="shared" si="12"/>
        <v/>
      </c>
      <c r="AY276" t="str">
        <f t="shared" si="13"/>
        <v/>
      </c>
      <c r="AZ276" t="s">
        <v>200</v>
      </c>
      <c r="BA276" s="3"/>
      <c r="BB276" t="str">
        <f t="shared" si="14"/>
        <v>No scrap rate (No impact);</v>
      </c>
    </row>
    <row r="277" spans="1:54" x14ac:dyDescent="0.3">
      <c r="A277" t="s">
        <v>1523</v>
      </c>
      <c r="B277" t="s">
        <v>1524</v>
      </c>
      <c r="C277" t="s">
        <v>946</v>
      </c>
      <c r="D277" t="s">
        <v>947</v>
      </c>
      <c r="G277" t="s">
        <v>1070</v>
      </c>
      <c r="H277" t="s">
        <v>1071</v>
      </c>
      <c r="J277" t="s">
        <v>1089</v>
      </c>
      <c r="L277">
        <v>1</v>
      </c>
      <c r="M277">
        <v>0.51300000000000001</v>
      </c>
      <c r="N277" t="s">
        <v>198</v>
      </c>
      <c r="O277">
        <v>0.51300000000000001</v>
      </c>
      <c r="P277" t="s">
        <v>198</v>
      </c>
      <c r="Q277" t="s">
        <v>199</v>
      </c>
      <c r="R277" s="3"/>
      <c r="W277" t="s">
        <v>200</v>
      </c>
      <c r="X277" s="25"/>
      <c r="Y277" s="26"/>
      <c r="Z277" s="27"/>
      <c r="AA277" t="s">
        <v>25</v>
      </c>
      <c r="AB277" t="s">
        <v>201</v>
      </c>
      <c r="AC277" s="3"/>
      <c r="AH277" t="s">
        <v>202</v>
      </c>
      <c r="AK277" t="s">
        <v>203</v>
      </c>
      <c r="AP277" t="s">
        <v>200</v>
      </c>
      <c r="AR277" s="25"/>
      <c r="AT277" s="25">
        <v>0</v>
      </c>
      <c r="AU277" s="26"/>
      <c r="AV277" s="26"/>
      <c r="AW277" s="26"/>
      <c r="AX277" s="26" t="str">
        <f t="shared" si="12"/>
        <v/>
      </c>
      <c r="AY277" t="str">
        <f t="shared" si="13"/>
        <v/>
      </c>
      <c r="AZ277" t="s">
        <v>200</v>
      </c>
      <c r="BA277" s="3"/>
      <c r="BB277" t="str">
        <f t="shared" si="14"/>
        <v>No scrap rate (No impact);</v>
      </c>
    </row>
    <row r="278" spans="1:54" x14ac:dyDescent="0.3">
      <c r="A278" t="s">
        <v>1525</v>
      </c>
      <c r="B278" t="s">
        <v>1526</v>
      </c>
      <c r="C278" t="s">
        <v>906</v>
      </c>
      <c r="D278" t="s">
        <v>907</v>
      </c>
      <c r="G278" t="s">
        <v>288</v>
      </c>
      <c r="H278" t="s">
        <v>289</v>
      </c>
      <c r="J278" t="s">
        <v>1527</v>
      </c>
      <c r="L278">
        <v>0</v>
      </c>
      <c r="M278">
        <v>7.0000000000000001E-3</v>
      </c>
      <c r="N278" t="s">
        <v>198</v>
      </c>
      <c r="O278">
        <v>7.0000000000000001E-3</v>
      </c>
      <c r="P278" t="s">
        <v>198</v>
      </c>
      <c r="Q278" t="s">
        <v>199</v>
      </c>
      <c r="R278" s="3"/>
      <c r="W278" t="s">
        <v>200</v>
      </c>
      <c r="X278" s="25"/>
      <c r="Y278" s="26"/>
      <c r="Z278" s="27"/>
      <c r="AA278" t="s">
        <v>25</v>
      </c>
      <c r="AB278" t="s">
        <v>201</v>
      </c>
      <c r="AC278" s="3"/>
      <c r="AH278" t="s">
        <v>202</v>
      </c>
      <c r="AK278" t="s">
        <v>203</v>
      </c>
      <c r="AP278" t="s">
        <v>200</v>
      </c>
      <c r="AR278" s="25"/>
      <c r="AT278" s="25">
        <v>0</v>
      </c>
      <c r="AU278" s="26"/>
      <c r="AV278" s="26"/>
      <c r="AW278" s="26"/>
      <c r="AX278" s="26" t="str">
        <f t="shared" si="12"/>
        <v/>
      </c>
      <c r="AY278" t="str">
        <f t="shared" si="13"/>
        <v/>
      </c>
      <c r="AZ278" t="s">
        <v>200</v>
      </c>
      <c r="BA278" s="3"/>
      <c r="BB278" t="str">
        <f t="shared" si="14"/>
        <v>No scrap rate (No impact);</v>
      </c>
    </row>
    <row r="279" spans="1:54" x14ac:dyDescent="0.3">
      <c r="A279" t="s">
        <v>1528</v>
      </c>
      <c r="B279" t="s">
        <v>1529</v>
      </c>
      <c r="C279" t="s">
        <v>995</v>
      </c>
      <c r="D279" t="s">
        <v>996</v>
      </c>
      <c r="G279" t="s">
        <v>288</v>
      </c>
      <c r="H279" t="s">
        <v>289</v>
      </c>
      <c r="J279" t="s">
        <v>1527</v>
      </c>
      <c r="L279">
        <v>0</v>
      </c>
      <c r="M279">
        <v>3.0000000000000001E-3</v>
      </c>
      <c r="N279" t="s">
        <v>198</v>
      </c>
      <c r="O279">
        <v>3.0000000000000001E-3</v>
      </c>
      <c r="P279" t="s">
        <v>198</v>
      </c>
      <c r="Q279" t="s">
        <v>199</v>
      </c>
      <c r="R279" s="3"/>
      <c r="W279" t="s">
        <v>200</v>
      </c>
      <c r="X279" s="25"/>
      <c r="Y279" s="26"/>
      <c r="Z279" s="27"/>
      <c r="AA279" t="s">
        <v>25</v>
      </c>
      <c r="AB279" t="s">
        <v>201</v>
      </c>
      <c r="AC279" s="3"/>
      <c r="AH279" t="s">
        <v>202</v>
      </c>
      <c r="AK279" t="s">
        <v>203</v>
      </c>
      <c r="AP279" t="s">
        <v>200</v>
      </c>
      <c r="AR279" s="25"/>
      <c r="AT279" s="25">
        <v>0</v>
      </c>
      <c r="AU279" s="26"/>
      <c r="AV279" s="26"/>
      <c r="AW279" s="26"/>
      <c r="AX279" s="26" t="str">
        <f t="shared" si="12"/>
        <v/>
      </c>
      <c r="AY279" t="str">
        <f t="shared" si="13"/>
        <v/>
      </c>
      <c r="AZ279" t="s">
        <v>200</v>
      </c>
      <c r="BA279" s="3"/>
      <c r="BB279" t="str">
        <f t="shared" si="14"/>
        <v>No scrap rate (No impact);</v>
      </c>
    </row>
    <row r="280" spans="1:54" x14ac:dyDescent="0.3">
      <c r="A280" t="s">
        <v>1530</v>
      </c>
      <c r="B280" t="s">
        <v>1531</v>
      </c>
      <c r="C280" t="s">
        <v>918</v>
      </c>
      <c r="D280" t="s">
        <v>919</v>
      </c>
      <c r="G280" t="s">
        <v>288</v>
      </c>
      <c r="H280" t="s">
        <v>289</v>
      </c>
      <c r="J280" t="s">
        <v>1126</v>
      </c>
      <c r="L280">
        <v>0</v>
      </c>
      <c r="M280">
        <v>4.0000000000000001E-3</v>
      </c>
      <c r="N280" t="s">
        <v>198</v>
      </c>
      <c r="O280">
        <v>4.0000000000000001E-3</v>
      </c>
      <c r="P280" t="s">
        <v>198</v>
      </c>
      <c r="Q280" t="s">
        <v>199</v>
      </c>
      <c r="R280" s="3"/>
      <c r="W280" t="s">
        <v>200</v>
      </c>
      <c r="X280" s="25"/>
      <c r="Y280" s="26"/>
      <c r="Z280" s="27"/>
      <c r="AA280" t="s">
        <v>25</v>
      </c>
      <c r="AB280" t="s">
        <v>201</v>
      </c>
      <c r="AC280" s="3"/>
      <c r="AH280" t="s">
        <v>202</v>
      </c>
      <c r="AK280" t="s">
        <v>203</v>
      </c>
      <c r="AP280" t="s">
        <v>200</v>
      </c>
      <c r="AR280" s="25"/>
      <c r="AT280" s="25">
        <v>0</v>
      </c>
      <c r="AU280" s="26"/>
      <c r="AV280" s="26"/>
      <c r="AW280" s="26"/>
      <c r="AX280" s="26" t="str">
        <f t="shared" si="12"/>
        <v/>
      </c>
      <c r="AY280" t="str">
        <f t="shared" si="13"/>
        <v/>
      </c>
      <c r="AZ280" t="s">
        <v>200</v>
      </c>
      <c r="BA280" s="3"/>
      <c r="BB280" t="str">
        <f t="shared" si="14"/>
        <v>No scrap rate (No impact);</v>
      </c>
    </row>
    <row r="281" spans="1:54" x14ac:dyDescent="0.3">
      <c r="A281" t="s">
        <v>1532</v>
      </c>
      <c r="B281" t="s">
        <v>1533</v>
      </c>
      <c r="C281" t="s">
        <v>918</v>
      </c>
      <c r="D281" t="s">
        <v>919</v>
      </c>
      <c r="G281" t="s">
        <v>288</v>
      </c>
      <c r="H281" t="s">
        <v>289</v>
      </c>
      <c r="J281" t="s">
        <v>1089</v>
      </c>
      <c r="L281">
        <v>0</v>
      </c>
      <c r="M281">
        <v>0</v>
      </c>
      <c r="N281" t="s">
        <v>198</v>
      </c>
      <c r="O281">
        <v>0</v>
      </c>
      <c r="P281" t="s">
        <v>198</v>
      </c>
      <c r="Q281" t="s">
        <v>199</v>
      </c>
      <c r="R281" s="3"/>
      <c r="W281" t="s">
        <v>200</v>
      </c>
      <c r="X281" s="25"/>
      <c r="Y281" s="26"/>
      <c r="Z281" s="27"/>
      <c r="AA281" t="s">
        <v>25</v>
      </c>
      <c r="AB281" t="s">
        <v>201</v>
      </c>
      <c r="AC281" s="3"/>
      <c r="AH281" t="s">
        <v>202</v>
      </c>
      <c r="AK281" t="s">
        <v>203</v>
      </c>
      <c r="AP281" t="s">
        <v>200</v>
      </c>
      <c r="AR281" s="25"/>
      <c r="AT281" s="25">
        <v>0</v>
      </c>
      <c r="AU281" s="26"/>
      <c r="AV281" s="26"/>
      <c r="AW281" s="26"/>
      <c r="AX281" s="26" t="str">
        <f t="shared" si="12"/>
        <v/>
      </c>
      <c r="AY281" t="str">
        <f t="shared" si="13"/>
        <v/>
      </c>
      <c r="AZ281" t="s">
        <v>200</v>
      </c>
      <c r="BA281" s="3"/>
      <c r="BB281" t="str">
        <f t="shared" si="14"/>
        <v>No scrap rate (No impact);</v>
      </c>
    </row>
    <row r="282" spans="1:54" x14ac:dyDescent="0.3">
      <c r="A282" t="s">
        <v>1534</v>
      </c>
      <c r="B282" t="s">
        <v>1535</v>
      </c>
      <c r="C282" t="s">
        <v>946</v>
      </c>
      <c r="D282" t="s">
        <v>947</v>
      </c>
      <c r="G282" t="s">
        <v>1070</v>
      </c>
      <c r="H282" t="s">
        <v>1071</v>
      </c>
      <c r="J282" t="s">
        <v>926</v>
      </c>
      <c r="L282">
        <v>0</v>
      </c>
      <c r="M282">
        <v>0.17699999999999999</v>
      </c>
      <c r="N282" t="s">
        <v>198</v>
      </c>
      <c r="O282">
        <v>0.17699999999999999</v>
      </c>
      <c r="P282" t="s">
        <v>198</v>
      </c>
      <c r="Q282" t="s">
        <v>199</v>
      </c>
      <c r="R282" s="3"/>
      <c r="W282" t="s">
        <v>200</v>
      </c>
      <c r="X282" s="25"/>
      <c r="Y282" s="26"/>
      <c r="Z282" s="27"/>
      <c r="AA282" t="s">
        <v>25</v>
      </c>
      <c r="AB282" t="s">
        <v>201</v>
      </c>
      <c r="AC282" s="3"/>
      <c r="AH282" t="s">
        <v>202</v>
      </c>
      <c r="AK282" t="s">
        <v>203</v>
      </c>
      <c r="AP282" t="s">
        <v>200</v>
      </c>
      <c r="AR282" s="25"/>
      <c r="AT282" s="25">
        <v>0</v>
      </c>
      <c r="AU282" s="26"/>
      <c r="AV282" s="26"/>
      <c r="AW282" s="26"/>
      <c r="AX282" s="26" t="str">
        <f t="shared" si="12"/>
        <v/>
      </c>
      <c r="AY282" t="str">
        <f t="shared" si="13"/>
        <v/>
      </c>
      <c r="AZ282" t="s">
        <v>200</v>
      </c>
      <c r="BA282" s="3"/>
      <c r="BB282" t="str">
        <f t="shared" si="14"/>
        <v>No scrap rate (No impact);</v>
      </c>
    </row>
    <row r="283" spans="1:54" x14ac:dyDescent="0.3">
      <c r="A283" t="s">
        <v>1536</v>
      </c>
      <c r="B283" t="s">
        <v>1537</v>
      </c>
      <c r="C283" t="s">
        <v>966</v>
      </c>
      <c r="D283" t="s">
        <v>967</v>
      </c>
      <c r="G283" t="s">
        <v>412</v>
      </c>
      <c r="H283" t="s">
        <v>413</v>
      </c>
      <c r="J283" t="s">
        <v>1126</v>
      </c>
      <c r="L283">
        <v>0</v>
      </c>
      <c r="M283">
        <v>3.0000000000000001E-3</v>
      </c>
      <c r="N283" t="s">
        <v>198</v>
      </c>
      <c r="O283">
        <v>3.0000000000000001E-3</v>
      </c>
      <c r="P283" t="s">
        <v>198</v>
      </c>
      <c r="Q283" t="s">
        <v>199</v>
      </c>
      <c r="R283" s="3"/>
      <c r="W283" t="s">
        <v>200</v>
      </c>
      <c r="X283" s="25"/>
      <c r="Y283" s="26"/>
      <c r="Z283" s="27"/>
      <c r="AA283" t="s">
        <v>25</v>
      </c>
      <c r="AB283" t="s">
        <v>201</v>
      </c>
      <c r="AC283" s="3"/>
      <c r="AH283" t="s">
        <v>202</v>
      </c>
      <c r="AK283" t="s">
        <v>203</v>
      </c>
      <c r="AP283" t="s">
        <v>200</v>
      </c>
      <c r="AR283" s="25"/>
      <c r="AT283" s="25">
        <v>0</v>
      </c>
      <c r="AU283" s="26"/>
      <c r="AV283" s="26"/>
      <c r="AW283" s="26"/>
      <c r="AX283" s="26" t="str">
        <f t="shared" si="12"/>
        <v/>
      </c>
      <c r="AY283" t="str">
        <f t="shared" si="13"/>
        <v/>
      </c>
      <c r="AZ283" t="s">
        <v>200</v>
      </c>
      <c r="BA283" s="3"/>
      <c r="BB283" t="str">
        <f t="shared" si="14"/>
        <v>No scrap rate (No impact);</v>
      </c>
    </row>
    <row r="284" spans="1:54" x14ac:dyDescent="0.3">
      <c r="A284" t="s">
        <v>1538</v>
      </c>
      <c r="B284" t="s">
        <v>1539</v>
      </c>
      <c r="C284" t="s">
        <v>946</v>
      </c>
      <c r="D284" t="s">
        <v>947</v>
      </c>
      <c r="G284" t="s">
        <v>412</v>
      </c>
      <c r="H284" t="s">
        <v>413</v>
      </c>
      <c r="J284" t="s">
        <v>926</v>
      </c>
      <c r="L284">
        <v>0</v>
      </c>
      <c r="M284">
        <v>0.13</v>
      </c>
      <c r="N284" t="s">
        <v>198</v>
      </c>
      <c r="O284">
        <v>0.13</v>
      </c>
      <c r="P284" t="s">
        <v>198</v>
      </c>
      <c r="Q284" t="s">
        <v>199</v>
      </c>
      <c r="R284" s="3"/>
      <c r="W284" t="s">
        <v>200</v>
      </c>
      <c r="X284" s="25"/>
      <c r="Y284" s="26"/>
      <c r="Z284" s="27"/>
      <c r="AA284" t="s">
        <v>25</v>
      </c>
      <c r="AB284" t="s">
        <v>201</v>
      </c>
      <c r="AC284" s="3"/>
      <c r="AH284" t="s">
        <v>202</v>
      </c>
      <c r="AK284" t="s">
        <v>203</v>
      </c>
      <c r="AP284" t="s">
        <v>200</v>
      </c>
      <c r="AR284" s="25"/>
      <c r="AT284" s="25">
        <v>0</v>
      </c>
      <c r="AU284" s="26"/>
      <c r="AV284" s="26"/>
      <c r="AW284" s="26"/>
      <c r="AX284" s="26" t="str">
        <f t="shared" si="12"/>
        <v/>
      </c>
      <c r="AY284" t="str">
        <f t="shared" si="13"/>
        <v/>
      </c>
      <c r="AZ284" t="s">
        <v>200</v>
      </c>
      <c r="BA284" s="3"/>
      <c r="BB284" t="str">
        <f t="shared" si="14"/>
        <v>No scrap rate (No impact);</v>
      </c>
    </row>
    <row r="285" spans="1:54" x14ac:dyDescent="0.3">
      <c r="A285" t="s">
        <v>1540</v>
      </c>
      <c r="B285" t="s">
        <v>1541</v>
      </c>
      <c r="C285" t="s">
        <v>906</v>
      </c>
      <c r="D285" t="s">
        <v>907</v>
      </c>
      <c r="G285" t="s">
        <v>1332</v>
      </c>
      <c r="H285" t="s">
        <v>1333</v>
      </c>
      <c r="J285" t="s">
        <v>910</v>
      </c>
      <c r="K285" t="s">
        <v>1334</v>
      </c>
      <c r="L285">
        <v>1</v>
      </c>
      <c r="M285">
        <v>0.8</v>
      </c>
      <c r="N285" t="s">
        <v>198</v>
      </c>
      <c r="O285">
        <v>0.8</v>
      </c>
      <c r="P285" t="s">
        <v>198</v>
      </c>
      <c r="Q285" t="s">
        <v>199</v>
      </c>
      <c r="R285" s="3"/>
      <c r="W285" t="s">
        <v>200</v>
      </c>
      <c r="X285" s="25"/>
      <c r="Y285" s="26"/>
      <c r="Z285" s="27"/>
      <c r="AA285" t="s">
        <v>25</v>
      </c>
      <c r="AB285" t="s">
        <v>201</v>
      </c>
      <c r="AC285" s="3"/>
      <c r="AH285" t="s">
        <v>202</v>
      </c>
      <c r="AK285" t="s">
        <v>203</v>
      </c>
      <c r="AP285" t="s">
        <v>200</v>
      </c>
      <c r="AR285" s="25"/>
      <c r="AT285" s="25">
        <v>0</v>
      </c>
      <c r="AU285" s="26"/>
      <c r="AV285" s="26"/>
      <c r="AW285" s="26"/>
      <c r="AX285" s="26" t="str">
        <f t="shared" si="12"/>
        <v/>
      </c>
      <c r="AY285" t="str">
        <f t="shared" si="13"/>
        <v/>
      </c>
      <c r="AZ285" t="s">
        <v>200</v>
      </c>
      <c r="BA285" s="3"/>
      <c r="BB285" t="str">
        <f t="shared" si="14"/>
        <v>No scrap rate (No impact);</v>
      </c>
    </row>
    <row r="286" spans="1:54" x14ac:dyDescent="0.3">
      <c r="A286" t="s">
        <v>1542</v>
      </c>
      <c r="B286" t="s">
        <v>1543</v>
      </c>
      <c r="C286" t="s">
        <v>946</v>
      </c>
      <c r="D286" t="s">
        <v>947</v>
      </c>
      <c r="G286" t="s">
        <v>529</v>
      </c>
      <c r="H286" t="s">
        <v>530</v>
      </c>
      <c r="J286" t="s">
        <v>926</v>
      </c>
      <c r="L286">
        <v>0</v>
      </c>
      <c r="M286">
        <v>0.54</v>
      </c>
      <c r="N286" t="s">
        <v>198</v>
      </c>
      <c r="O286">
        <v>0.54</v>
      </c>
      <c r="P286" t="s">
        <v>198</v>
      </c>
      <c r="Q286" t="s">
        <v>199</v>
      </c>
      <c r="R286" s="3"/>
      <c r="W286" t="s">
        <v>200</v>
      </c>
      <c r="X286" s="25"/>
      <c r="Y286" s="26"/>
      <c r="Z286" s="27"/>
      <c r="AA286" t="s">
        <v>25</v>
      </c>
      <c r="AB286" t="s">
        <v>201</v>
      </c>
      <c r="AC286" s="3"/>
      <c r="AH286" t="s">
        <v>202</v>
      </c>
      <c r="AK286" t="s">
        <v>203</v>
      </c>
      <c r="AP286" t="s">
        <v>200</v>
      </c>
      <c r="AR286" s="25"/>
      <c r="AT286" s="25">
        <v>0</v>
      </c>
      <c r="AU286" s="26"/>
      <c r="AV286" s="26"/>
      <c r="AW286" s="26"/>
      <c r="AX286" s="26" t="str">
        <f t="shared" si="12"/>
        <v/>
      </c>
      <c r="AY286" t="str">
        <f t="shared" si="13"/>
        <v/>
      </c>
      <c r="AZ286" t="s">
        <v>200</v>
      </c>
      <c r="BA286" s="3"/>
      <c r="BB286" t="str">
        <f t="shared" si="14"/>
        <v>No scrap rate (No impact);</v>
      </c>
    </row>
    <row r="287" spans="1:54" x14ac:dyDescent="0.3">
      <c r="A287" t="s">
        <v>1544</v>
      </c>
      <c r="B287" t="s">
        <v>1545</v>
      </c>
      <c r="C287" t="s">
        <v>1222</v>
      </c>
      <c r="G287" t="s">
        <v>463</v>
      </c>
      <c r="H287" t="s">
        <v>464</v>
      </c>
      <c r="J287" t="s">
        <v>1546</v>
      </c>
      <c r="L287">
        <v>0</v>
      </c>
      <c r="M287">
        <v>1E-3</v>
      </c>
      <c r="N287" t="s">
        <v>198</v>
      </c>
      <c r="O287">
        <v>1E-3</v>
      </c>
      <c r="P287" t="s">
        <v>198</v>
      </c>
      <c r="Q287" t="s">
        <v>199</v>
      </c>
      <c r="R287" s="3"/>
      <c r="W287" t="s">
        <v>200</v>
      </c>
      <c r="X287" s="25"/>
      <c r="Y287" s="26"/>
      <c r="Z287" s="27"/>
      <c r="AA287" t="s">
        <v>25</v>
      </c>
      <c r="AB287" t="s">
        <v>201</v>
      </c>
      <c r="AC287" s="3"/>
      <c r="AH287" t="s">
        <v>202</v>
      </c>
      <c r="AK287" t="s">
        <v>203</v>
      </c>
      <c r="AP287" t="s">
        <v>200</v>
      </c>
      <c r="AR287" s="25"/>
      <c r="AT287" s="25">
        <v>0</v>
      </c>
      <c r="AU287" s="26"/>
      <c r="AV287" s="26"/>
      <c r="AW287" s="26"/>
      <c r="AX287" s="26" t="str">
        <f t="shared" si="12"/>
        <v/>
      </c>
      <c r="AY287" t="str">
        <f t="shared" si="13"/>
        <v/>
      </c>
      <c r="AZ287" t="s">
        <v>200</v>
      </c>
      <c r="BA287" s="3"/>
      <c r="BB287" t="str">
        <f t="shared" si="14"/>
        <v>No scrap rate (No impact);</v>
      </c>
    </row>
    <row r="288" spans="1:54" x14ac:dyDescent="0.3">
      <c r="A288" t="s">
        <v>1547</v>
      </c>
      <c r="B288" t="s">
        <v>1548</v>
      </c>
      <c r="C288" t="s">
        <v>995</v>
      </c>
      <c r="D288" t="s">
        <v>996</v>
      </c>
      <c r="G288" t="s">
        <v>463</v>
      </c>
      <c r="H288" t="s">
        <v>464</v>
      </c>
      <c r="J288" t="s">
        <v>1046</v>
      </c>
      <c r="L288">
        <v>0</v>
      </c>
      <c r="M288">
        <v>1.0999999999999999E-2</v>
      </c>
      <c r="N288" t="s">
        <v>198</v>
      </c>
      <c r="O288">
        <v>1.0999999999999999E-2</v>
      </c>
      <c r="P288" t="s">
        <v>198</v>
      </c>
      <c r="Q288" t="s">
        <v>199</v>
      </c>
      <c r="R288" s="3"/>
      <c r="W288" t="s">
        <v>200</v>
      </c>
      <c r="X288" s="25"/>
      <c r="Y288" s="26"/>
      <c r="Z288" s="27"/>
      <c r="AA288" t="s">
        <v>25</v>
      </c>
      <c r="AB288" t="s">
        <v>201</v>
      </c>
      <c r="AC288" s="3"/>
      <c r="AH288" t="s">
        <v>202</v>
      </c>
      <c r="AK288" t="s">
        <v>203</v>
      </c>
      <c r="AP288" t="s">
        <v>200</v>
      </c>
      <c r="AR288" s="25"/>
      <c r="AT288" s="25">
        <v>0</v>
      </c>
      <c r="AU288" s="26"/>
      <c r="AV288" s="26"/>
      <c r="AW288" s="26"/>
      <c r="AX288" s="26" t="str">
        <f t="shared" si="12"/>
        <v/>
      </c>
      <c r="AY288" t="str">
        <f t="shared" si="13"/>
        <v/>
      </c>
      <c r="AZ288" t="s">
        <v>200</v>
      </c>
      <c r="BA288" s="3"/>
      <c r="BB288" t="str">
        <f t="shared" si="14"/>
        <v>No scrap rate (No impact);</v>
      </c>
    </row>
    <row r="289" spans="1:54" x14ac:dyDescent="0.3">
      <c r="A289" t="s">
        <v>1549</v>
      </c>
      <c r="B289" t="s">
        <v>1550</v>
      </c>
      <c r="C289" t="s">
        <v>1256</v>
      </c>
      <c r="D289" t="s">
        <v>1257</v>
      </c>
      <c r="G289" t="s">
        <v>196</v>
      </c>
      <c r="H289" t="s">
        <v>197</v>
      </c>
      <c r="L289">
        <v>0</v>
      </c>
      <c r="M289">
        <v>0</v>
      </c>
      <c r="N289" t="s">
        <v>198</v>
      </c>
      <c r="O289">
        <v>0</v>
      </c>
      <c r="P289" t="s">
        <v>198</v>
      </c>
      <c r="Q289" t="s">
        <v>199</v>
      </c>
      <c r="R289" s="3"/>
      <c r="W289" t="s">
        <v>200</v>
      </c>
      <c r="X289" s="25"/>
      <c r="Y289" s="26"/>
      <c r="Z289" s="27"/>
      <c r="AA289" t="s">
        <v>25</v>
      </c>
      <c r="AB289" t="s">
        <v>201</v>
      </c>
      <c r="AC289" s="3"/>
      <c r="AH289" t="s">
        <v>202</v>
      </c>
      <c r="AK289" t="s">
        <v>203</v>
      </c>
      <c r="AP289" t="s">
        <v>200</v>
      </c>
      <c r="AR289" s="25"/>
      <c r="AT289" s="25">
        <v>0</v>
      </c>
      <c r="AU289" s="26"/>
      <c r="AV289" s="26"/>
      <c r="AW289" s="26"/>
      <c r="AX289" s="26" t="str">
        <f t="shared" si="12"/>
        <v/>
      </c>
      <c r="AY289" t="str">
        <f t="shared" si="13"/>
        <v/>
      </c>
      <c r="AZ289" t="s">
        <v>200</v>
      </c>
      <c r="BA289" s="3"/>
      <c r="BB289" t="str">
        <f t="shared" si="14"/>
        <v>No scrap rate (No impact);No raw material available (High);</v>
      </c>
    </row>
    <row r="290" spans="1:54" x14ac:dyDescent="0.3">
      <c r="A290" t="s">
        <v>1551</v>
      </c>
      <c r="B290" t="s">
        <v>1552</v>
      </c>
      <c r="C290" t="s">
        <v>906</v>
      </c>
      <c r="D290" t="s">
        <v>907</v>
      </c>
      <c r="G290" t="s">
        <v>214</v>
      </c>
      <c r="H290" t="s">
        <v>215</v>
      </c>
      <c r="J290" t="s">
        <v>910</v>
      </c>
      <c r="L290">
        <v>0</v>
      </c>
      <c r="M290">
        <v>0.14000000000000001</v>
      </c>
      <c r="N290" t="s">
        <v>198</v>
      </c>
      <c r="O290">
        <v>0.14000000000000001</v>
      </c>
      <c r="P290" t="s">
        <v>198</v>
      </c>
      <c r="Q290" t="s">
        <v>199</v>
      </c>
      <c r="R290" s="3"/>
      <c r="W290" t="s">
        <v>200</v>
      </c>
      <c r="X290" s="25"/>
      <c r="Y290" s="26"/>
      <c r="Z290" s="27"/>
      <c r="AA290" t="s">
        <v>25</v>
      </c>
      <c r="AB290" t="s">
        <v>201</v>
      </c>
      <c r="AC290" s="3"/>
      <c r="AH290" t="s">
        <v>202</v>
      </c>
      <c r="AK290" t="s">
        <v>203</v>
      </c>
      <c r="AP290" t="s">
        <v>200</v>
      </c>
      <c r="AR290" s="25"/>
      <c r="AT290" s="25">
        <v>0</v>
      </c>
      <c r="AU290" s="26"/>
      <c r="AV290" s="26"/>
      <c r="AW290" s="26"/>
      <c r="AX290" s="26" t="str">
        <f t="shared" si="12"/>
        <v/>
      </c>
      <c r="AY290" t="str">
        <f t="shared" si="13"/>
        <v/>
      </c>
      <c r="AZ290" t="s">
        <v>200</v>
      </c>
      <c r="BA290" s="3"/>
      <c r="BB290" t="str">
        <f t="shared" si="14"/>
        <v>No scrap rate (No impact);</v>
      </c>
    </row>
    <row r="291" spans="1:54" x14ac:dyDescent="0.3">
      <c r="A291" t="s">
        <v>1553</v>
      </c>
      <c r="B291" t="s">
        <v>1554</v>
      </c>
      <c r="C291" t="s">
        <v>995</v>
      </c>
      <c r="D291" t="s">
        <v>996</v>
      </c>
      <c r="G291" t="s">
        <v>214</v>
      </c>
      <c r="H291" t="s">
        <v>215</v>
      </c>
      <c r="J291" t="s">
        <v>1060</v>
      </c>
      <c r="L291">
        <v>0</v>
      </c>
      <c r="M291">
        <v>7.0000000000000001E-3</v>
      </c>
      <c r="N291" t="s">
        <v>198</v>
      </c>
      <c r="O291">
        <v>7.0000000000000001E-3</v>
      </c>
      <c r="P291" t="s">
        <v>198</v>
      </c>
      <c r="Q291" t="s">
        <v>199</v>
      </c>
      <c r="R291" s="3"/>
      <c r="W291" t="s">
        <v>200</v>
      </c>
      <c r="X291" s="25"/>
      <c r="Y291" s="26"/>
      <c r="Z291" s="27"/>
      <c r="AA291" t="s">
        <v>25</v>
      </c>
      <c r="AB291" t="s">
        <v>201</v>
      </c>
      <c r="AC291" s="3"/>
      <c r="AH291" t="s">
        <v>202</v>
      </c>
      <c r="AK291" t="s">
        <v>203</v>
      </c>
      <c r="AP291" t="s">
        <v>200</v>
      </c>
      <c r="AR291" s="25"/>
      <c r="AT291" s="25">
        <v>0</v>
      </c>
      <c r="AU291" s="26"/>
      <c r="AV291" s="26"/>
      <c r="AW291" s="26"/>
      <c r="AX291" s="26" t="str">
        <f t="shared" si="12"/>
        <v/>
      </c>
      <c r="AY291" t="str">
        <f t="shared" si="13"/>
        <v/>
      </c>
      <c r="AZ291" t="s">
        <v>200</v>
      </c>
      <c r="BA291" s="3"/>
      <c r="BB291" t="str">
        <f t="shared" si="14"/>
        <v>No scrap rate (No impact);</v>
      </c>
    </row>
    <row r="292" spans="1:54" x14ac:dyDescent="0.3">
      <c r="A292" t="s">
        <v>1555</v>
      </c>
      <c r="B292" t="s">
        <v>1556</v>
      </c>
      <c r="C292" t="s">
        <v>946</v>
      </c>
      <c r="D292" t="s">
        <v>947</v>
      </c>
      <c r="G292" t="s">
        <v>214</v>
      </c>
      <c r="H292" t="s">
        <v>215</v>
      </c>
      <c r="J292" t="s">
        <v>926</v>
      </c>
      <c r="L292">
        <v>0</v>
      </c>
      <c r="M292">
        <v>0.19700000000000001</v>
      </c>
      <c r="N292" t="s">
        <v>198</v>
      </c>
      <c r="O292">
        <v>0.19700000000000001</v>
      </c>
      <c r="P292" t="s">
        <v>198</v>
      </c>
      <c r="Q292" t="s">
        <v>199</v>
      </c>
      <c r="R292" s="3"/>
      <c r="W292" t="s">
        <v>200</v>
      </c>
      <c r="X292" s="25"/>
      <c r="Y292" s="26"/>
      <c r="Z292" s="27"/>
      <c r="AA292" t="s">
        <v>25</v>
      </c>
      <c r="AB292" t="s">
        <v>201</v>
      </c>
      <c r="AC292" s="3"/>
      <c r="AH292" t="s">
        <v>202</v>
      </c>
      <c r="AK292" t="s">
        <v>203</v>
      </c>
      <c r="AP292" t="s">
        <v>200</v>
      </c>
      <c r="AR292" s="25"/>
      <c r="AT292" s="25">
        <v>0</v>
      </c>
      <c r="AU292" s="26"/>
      <c r="AV292" s="26"/>
      <c r="AW292" s="26"/>
      <c r="AX292" s="26" t="str">
        <f t="shared" si="12"/>
        <v/>
      </c>
      <c r="AY292" t="str">
        <f t="shared" si="13"/>
        <v/>
      </c>
      <c r="AZ292" t="s">
        <v>200</v>
      </c>
      <c r="BA292" s="3"/>
      <c r="BB292" t="str">
        <f t="shared" si="14"/>
        <v>No scrap rate (No impact);</v>
      </c>
    </row>
    <row r="293" spans="1:54" x14ac:dyDescent="0.3">
      <c r="A293" t="s">
        <v>1557</v>
      </c>
      <c r="B293" t="s">
        <v>1558</v>
      </c>
      <c r="C293" t="s">
        <v>918</v>
      </c>
      <c r="D293" t="s">
        <v>919</v>
      </c>
      <c r="G293" t="s">
        <v>288</v>
      </c>
      <c r="H293" t="s">
        <v>289</v>
      </c>
      <c r="J293" t="s">
        <v>1089</v>
      </c>
      <c r="L293">
        <v>0</v>
      </c>
      <c r="M293">
        <v>0</v>
      </c>
      <c r="N293" t="s">
        <v>198</v>
      </c>
      <c r="O293">
        <v>0</v>
      </c>
      <c r="P293" t="s">
        <v>198</v>
      </c>
      <c r="Q293" t="s">
        <v>199</v>
      </c>
      <c r="R293" s="3"/>
      <c r="W293" t="s">
        <v>200</v>
      </c>
      <c r="X293" s="25"/>
      <c r="Y293" s="26"/>
      <c r="Z293" s="27"/>
      <c r="AA293" t="s">
        <v>25</v>
      </c>
      <c r="AB293" t="s">
        <v>201</v>
      </c>
      <c r="AC293" s="3"/>
      <c r="AH293" t="s">
        <v>202</v>
      </c>
      <c r="AK293" t="s">
        <v>203</v>
      </c>
      <c r="AP293" t="s">
        <v>200</v>
      </c>
      <c r="AR293" s="25"/>
      <c r="AT293" s="25">
        <v>0</v>
      </c>
      <c r="AU293" s="26"/>
      <c r="AV293" s="26"/>
      <c r="AW293" s="26"/>
      <c r="AX293" s="26" t="str">
        <f t="shared" si="12"/>
        <v/>
      </c>
      <c r="AY293" t="str">
        <f t="shared" si="13"/>
        <v/>
      </c>
      <c r="AZ293" t="s">
        <v>200</v>
      </c>
      <c r="BA293" s="3"/>
      <c r="BB293" t="str">
        <f t="shared" si="14"/>
        <v>No scrap rate (No impact);</v>
      </c>
    </row>
    <row r="294" spans="1:54" x14ac:dyDescent="0.3">
      <c r="A294" t="s">
        <v>1559</v>
      </c>
      <c r="B294" t="s">
        <v>1560</v>
      </c>
      <c r="C294" t="s">
        <v>1256</v>
      </c>
      <c r="D294" t="s">
        <v>1257</v>
      </c>
      <c r="G294" t="s">
        <v>288</v>
      </c>
      <c r="H294" t="s">
        <v>289</v>
      </c>
      <c r="J294" t="s">
        <v>1046</v>
      </c>
      <c r="L294">
        <v>0</v>
      </c>
      <c r="M294">
        <v>1E-3</v>
      </c>
      <c r="N294" t="s">
        <v>198</v>
      </c>
      <c r="O294">
        <v>1E-3</v>
      </c>
      <c r="P294" t="s">
        <v>198</v>
      </c>
      <c r="Q294" t="s">
        <v>199</v>
      </c>
      <c r="R294" s="3"/>
      <c r="W294" t="s">
        <v>200</v>
      </c>
      <c r="X294" s="25"/>
      <c r="Y294" s="26"/>
      <c r="Z294" s="27"/>
      <c r="AA294" t="s">
        <v>25</v>
      </c>
      <c r="AB294" t="s">
        <v>201</v>
      </c>
      <c r="AC294" s="3"/>
      <c r="AH294" t="s">
        <v>202</v>
      </c>
      <c r="AK294" t="s">
        <v>203</v>
      </c>
      <c r="AP294" t="s">
        <v>200</v>
      </c>
      <c r="AR294" s="25"/>
      <c r="AT294" s="25">
        <v>0</v>
      </c>
      <c r="AU294" s="26"/>
      <c r="AV294" s="26"/>
      <c r="AW294" s="26"/>
      <c r="AX294" s="26" t="str">
        <f t="shared" si="12"/>
        <v/>
      </c>
      <c r="AY294" t="str">
        <f t="shared" si="13"/>
        <v/>
      </c>
      <c r="AZ294" t="s">
        <v>200</v>
      </c>
      <c r="BA294" s="3"/>
      <c r="BB294" t="str">
        <f t="shared" si="14"/>
        <v>No scrap rate (No impact);</v>
      </c>
    </row>
    <row r="295" spans="1:54" x14ac:dyDescent="0.3">
      <c r="A295" t="s">
        <v>1561</v>
      </c>
      <c r="B295" t="s">
        <v>1562</v>
      </c>
      <c r="C295" t="s">
        <v>946</v>
      </c>
      <c r="D295" t="s">
        <v>947</v>
      </c>
      <c r="G295" t="s">
        <v>316</v>
      </c>
      <c r="H295" t="s">
        <v>317</v>
      </c>
      <c r="J295" t="s">
        <v>926</v>
      </c>
      <c r="L295">
        <v>0</v>
      </c>
      <c r="M295">
        <v>0.19500000000000001</v>
      </c>
      <c r="N295" t="s">
        <v>198</v>
      </c>
      <c r="O295">
        <v>0.19500000000000001</v>
      </c>
      <c r="P295" t="s">
        <v>198</v>
      </c>
      <c r="Q295" t="s">
        <v>199</v>
      </c>
      <c r="R295" s="3"/>
      <c r="W295" t="s">
        <v>200</v>
      </c>
      <c r="X295" s="25"/>
      <c r="Y295" s="26"/>
      <c r="Z295" s="27"/>
      <c r="AA295" t="s">
        <v>25</v>
      </c>
      <c r="AB295" t="s">
        <v>201</v>
      </c>
      <c r="AC295" s="3"/>
      <c r="AH295" t="s">
        <v>202</v>
      </c>
      <c r="AK295" t="s">
        <v>203</v>
      </c>
      <c r="AP295" t="s">
        <v>200</v>
      </c>
      <c r="AR295" s="25"/>
      <c r="AT295" s="25">
        <v>0</v>
      </c>
      <c r="AU295" s="26"/>
      <c r="AV295" s="26"/>
      <c r="AW295" s="26"/>
      <c r="AX295" s="26" t="str">
        <f t="shared" si="12"/>
        <v/>
      </c>
      <c r="AY295" t="str">
        <f t="shared" si="13"/>
        <v/>
      </c>
      <c r="AZ295" t="s">
        <v>200</v>
      </c>
      <c r="BA295" s="3"/>
      <c r="BB295" t="str">
        <f t="shared" si="14"/>
        <v>No scrap rate (No impact);</v>
      </c>
    </row>
    <row r="296" spans="1:54" x14ac:dyDescent="0.3">
      <c r="A296" t="s">
        <v>1563</v>
      </c>
      <c r="B296" t="s">
        <v>1564</v>
      </c>
      <c r="C296" t="s">
        <v>966</v>
      </c>
      <c r="D296" t="s">
        <v>967</v>
      </c>
      <c r="G296" t="s">
        <v>1565</v>
      </c>
      <c r="H296" t="s">
        <v>421</v>
      </c>
      <c r="J296" t="s">
        <v>1475</v>
      </c>
      <c r="L296">
        <v>0</v>
      </c>
      <c r="M296">
        <v>0</v>
      </c>
      <c r="N296" t="s">
        <v>198</v>
      </c>
      <c r="O296">
        <v>0</v>
      </c>
      <c r="P296" t="s">
        <v>198</v>
      </c>
      <c r="Q296" t="s">
        <v>199</v>
      </c>
      <c r="R296" s="3"/>
      <c r="W296" t="s">
        <v>200</v>
      </c>
      <c r="X296" s="25"/>
      <c r="Y296" s="26"/>
      <c r="Z296" s="27"/>
      <c r="AA296" t="s">
        <v>25</v>
      </c>
      <c r="AB296" t="s">
        <v>201</v>
      </c>
      <c r="AC296" s="3"/>
      <c r="AH296" t="s">
        <v>202</v>
      </c>
      <c r="AK296" t="s">
        <v>203</v>
      </c>
      <c r="AP296" t="s">
        <v>200</v>
      </c>
      <c r="AR296" s="25"/>
      <c r="AT296" s="25">
        <v>0</v>
      </c>
      <c r="AU296" s="26"/>
      <c r="AV296" s="26"/>
      <c r="AW296" s="26"/>
      <c r="AX296" s="26" t="str">
        <f t="shared" si="12"/>
        <v/>
      </c>
      <c r="AY296" t="str">
        <f t="shared" si="13"/>
        <v/>
      </c>
      <c r="AZ296" t="s">
        <v>200</v>
      </c>
      <c r="BA296" s="3"/>
      <c r="BB296" t="str">
        <f t="shared" si="14"/>
        <v>No scrap rate (No impact);</v>
      </c>
    </row>
    <row r="297" spans="1:54" x14ac:dyDescent="0.3">
      <c r="A297" t="s">
        <v>1566</v>
      </c>
      <c r="B297" t="s">
        <v>1567</v>
      </c>
      <c r="C297" t="s">
        <v>747</v>
      </c>
      <c r="D297" t="s">
        <v>748</v>
      </c>
      <c r="G297" t="s">
        <v>1565</v>
      </c>
      <c r="H297" t="s">
        <v>421</v>
      </c>
      <c r="J297" t="s">
        <v>926</v>
      </c>
      <c r="L297">
        <v>0</v>
      </c>
      <c r="M297">
        <v>0.37</v>
      </c>
      <c r="N297" t="s">
        <v>198</v>
      </c>
      <c r="O297">
        <v>0.37</v>
      </c>
      <c r="P297" t="s">
        <v>198</v>
      </c>
      <c r="Q297" t="s">
        <v>199</v>
      </c>
      <c r="R297" s="3"/>
      <c r="W297" t="s">
        <v>200</v>
      </c>
      <c r="X297" s="25"/>
      <c r="Y297" s="26"/>
      <c r="Z297" s="27"/>
      <c r="AA297" t="s">
        <v>25</v>
      </c>
      <c r="AB297" t="s">
        <v>201</v>
      </c>
      <c r="AC297" s="3"/>
      <c r="AH297" t="s">
        <v>202</v>
      </c>
      <c r="AK297" t="s">
        <v>203</v>
      </c>
      <c r="AP297" t="s">
        <v>200</v>
      </c>
      <c r="AR297" s="25"/>
      <c r="AT297" s="25">
        <v>0</v>
      </c>
      <c r="AU297" s="26"/>
      <c r="AV297" s="26"/>
      <c r="AW297" s="26"/>
      <c r="AX297" s="26" t="str">
        <f t="shared" si="12"/>
        <v/>
      </c>
      <c r="AY297" t="str">
        <f t="shared" si="13"/>
        <v/>
      </c>
      <c r="AZ297" t="s">
        <v>200</v>
      </c>
      <c r="BA297" s="3"/>
      <c r="BB297" t="str">
        <f t="shared" si="14"/>
        <v>No scrap rate (No impact);</v>
      </c>
    </row>
    <row r="298" spans="1:54" x14ac:dyDescent="0.3">
      <c r="A298" t="s">
        <v>1568</v>
      </c>
      <c r="B298" t="s">
        <v>1569</v>
      </c>
      <c r="C298" t="s">
        <v>906</v>
      </c>
      <c r="D298" t="s">
        <v>907</v>
      </c>
      <c r="G298" t="s">
        <v>1159</v>
      </c>
      <c r="H298" t="s">
        <v>1160</v>
      </c>
      <c r="J298" t="s">
        <v>1126</v>
      </c>
      <c r="L298">
        <v>0</v>
      </c>
      <c r="M298">
        <v>4.2000000000000003E-2</v>
      </c>
      <c r="N298" t="s">
        <v>198</v>
      </c>
      <c r="O298">
        <v>4.2000000000000003E-2</v>
      </c>
      <c r="P298" t="s">
        <v>198</v>
      </c>
      <c r="Q298" t="s">
        <v>199</v>
      </c>
      <c r="R298" s="3"/>
      <c r="W298" t="s">
        <v>200</v>
      </c>
      <c r="X298" s="25"/>
      <c r="Y298" s="26"/>
      <c r="Z298" s="27"/>
      <c r="AA298" t="s">
        <v>25</v>
      </c>
      <c r="AB298" t="s">
        <v>201</v>
      </c>
      <c r="AC298" s="3"/>
      <c r="AH298" t="s">
        <v>202</v>
      </c>
      <c r="AK298" t="s">
        <v>203</v>
      </c>
      <c r="AP298" t="s">
        <v>200</v>
      </c>
      <c r="AR298" s="25"/>
      <c r="AT298" s="25">
        <v>0</v>
      </c>
      <c r="AU298" s="26"/>
      <c r="AV298" s="26"/>
      <c r="AW298" s="26"/>
      <c r="AX298" s="26" t="str">
        <f t="shared" si="12"/>
        <v/>
      </c>
      <c r="AY298" t="str">
        <f t="shared" si="13"/>
        <v/>
      </c>
      <c r="AZ298" t="s">
        <v>200</v>
      </c>
      <c r="BA298" s="3"/>
      <c r="BB298" t="str">
        <f t="shared" si="14"/>
        <v>No scrap rate (No impact);</v>
      </c>
    </row>
    <row r="299" spans="1:54" x14ac:dyDescent="0.3">
      <c r="A299" t="s">
        <v>1570</v>
      </c>
      <c r="B299" t="s">
        <v>1571</v>
      </c>
      <c r="C299" t="s">
        <v>906</v>
      </c>
      <c r="D299" t="s">
        <v>907</v>
      </c>
      <c r="G299" t="s">
        <v>1159</v>
      </c>
      <c r="H299" t="s">
        <v>1160</v>
      </c>
      <c r="J299" t="s">
        <v>1126</v>
      </c>
      <c r="L299">
        <v>0</v>
      </c>
      <c r="M299">
        <v>6.3E-2</v>
      </c>
      <c r="N299" t="s">
        <v>198</v>
      </c>
      <c r="O299">
        <v>6.3E-2</v>
      </c>
      <c r="P299" t="s">
        <v>198</v>
      </c>
      <c r="Q299" t="s">
        <v>199</v>
      </c>
      <c r="R299" s="3"/>
      <c r="W299" t="s">
        <v>200</v>
      </c>
      <c r="X299" s="25"/>
      <c r="Y299" s="26"/>
      <c r="Z299" s="27"/>
      <c r="AA299" t="s">
        <v>25</v>
      </c>
      <c r="AB299" t="s">
        <v>201</v>
      </c>
      <c r="AC299" s="3"/>
      <c r="AH299" t="s">
        <v>202</v>
      </c>
      <c r="AK299" t="s">
        <v>203</v>
      </c>
      <c r="AP299" t="s">
        <v>200</v>
      </c>
      <c r="AR299" s="25"/>
      <c r="AT299" s="25">
        <v>0</v>
      </c>
      <c r="AU299" s="26"/>
      <c r="AV299" s="26"/>
      <c r="AW299" s="26"/>
      <c r="AX299" s="26" t="str">
        <f t="shared" si="12"/>
        <v/>
      </c>
      <c r="AY299" t="str">
        <f t="shared" si="13"/>
        <v/>
      </c>
      <c r="AZ299" t="s">
        <v>200</v>
      </c>
      <c r="BA299" s="3"/>
      <c r="BB299" t="str">
        <f t="shared" si="14"/>
        <v>No scrap rate (No impact);</v>
      </c>
    </row>
    <row r="300" spans="1:54" x14ac:dyDescent="0.3">
      <c r="A300" t="s">
        <v>1572</v>
      </c>
      <c r="B300" t="s">
        <v>1573</v>
      </c>
      <c r="C300" t="s">
        <v>906</v>
      </c>
      <c r="D300" t="s">
        <v>907</v>
      </c>
      <c r="G300" t="s">
        <v>1137</v>
      </c>
      <c r="H300" t="s">
        <v>1138</v>
      </c>
      <c r="J300" t="s">
        <v>1139</v>
      </c>
      <c r="L300">
        <v>0</v>
      </c>
      <c r="M300">
        <v>1.0999999999999999E-2</v>
      </c>
      <c r="N300" t="s">
        <v>198</v>
      </c>
      <c r="O300">
        <v>1.0999999999999999E-2</v>
      </c>
      <c r="P300" t="s">
        <v>198</v>
      </c>
      <c r="Q300" t="s">
        <v>199</v>
      </c>
      <c r="R300" s="3"/>
      <c r="W300" t="s">
        <v>200</v>
      </c>
      <c r="X300" s="25"/>
      <c r="Y300" s="26"/>
      <c r="Z300" s="27"/>
      <c r="AA300" t="s">
        <v>25</v>
      </c>
      <c r="AB300" t="s">
        <v>201</v>
      </c>
      <c r="AC300" s="3"/>
      <c r="AH300" t="s">
        <v>202</v>
      </c>
      <c r="AK300" t="s">
        <v>203</v>
      </c>
      <c r="AP300" t="s">
        <v>200</v>
      </c>
      <c r="AR300" s="25"/>
      <c r="AT300" s="25">
        <v>0</v>
      </c>
      <c r="AU300" s="26"/>
      <c r="AV300" s="26"/>
      <c r="AW300" s="26"/>
      <c r="AX300" s="26" t="str">
        <f t="shared" si="12"/>
        <v/>
      </c>
      <c r="AY300" t="str">
        <f t="shared" si="13"/>
        <v/>
      </c>
      <c r="AZ300" t="s">
        <v>200</v>
      </c>
      <c r="BA300" s="3"/>
      <c r="BB300" t="str">
        <f t="shared" si="14"/>
        <v>No scrap rate (No impact);</v>
      </c>
    </row>
    <row r="301" spans="1:54" x14ac:dyDescent="0.3">
      <c r="A301" t="s">
        <v>1574</v>
      </c>
      <c r="B301" t="s">
        <v>1575</v>
      </c>
      <c r="C301" t="s">
        <v>747</v>
      </c>
      <c r="D301" t="s">
        <v>748</v>
      </c>
      <c r="G301" t="s">
        <v>1576</v>
      </c>
      <c r="H301" t="s">
        <v>1577</v>
      </c>
      <c r="L301">
        <v>0</v>
      </c>
      <c r="M301">
        <v>7.0000000000000001E-3</v>
      </c>
      <c r="N301" t="s">
        <v>198</v>
      </c>
      <c r="O301">
        <v>0</v>
      </c>
      <c r="P301" t="s">
        <v>198</v>
      </c>
      <c r="Q301" t="s">
        <v>1578</v>
      </c>
      <c r="R301" s="3"/>
      <c r="W301" t="s">
        <v>200</v>
      </c>
      <c r="X301" s="25"/>
      <c r="Y301" s="26"/>
      <c r="Z301" s="27"/>
      <c r="AA301" t="s">
        <v>25</v>
      </c>
      <c r="AB301" t="s">
        <v>201</v>
      </c>
      <c r="AC301" s="3"/>
      <c r="AH301" t="s">
        <v>202</v>
      </c>
      <c r="AK301" t="s">
        <v>203</v>
      </c>
      <c r="AP301" t="s">
        <v>200</v>
      </c>
      <c r="AR301" s="25"/>
      <c r="AT301" s="25">
        <v>0</v>
      </c>
      <c r="AU301" s="26"/>
      <c r="AV301" s="26"/>
      <c r="AW301" s="26"/>
      <c r="AX301" s="26" t="str">
        <f t="shared" si="12"/>
        <v/>
      </c>
      <c r="AY301" t="str">
        <f t="shared" si="13"/>
        <v/>
      </c>
      <c r="AZ301" t="s">
        <v>200</v>
      </c>
      <c r="BA301" s="3"/>
      <c r="BB301" t="str">
        <f t="shared" si="14"/>
        <v>No scrap rate (No impact);No raw material available (High);</v>
      </c>
    </row>
    <row r="302" spans="1:54" x14ac:dyDescent="0.3">
      <c r="A302" t="s">
        <v>1579</v>
      </c>
      <c r="B302" t="s">
        <v>1580</v>
      </c>
      <c r="C302" t="s">
        <v>1256</v>
      </c>
      <c r="D302" t="s">
        <v>1257</v>
      </c>
      <c r="G302" t="s">
        <v>725</v>
      </c>
      <c r="H302" t="s">
        <v>197</v>
      </c>
      <c r="L302">
        <v>0</v>
      </c>
      <c r="M302">
        <v>3.4000000000000002E-2</v>
      </c>
      <c r="N302" t="s">
        <v>198</v>
      </c>
      <c r="O302">
        <v>0</v>
      </c>
      <c r="P302" t="s">
        <v>198</v>
      </c>
      <c r="Q302" t="s">
        <v>1578</v>
      </c>
      <c r="R302" s="3"/>
      <c r="W302" t="s">
        <v>200</v>
      </c>
      <c r="X302" s="25"/>
      <c r="Y302" s="26"/>
      <c r="Z302" s="27"/>
      <c r="AA302" t="s">
        <v>25</v>
      </c>
      <c r="AB302" t="s">
        <v>201</v>
      </c>
      <c r="AC302" s="3"/>
      <c r="AH302" t="s">
        <v>202</v>
      </c>
      <c r="AK302" t="s">
        <v>203</v>
      </c>
      <c r="AP302" t="s">
        <v>200</v>
      </c>
      <c r="AR302" s="25"/>
      <c r="AT302" s="25">
        <v>0</v>
      </c>
      <c r="AU302" s="26"/>
      <c r="AV302" s="26"/>
      <c r="AW302" s="26"/>
      <c r="AX302" s="26" t="str">
        <f t="shared" si="12"/>
        <v/>
      </c>
      <c r="AY302" t="str">
        <f t="shared" si="13"/>
        <v/>
      </c>
      <c r="AZ302" t="s">
        <v>200</v>
      </c>
      <c r="BA302" s="3"/>
      <c r="BB302" t="str">
        <f t="shared" si="14"/>
        <v>No scrap rate (No impact);No raw material available (High);</v>
      </c>
    </row>
    <row r="303" spans="1:54" x14ac:dyDescent="0.3">
      <c r="A303" t="s">
        <v>1581</v>
      </c>
      <c r="B303" t="s">
        <v>1582</v>
      </c>
      <c r="C303" t="s">
        <v>1256</v>
      </c>
      <c r="D303" t="s">
        <v>1257</v>
      </c>
      <c r="G303" t="s">
        <v>1583</v>
      </c>
      <c r="H303" t="s">
        <v>1584</v>
      </c>
      <c r="L303">
        <v>0</v>
      </c>
      <c r="M303">
        <v>7.0000000000000001E-3</v>
      </c>
      <c r="N303" t="s">
        <v>198</v>
      </c>
      <c r="O303">
        <v>0</v>
      </c>
      <c r="P303" t="s">
        <v>198</v>
      </c>
      <c r="Q303" t="s">
        <v>1578</v>
      </c>
      <c r="R303" s="3"/>
      <c r="W303" t="s">
        <v>200</v>
      </c>
      <c r="X303" s="25"/>
      <c r="Y303" s="26"/>
      <c r="Z303" s="27"/>
      <c r="AA303" t="s">
        <v>25</v>
      </c>
      <c r="AB303" t="s">
        <v>201</v>
      </c>
      <c r="AC303" s="3"/>
      <c r="AH303" t="s">
        <v>202</v>
      </c>
      <c r="AK303" t="s">
        <v>203</v>
      </c>
      <c r="AP303" t="s">
        <v>200</v>
      </c>
      <c r="AR303" s="25"/>
      <c r="AT303" s="25">
        <v>0</v>
      </c>
      <c r="AU303" s="26"/>
      <c r="AV303" s="26"/>
      <c r="AW303" s="26"/>
      <c r="AX303" s="26" t="str">
        <f t="shared" si="12"/>
        <v/>
      </c>
      <c r="AY303" t="str">
        <f t="shared" si="13"/>
        <v/>
      </c>
      <c r="AZ303" t="s">
        <v>200</v>
      </c>
      <c r="BA303" s="3"/>
      <c r="BB303" t="str">
        <f t="shared" si="14"/>
        <v>No scrap rate (No impact);No raw material available (High);</v>
      </c>
    </row>
    <row r="304" spans="1:54" x14ac:dyDescent="0.3">
      <c r="A304" t="s">
        <v>1585</v>
      </c>
      <c r="B304" t="s">
        <v>1586</v>
      </c>
      <c r="C304" t="s">
        <v>1256</v>
      </c>
      <c r="D304" t="s">
        <v>1257</v>
      </c>
      <c r="G304" t="s">
        <v>725</v>
      </c>
      <c r="H304" t="s">
        <v>197</v>
      </c>
      <c r="L304">
        <v>0</v>
      </c>
      <c r="M304">
        <v>0</v>
      </c>
      <c r="N304" t="s">
        <v>198</v>
      </c>
      <c r="O304">
        <v>0</v>
      </c>
      <c r="P304" t="s">
        <v>198</v>
      </c>
      <c r="Q304" t="s">
        <v>199</v>
      </c>
      <c r="R304" s="3"/>
      <c r="W304" t="s">
        <v>200</v>
      </c>
      <c r="X304" s="25"/>
      <c r="Y304" s="26"/>
      <c r="Z304" s="27"/>
      <c r="AA304" t="s">
        <v>25</v>
      </c>
      <c r="AB304" t="s">
        <v>201</v>
      </c>
      <c r="AC304" s="3"/>
      <c r="AH304" t="s">
        <v>202</v>
      </c>
      <c r="AK304" t="s">
        <v>203</v>
      </c>
      <c r="AP304" t="s">
        <v>200</v>
      </c>
      <c r="AR304" s="25"/>
      <c r="AT304" s="25">
        <v>0</v>
      </c>
      <c r="AU304" s="26"/>
      <c r="AV304" s="26"/>
      <c r="AW304" s="26"/>
      <c r="AX304" s="26" t="str">
        <f t="shared" si="12"/>
        <v/>
      </c>
      <c r="AY304" t="str">
        <f t="shared" si="13"/>
        <v/>
      </c>
      <c r="AZ304" t="s">
        <v>200</v>
      </c>
      <c r="BA304" s="3"/>
      <c r="BB304" t="str">
        <f t="shared" si="14"/>
        <v>No scrap rate (No impact);No raw material available (High);</v>
      </c>
    </row>
    <row r="305" spans="1:54" x14ac:dyDescent="0.3">
      <c r="A305" t="s">
        <v>1587</v>
      </c>
      <c r="B305" t="s">
        <v>1588</v>
      </c>
      <c r="C305" t="s">
        <v>1256</v>
      </c>
      <c r="D305" t="s">
        <v>1257</v>
      </c>
      <c r="G305" t="s">
        <v>1589</v>
      </c>
      <c r="H305" t="s">
        <v>596</v>
      </c>
      <c r="J305" t="s">
        <v>1590</v>
      </c>
      <c r="L305">
        <v>0</v>
      </c>
      <c r="M305">
        <v>4.0000000000000001E-3</v>
      </c>
      <c r="N305" t="s">
        <v>198</v>
      </c>
      <c r="O305">
        <v>4.0000000000000001E-3</v>
      </c>
      <c r="P305" t="s">
        <v>198</v>
      </c>
      <c r="Q305" t="s">
        <v>199</v>
      </c>
      <c r="R305" s="3"/>
      <c r="W305" t="s">
        <v>200</v>
      </c>
      <c r="X305" s="25"/>
      <c r="Y305" s="26"/>
      <c r="Z305" s="27"/>
      <c r="AA305" t="s">
        <v>25</v>
      </c>
      <c r="AB305" t="s">
        <v>201</v>
      </c>
      <c r="AC305" s="3"/>
      <c r="AH305" t="s">
        <v>202</v>
      </c>
      <c r="AK305" t="s">
        <v>203</v>
      </c>
      <c r="AP305" t="s">
        <v>200</v>
      </c>
      <c r="AR305" s="25"/>
      <c r="AT305" s="25">
        <v>0</v>
      </c>
      <c r="AU305" s="26"/>
      <c r="AV305" s="26"/>
      <c r="AW305" s="26"/>
      <c r="AX305" s="26" t="str">
        <f t="shared" si="12"/>
        <v/>
      </c>
      <c r="AY305" t="str">
        <f t="shared" si="13"/>
        <v/>
      </c>
      <c r="AZ305" t="s">
        <v>200</v>
      </c>
      <c r="BA305" s="3"/>
      <c r="BB305" t="str">
        <f t="shared" si="14"/>
        <v>No scrap rate (No impact);</v>
      </c>
    </row>
    <row r="306" spans="1:54" x14ac:dyDescent="0.3">
      <c r="A306" t="s">
        <v>1591</v>
      </c>
      <c r="B306" t="s">
        <v>1592</v>
      </c>
      <c r="C306" t="s">
        <v>1256</v>
      </c>
      <c r="D306" t="s">
        <v>1257</v>
      </c>
      <c r="G306" t="s">
        <v>1583</v>
      </c>
      <c r="H306" t="s">
        <v>1584</v>
      </c>
      <c r="L306">
        <v>0</v>
      </c>
      <c r="M306">
        <v>2E-3</v>
      </c>
      <c r="N306" t="s">
        <v>198</v>
      </c>
      <c r="O306">
        <v>0</v>
      </c>
      <c r="P306" t="s">
        <v>198</v>
      </c>
      <c r="R306" s="3"/>
      <c r="W306" t="s">
        <v>200</v>
      </c>
      <c r="X306" s="25"/>
      <c r="Y306" s="26"/>
      <c r="Z306" s="27"/>
      <c r="AA306" t="s">
        <v>25</v>
      </c>
      <c r="AB306" t="s">
        <v>201</v>
      </c>
      <c r="AC306" s="3"/>
      <c r="AH306" t="s">
        <v>202</v>
      </c>
      <c r="AK306" t="s">
        <v>203</v>
      </c>
      <c r="AP306" t="s">
        <v>200</v>
      </c>
      <c r="AR306" s="25"/>
      <c r="AT306" s="25">
        <v>0</v>
      </c>
      <c r="AU306" s="26"/>
      <c r="AV306" s="26"/>
      <c r="AW306" s="26"/>
      <c r="AX306" s="26" t="str">
        <f t="shared" si="12"/>
        <v/>
      </c>
      <c r="AY306" t="str">
        <f t="shared" si="13"/>
        <v/>
      </c>
      <c r="AZ306" t="s">
        <v>200</v>
      </c>
      <c r="BA306" s="3"/>
      <c r="BB306" t="str">
        <f t="shared" si="14"/>
        <v>No scrap rate (No impact);No raw material available (High);</v>
      </c>
    </row>
    <row r="307" spans="1:54" x14ac:dyDescent="0.3">
      <c r="A307" t="s">
        <v>1593</v>
      </c>
      <c r="B307" t="s">
        <v>1594</v>
      </c>
      <c r="C307" t="s">
        <v>1110</v>
      </c>
      <c r="D307" t="s">
        <v>1111</v>
      </c>
      <c r="G307" t="s">
        <v>220</v>
      </c>
      <c r="H307" t="s">
        <v>221</v>
      </c>
      <c r="J307" t="s">
        <v>1089</v>
      </c>
      <c r="L307">
        <v>0</v>
      </c>
      <c r="M307">
        <v>0.45700000000000002</v>
      </c>
      <c r="N307" t="s">
        <v>198</v>
      </c>
      <c r="O307">
        <v>0.45700000000000002</v>
      </c>
      <c r="P307" t="s">
        <v>198</v>
      </c>
      <c r="Q307" t="s">
        <v>199</v>
      </c>
      <c r="R307" s="3"/>
      <c r="W307" t="s">
        <v>200</v>
      </c>
      <c r="X307" s="25"/>
      <c r="Y307" s="26"/>
      <c r="Z307" s="27"/>
      <c r="AA307" t="s">
        <v>25</v>
      </c>
      <c r="AB307" t="s">
        <v>201</v>
      </c>
      <c r="AC307" s="3"/>
      <c r="AH307" t="s">
        <v>202</v>
      </c>
      <c r="AK307" t="s">
        <v>203</v>
      </c>
      <c r="AP307" t="s">
        <v>200</v>
      </c>
      <c r="AR307" s="25"/>
      <c r="AT307" s="25">
        <v>0</v>
      </c>
      <c r="AU307" s="26"/>
      <c r="AV307" s="26"/>
      <c r="AW307" s="26"/>
      <c r="AX307" s="26" t="str">
        <f t="shared" si="12"/>
        <v/>
      </c>
      <c r="AY307" t="str">
        <f t="shared" si="13"/>
        <v/>
      </c>
      <c r="AZ307" t="s">
        <v>200</v>
      </c>
      <c r="BA307" s="3"/>
      <c r="BB307" t="str">
        <f t="shared" si="14"/>
        <v>No scrap rate (No impact);</v>
      </c>
    </row>
    <row r="308" spans="1:54" x14ac:dyDescent="0.3">
      <c r="A308" t="s">
        <v>1595</v>
      </c>
      <c r="B308" t="s">
        <v>1596</v>
      </c>
      <c r="C308" t="s">
        <v>1256</v>
      </c>
      <c r="D308" t="s">
        <v>1257</v>
      </c>
      <c r="G308" t="s">
        <v>220</v>
      </c>
      <c r="H308" t="s">
        <v>221</v>
      </c>
      <c r="J308" t="s">
        <v>1590</v>
      </c>
      <c r="L308">
        <v>0</v>
      </c>
      <c r="M308">
        <v>1E-3</v>
      </c>
      <c r="N308" t="s">
        <v>198</v>
      </c>
      <c r="O308">
        <v>1E-3</v>
      </c>
      <c r="P308" t="s">
        <v>198</v>
      </c>
      <c r="Q308" t="s">
        <v>199</v>
      </c>
      <c r="R308" s="3"/>
      <c r="W308" t="s">
        <v>200</v>
      </c>
      <c r="X308" s="25"/>
      <c r="Y308" s="26"/>
      <c r="Z308" s="27"/>
      <c r="AA308" t="s">
        <v>25</v>
      </c>
      <c r="AB308" t="s">
        <v>201</v>
      </c>
      <c r="AC308" s="3"/>
      <c r="AH308" t="s">
        <v>202</v>
      </c>
      <c r="AK308" t="s">
        <v>203</v>
      </c>
      <c r="AP308" t="s">
        <v>200</v>
      </c>
      <c r="AR308" s="25"/>
      <c r="AT308" s="25">
        <v>0</v>
      </c>
      <c r="AU308" s="26"/>
      <c r="AV308" s="26"/>
      <c r="AW308" s="26"/>
      <c r="AX308" s="26" t="str">
        <f t="shared" si="12"/>
        <v/>
      </c>
      <c r="AY308" t="str">
        <f t="shared" si="13"/>
        <v/>
      </c>
      <c r="AZ308" t="s">
        <v>200</v>
      </c>
      <c r="BA308" s="3"/>
      <c r="BB308" t="str">
        <f t="shared" si="14"/>
        <v>No scrap rate (No impact);</v>
      </c>
    </row>
    <row r="309" spans="1:54" x14ac:dyDescent="0.3">
      <c r="A309" t="s">
        <v>1597</v>
      </c>
      <c r="B309" t="s">
        <v>1598</v>
      </c>
      <c r="C309" t="s">
        <v>1256</v>
      </c>
      <c r="D309" t="s">
        <v>1257</v>
      </c>
      <c r="G309" t="s">
        <v>725</v>
      </c>
      <c r="H309" t="s">
        <v>197</v>
      </c>
      <c r="J309" t="s">
        <v>1590</v>
      </c>
      <c r="L309">
        <v>0</v>
      </c>
      <c r="M309">
        <v>3.0000000000000001E-3</v>
      </c>
      <c r="N309" t="s">
        <v>198</v>
      </c>
      <c r="O309">
        <v>3.0000000000000001E-3</v>
      </c>
      <c r="P309" t="s">
        <v>198</v>
      </c>
      <c r="Q309" t="s">
        <v>199</v>
      </c>
      <c r="R309" s="3"/>
      <c r="W309" t="s">
        <v>200</v>
      </c>
      <c r="X309" s="25"/>
      <c r="Y309" s="26"/>
      <c r="Z309" s="27"/>
      <c r="AA309" t="s">
        <v>25</v>
      </c>
      <c r="AB309" t="s">
        <v>201</v>
      </c>
      <c r="AC309" s="3"/>
      <c r="AH309" t="s">
        <v>202</v>
      </c>
      <c r="AK309" t="s">
        <v>203</v>
      </c>
      <c r="AP309" t="s">
        <v>200</v>
      </c>
      <c r="AR309" s="25"/>
      <c r="AT309" s="25">
        <v>0</v>
      </c>
      <c r="AU309" s="26"/>
      <c r="AV309" s="26"/>
      <c r="AW309" s="26"/>
      <c r="AX309" s="26" t="str">
        <f t="shared" si="12"/>
        <v/>
      </c>
      <c r="AY309" t="str">
        <f t="shared" si="13"/>
        <v/>
      </c>
      <c r="AZ309" t="s">
        <v>200</v>
      </c>
      <c r="BA309" s="3"/>
      <c r="BB309" t="str">
        <f t="shared" si="14"/>
        <v>No scrap rate (No impact);</v>
      </c>
    </row>
    <row r="310" spans="1:54" x14ac:dyDescent="0.3">
      <c r="A310" t="s">
        <v>1599</v>
      </c>
      <c r="B310" t="s">
        <v>1600</v>
      </c>
      <c r="C310" t="s">
        <v>966</v>
      </c>
      <c r="D310" t="s">
        <v>967</v>
      </c>
      <c r="G310" t="s">
        <v>1601</v>
      </c>
      <c r="H310" t="s">
        <v>1602</v>
      </c>
      <c r="J310" t="s">
        <v>1475</v>
      </c>
      <c r="L310">
        <v>1</v>
      </c>
      <c r="M310">
        <v>2E-3</v>
      </c>
      <c r="N310" t="s">
        <v>198</v>
      </c>
      <c r="O310">
        <v>2E-3</v>
      </c>
      <c r="P310" t="s">
        <v>198</v>
      </c>
      <c r="Q310" t="s">
        <v>199</v>
      </c>
      <c r="R310" s="3"/>
      <c r="W310" t="s">
        <v>200</v>
      </c>
      <c r="X310" s="25"/>
      <c r="Y310" s="26"/>
      <c r="Z310" s="27"/>
      <c r="AA310" t="s">
        <v>25</v>
      </c>
      <c r="AB310" t="s">
        <v>201</v>
      </c>
      <c r="AC310" s="3"/>
      <c r="AH310" t="s">
        <v>202</v>
      </c>
      <c r="AK310" t="s">
        <v>203</v>
      </c>
      <c r="AP310" t="s">
        <v>200</v>
      </c>
      <c r="AR310" s="25"/>
      <c r="AT310" s="25">
        <v>0</v>
      </c>
      <c r="AU310" s="26"/>
      <c r="AV310" s="26"/>
      <c r="AW310" s="26"/>
      <c r="AX310" s="26" t="str">
        <f t="shared" si="12"/>
        <v/>
      </c>
      <c r="AY310" t="str">
        <f t="shared" si="13"/>
        <v/>
      </c>
      <c r="AZ310" t="s">
        <v>200</v>
      </c>
      <c r="BA310" s="3"/>
      <c r="BB310" t="str">
        <f t="shared" si="14"/>
        <v>No scrap rate (No impact);</v>
      </c>
    </row>
    <row r="311" spans="1:54" x14ac:dyDescent="0.3">
      <c r="A311" t="s">
        <v>1603</v>
      </c>
      <c r="B311" t="s">
        <v>1604</v>
      </c>
      <c r="C311" t="s">
        <v>1256</v>
      </c>
      <c r="D311" t="s">
        <v>1257</v>
      </c>
      <c r="G311" t="s">
        <v>725</v>
      </c>
      <c r="H311" t="s">
        <v>197</v>
      </c>
      <c r="J311" t="s">
        <v>1590</v>
      </c>
      <c r="L311">
        <v>0</v>
      </c>
      <c r="M311">
        <v>3.0000000000000001E-3</v>
      </c>
      <c r="N311" t="s">
        <v>198</v>
      </c>
      <c r="O311">
        <v>3.0000000000000001E-3</v>
      </c>
      <c r="P311" t="s">
        <v>198</v>
      </c>
      <c r="Q311" t="s">
        <v>199</v>
      </c>
      <c r="R311" s="3"/>
      <c r="W311" t="s">
        <v>200</v>
      </c>
      <c r="X311" s="25"/>
      <c r="Y311" s="26"/>
      <c r="Z311" s="27"/>
      <c r="AA311" t="s">
        <v>25</v>
      </c>
      <c r="AB311" t="s">
        <v>201</v>
      </c>
      <c r="AC311" s="3"/>
      <c r="AH311" t="s">
        <v>202</v>
      </c>
      <c r="AK311" t="s">
        <v>203</v>
      </c>
      <c r="AP311" t="s">
        <v>200</v>
      </c>
      <c r="AR311" s="25"/>
      <c r="AT311" s="25">
        <v>0</v>
      </c>
      <c r="AU311" s="26"/>
      <c r="AV311" s="26"/>
      <c r="AW311" s="26"/>
      <c r="AX311" s="26" t="str">
        <f t="shared" si="12"/>
        <v/>
      </c>
      <c r="AY311" t="str">
        <f t="shared" si="13"/>
        <v/>
      </c>
      <c r="AZ311" t="s">
        <v>200</v>
      </c>
      <c r="BA311" s="3"/>
      <c r="BB311" t="str">
        <f t="shared" si="14"/>
        <v>No scrap rate (No impact);</v>
      </c>
    </row>
    <row r="312" spans="1:54" x14ac:dyDescent="0.3">
      <c r="A312" t="s">
        <v>1605</v>
      </c>
      <c r="B312" t="s">
        <v>1606</v>
      </c>
      <c r="C312" t="s">
        <v>1256</v>
      </c>
      <c r="D312" t="s">
        <v>1257</v>
      </c>
      <c r="G312" t="s">
        <v>725</v>
      </c>
      <c r="H312" t="s">
        <v>197</v>
      </c>
      <c r="J312" t="s">
        <v>1590</v>
      </c>
      <c r="L312">
        <v>0</v>
      </c>
      <c r="M312">
        <v>3.0000000000000001E-3</v>
      </c>
      <c r="N312" t="s">
        <v>198</v>
      </c>
      <c r="O312">
        <v>3.0000000000000001E-3</v>
      </c>
      <c r="P312" t="s">
        <v>198</v>
      </c>
      <c r="Q312" t="s">
        <v>199</v>
      </c>
      <c r="R312" s="3"/>
      <c r="W312" t="s">
        <v>200</v>
      </c>
      <c r="X312" s="25"/>
      <c r="Y312" s="26"/>
      <c r="Z312" s="27"/>
      <c r="AA312" t="s">
        <v>25</v>
      </c>
      <c r="AB312" t="s">
        <v>201</v>
      </c>
      <c r="AC312" s="3"/>
      <c r="AH312" t="s">
        <v>202</v>
      </c>
      <c r="AK312" t="s">
        <v>203</v>
      </c>
      <c r="AP312" t="s">
        <v>200</v>
      </c>
      <c r="AR312" s="25"/>
      <c r="AT312" s="25">
        <v>0</v>
      </c>
      <c r="AU312" s="26"/>
      <c r="AV312" s="26"/>
      <c r="AW312" s="26"/>
      <c r="AX312" s="26" t="str">
        <f t="shared" si="12"/>
        <v/>
      </c>
      <c r="AY312" t="str">
        <f t="shared" si="13"/>
        <v/>
      </c>
      <c r="AZ312" t="s">
        <v>200</v>
      </c>
      <c r="BA312" s="3"/>
      <c r="BB312" t="str">
        <f t="shared" si="14"/>
        <v>No scrap rate (No impact);</v>
      </c>
    </row>
    <row r="313" spans="1:54" x14ac:dyDescent="0.3">
      <c r="A313" t="s">
        <v>1607</v>
      </c>
      <c r="B313" t="s">
        <v>1608</v>
      </c>
      <c r="C313" t="s">
        <v>1256</v>
      </c>
      <c r="D313" t="s">
        <v>1257</v>
      </c>
      <c r="G313" t="s">
        <v>725</v>
      </c>
      <c r="H313" t="s">
        <v>197</v>
      </c>
      <c r="J313" t="s">
        <v>1590</v>
      </c>
      <c r="L313">
        <v>0</v>
      </c>
      <c r="M313">
        <v>3.0000000000000001E-3</v>
      </c>
      <c r="N313" t="s">
        <v>198</v>
      </c>
      <c r="O313">
        <v>3.0000000000000001E-3</v>
      </c>
      <c r="P313" t="s">
        <v>198</v>
      </c>
      <c r="Q313" t="s">
        <v>199</v>
      </c>
      <c r="R313" s="3"/>
      <c r="W313" t="s">
        <v>200</v>
      </c>
      <c r="X313" s="25"/>
      <c r="Y313" s="26"/>
      <c r="Z313" s="27"/>
      <c r="AA313" t="s">
        <v>25</v>
      </c>
      <c r="AB313" t="s">
        <v>201</v>
      </c>
      <c r="AC313" s="3"/>
      <c r="AH313" t="s">
        <v>202</v>
      </c>
      <c r="AK313" t="s">
        <v>203</v>
      </c>
      <c r="AP313" t="s">
        <v>200</v>
      </c>
      <c r="AR313" s="25"/>
      <c r="AT313" s="25">
        <v>0</v>
      </c>
      <c r="AU313" s="26"/>
      <c r="AV313" s="26"/>
      <c r="AW313" s="26"/>
      <c r="AX313" s="26" t="str">
        <f t="shared" si="12"/>
        <v/>
      </c>
      <c r="AY313" t="str">
        <f t="shared" si="13"/>
        <v/>
      </c>
      <c r="AZ313" t="s">
        <v>200</v>
      </c>
      <c r="BA313" s="3"/>
      <c r="BB313" t="str">
        <f t="shared" si="14"/>
        <v>No scrap rate (No impact);</v>
      </c>
    </row>
    <row r="314" spans="1:54" x14ac:dyDescent="0.3">
      <c r="A314" t="s">
        <v>1609</v>
      </c>
      <c r="B314" t="s">
        <v>1610</v>
      </c>
      <c r="C314" t="s">
        <v>1256</v>
      </c>
      <c r="D314" t="s">
        <v>1257</v>
      </c>
      <c r="G314" t="s">
        <v>725</v>
      </c>
      <c r="H314" t="s">
        <v>197</v>
      </c>
      <c r="J314" t="s">
        <v>1590</v>
      </c>
      <c r="L314">
        <v>0</v>
      </c>
      <c r="M314">
        <v>3.0000000000000001E-3</v>
      </c>
      <c r="N314" t="s">
        <v>198</v>
      </c>
      <c r="O314">
        <v>3.0000000000000001E-3</v>
      </c>
      <c r="P314" t="s">
        <v>198</v>
      </c>
      <c r="Q314" t="s">
        <v>199</v>
      </c>
      <c r="R314" s="3"/>
      <c r="W314" t="s">
        <v>200</v>
      </c>
      <c r="X314" s="25"/>
      <c r="Y314" s="26"/>
      <c r="Z314" s="27"/>
      <c r="AA314" t="s">
        <v>25</v>
      </c>
      <c r="AB314" t="s">
        <v>201</v>
      </c>
      <c r="AC314" s="3"/>
      <c r="AH314" t="s">
        <v>202</v>
      </c>
      <c r="AK314" t="s">
        <v>203</v>
      </c>
      <c r="AP314" t="s">
        <v>200</v>
      </c>
      <c r="AR314" s="25"/>
      <c r="AT314" s="25">
        <v>0</v>
      </c>
      <c r="AU314" s="26"/>
      <c r="AV314" s="26"/>
      <c r="AW314" s="26"/>
      <c r="AX314" s="26" t="str">
        <f t="shared" si="12"/>
        <v/>
      </c>
      <c r="AY314" t="str">
        <f t="shared" si="13"/>
        <v/>
      </c>
      <c r="AZ314" t="s">
        <v>200</v>
      </c>
      <c r="BA314" s="3"/>
      <c r="BB314" t="str">
        <f t="shared" si="14"/>
        <v>No scrap rate (No impact);</v>
      </c>
    </row>
    <row r="315" spans="1:54" x14ac:dyDescent="0.3">
      <c r="A315" t="s">
        <v>1611</v>
      </c>
      <c r="B315" t="s">
        <v>1612</v>
      </c>
      <c r="C315" t="s">
        <v>1256</v>
      </c>
      <c r="D315" t="s">
        <v>1257</v>
      </c>
      <c r="G315" t="s">
        <v>725</v>
      </c>
      <c r="H315" t="s">
        <v>197</v>
      </c>
      <c r="J315" t="s">
        <v>1590</v>
      </c>
      <c r="L315">
        <v>0</v>
      </c>
      <c r="M315">
        <v>3.0000000000000001E-3</v>
      </c>
      <c r="N315" t="s">
        <v>198</v>
      </c>
      <c r="O315">
        <v>3.0000000000000001E-3</v>
      </c>
      <c r="P315" t="s">
        <v>198</v>
      </c>
      <c r="Q315" t="s">
        <v>199</v>
      </c>
      <c r="R315" s="3"/>
      <c r="W315" t="s">
        <v>200</v>
      </c>
      <c r="X315" s="25"/>
      <c r="Y315" s="26"/>
      <c r="Z315" s="27"/>
      <c r="AA315" t="s">
        <v>25</v>
      </c>
      <c r="AB315" t="s">
        <v>201</v>
      </c>
      <c r="AC315" s="3"/>
      <c r="AH315" t="s">
        <v>202</v>
      </c>
      <c r="AK315" t="s">
        <v>203</v>
      </c>
      <c r="AP315" t="s">
        <v>200</v>
      </c>
      <c r="AR315" s="25"/>
      <c r="AT315" s="25">
        <v>0</v>
      </c>
      <c r="AU315" s="26"/>
      <c r="AV315" s="26"/>
      <c r="AW315" s="26"/>
      <c r="AX315" s="26" t="str">
        <f t="shared" si="12"/>
        <v/>
      </c>
      <c r="AY315" t="str">
        <f t="shared" si="13"/>
        <v/>
      </c>
      <c r="AZ315" t="s">
        <v>200</v>
      </c>
      <c r="BA315" s="3"/>
      <c r="BB315" t="str">
        <f t="shared" si="14"/>
        <v>No scrap rate (No impact);</v>
      </c>
    </row>
    <row r="316" spans="1:54" x14ac:dyDescent="0.3">
      <c r="A316" t="s">
        <v>1613</v>
      </c>
      <c r="B316" t="s">
        <v>1614</v>
      </c>
      <c r="C316" t="s">
        <v>1256</v>
      </c>
      <c r="D316" t="s">
        <v>1257</v>
      </c>
      <c r="G316" t="s">
        <v>1615</v>
      </c>
      <c r="H316" t="s">
        <v>1616</v>
      </c>
      <c r="J316" t="s">
        <v>1060</v>
      </c>
      <c r="L316">
        <v>0</v>
      </c>
      <c r="M316">
        <v>1E-3</v>
      </c>
      <c r="N316" t="s">
        <v>198</v>
      </c>
      <c r="O316">
        <v>1E-3</v>
      </c>
      <c r="P316" t="s">
        <v>198</v>
      </c>
      <c r="Q316" t="s">
        <v>199</v>
      </c>
      <c r="R316" s="3"/>
      <c r="W316" t="s">
        <v>200</v>
      </c>
      <c r="X316" s="25"/>
      <c r="Y316" s="26"/>
      <c r="Z316" s="27"/>
      <c r="AA316" t="s">
        <v>25</v>
      </c>
      <c r="AB316" t="s">
        <v>201</v>
      </c>
      <c r="AC316" s="3"/>
      <c r="AH316" t="s">
        <v>202</v>
      </c>
      <c r="AK316" t="s">
        <v>203</v>
      </c>
      <c r="AP316" t="s">
        <v>200</v>
      </c>
      <c r="AR316" s="25"/>
      <c r="AT316" s="25">
        <v>0</v>
      </c>
      <c r="AU316" s="26"/>
      <c r="AV316" s="26"/>
      <c r="AW316" s="26"/>
      <c r="AX316" s="26" t="str">
        <f t="shared" si="12"/>
        <v/>
      </c>
      <c r="AY316" t="str">
        <f t="shared" si="13"/>
        <v/>
      </c>
      <c r="AZ316" t="s">
        <v>200</v>
      </c>
      <c r="BA316" s="3"/>
      <c r="BB316" t="str">
        <f t="shared" si="14"/>
        <v>No scrap rate (No impact);</v>
      </c>
    </row>
    <row r="317" spans="1:54" x14ac:dyDescent="0.3">
      <c r="A317" t="s">
        <v>1617</v>
      </c>
      <c r="B317" t="s">
        <v>1618</v>
      </c>
      <c r="C317" t="s">
        <v>1256</v>
      </c>
      <c r="D317" t="s">
        <v>1257</v>
      </c>
      <c r="G317" t="s">
        <v>1615</v>
      </c>
      <c r="H317" t="s">
        <v>1616</v>
      </c>
      <c r="J317" t="s">
        <v>1046</v>
      </c>
      <c r="L317">
        <v>0</v>
      </c>
      <c r="M317">
        <v>1E-3</v>
      </c>
      <c r="N317" t="s">
        <v>198</v>
      </c>
      <c r="O317">
        <v>1E-3</v>
      </c>
      <c r="P317" t="s">
        <v>198</v>
      </c>
      <c r="Q317" t="s">
        <v>199</v>
      </c>
      <c r="R317" s="3"/>
      <c r="W317" t="s">
        <v>200</v>
      </c>
      <c r="X317" s="25"/>
      <c r="Y317" s="26"/>
      <c r="Z317" s="27"/>
      <c r="AA317" t="s">
        <v>25</v>
      </c>
      <c r="AB317" t="s">
        <v>201</v>
      </c>
      <c r="AC317" s="3"/>
      <c r="AH317" t="s">
        <v>202</v>
      </c>
      <c r="AK317" t="s">
        <v>203</v>
      </c>
      <c r="AP317" t="s">
        <v>200</v>
      </c>
      <c r="AR317" s="25"/>
      <c r="AT317" s="25">
        <v>0</v>
      </c>
      <c r="AU317" s="26"/>
      <c r="AV317" s="26"/>
      <c r="AW317" s="26"/>
      <c r="AX317" s="26" t="str">
        <f t="shared" si="12"/>
        <v/>
      </c>
      <c r="AY317" t="str">
        <f t="shared" si="13"/>
        <v/>
      </c>
      <c r="AZ317" t="s">
        <v>200</v>
      </c>
      <c r="BA317" s="3"/>
      <c r="BB317" t="str">
        <f t="shared" si="14"/>
        <v>No scrap rate (No impact);</v>
      </c>
    </row>
    <row r="318" spans="1:54" x14ac:dyDescent="0.3">
      <c r="A318" t="s">
        <v>1619</v>
      </c>
      <c r="B318" t="s">
        <v>1620</v>
      </c>
      <c r="C318" t="s">
        <v>1256</v>
      </c>
      <c r="D318" t="s">
        <v>1257</v>
      </c>
      <c r="G318" t="s">
        <v>725</v>
      </c>
      <c r="H318" t="s">
        <v>197</v>
      </c>
      <c r="J318" t="s">
        <v>1590</v>
      </c>
      <c r="L318">
        <v>0</v>
      </c>
      <c r="M318">
        <v>3.0000000000000001E-3</v>
      </c>
      <c r="N318" t="s">
        <v>198</v>
      </c>
      <c r="O318">
        <v>3.0000000000000001E-3</v>
      </c>
      <c r="P318" t="s">
        <v>198</v>
      </c>
      <c r="Q318" t="s">
        <v>199</v>
      </c>
      <c r="R318" s="3"/>
      <c r="W318" t="s">
        <v>200</v>
      </c>
      <c r="X318" s="25"/>
      <c r="Y318" s="26"/>
      <c r="Z318" s="27"/>
      <c r="AA318" t="s">
        <v>25</v>
      </c>
      <c r="AB318" t="s">
        <v>201</v>
      </c>
      <c r="AC318" s="3"/>
      <c r="AH318" t="s">
        <v>202</v>
      </c>
      <c r="AK318" t="s">
        <v>203</v>
      </c>
      <c r="AP318" t="s">
        <v>200</v>
      </c>
      <c r="AR318" s="25"/>
      <c r="AT318" s="25">
        <v>0</v>
      </c>
      <c r="AU318" s="26"/>
      <c r="AV318" s="26"/>
      <c r="AW318" s="26"/>
      <c r="AX318" s="26" t="str">
        <f t="shared" si="12"/>
        <v/>
      </c>
      <c r="AY318" t="str">
        <f t="shared" si="13"/>
        <v/>
      </c>
      <c r="AZ318" t="s">
        <v>200</v>
      </c>
      <c r="BA318" s="3"/>
      <c r="BB318" t="str">
        <f t="shared" si="14"/>
        <v>No scrap rate (No impact);</v>
      </c>
    </row>
    <row r="319" spans="1:54" x14ac:dyDescent="0.3">
      <c r="A319" t="s">
        <v>1621</v>
      </c>
      <c r="B319" t="s">
        <v>1622</v>
      </c>
      <c r="C319" t="s">
        <v>1110</v>
      </c>
      <c r="D319" t="s">
        <v>1111</v>
      </c>
      <c r="G319" t="s">
        <v>1112</v>
      </c>
      <c r="H319" t="s">
        <v>1113</v>
      </c>
      <c r="J319" t="s">
        <v>1089</v>
      </c>
      <c r="L319">
        <v>0</v>
      </c>
      <c r="M319">
        <v>0.03</v>
      </c>
      <c r="N319" t="s">
        <v>198</v>
      </c>
      <c r="O319">
        <v>0.03</v>
      </c>
      <c r="P319" t="s">
        <v>198</v>
      </c>
      <c r="Q319" t="s">
        <v>199</v>
      </c>
      <c r="R319" s="3"/>
      <c r="W319" t="s">
        <v>200</v>
      </c>
      <c r="X319" s="25"/>
      <c r="Y319" s="26"/>
      <c r="Z319" s="27"/>
      <c r="AA319" t="s">
        <v>25</v>
      </c>
      <c r="AB319" t="s">
        <v>201</v>
      </c>
      <c r="AC319" s="3"/>
      <c r="AH319" t="s">
        <v>202</v>
      </c>
      <c r="AK319" t="s">
        <v>203</v>
      </c>
      <c r="AP319" t="s">
        <v>200</v>
      </c>
      <c r="AR319" s="25"/>
      <c r="AT319" s="25">
        <v>0</v>
      </c>
      <c r="AU319" s="26"/>
      <c r="AV319" s="26"/>
      <c r="AW319" s="26"/>
      <c r="AX319" s="26" t="str">
        <f t="shared" si="12"/>
        <v/>
      </c>
      <c r="AY319" t="str">
        <f t="shared" si="13"/>
        <v/>
      </c>
      <c r="AZ319" t="s">
        <v>200</v>
      </c>
      <c r="BA319" s="3"/>
      <c r="BB319" t="str">
        <f t="shared" si="14"/>
        <v>No scrap rate (No impact);</v>
      </c>
    </row>
    <row r="320" spans="1:54" x14ac:dyDescent="0.3">
      <c r="A320" t="s">
        <v>1623</v>
      </c>
      <c r="B320" t="s">
        <v>1624</v>
      </c>
      <c r="C320" t="s">
        <v>918</v>
      </c>
      <c r="D320" t="s">
        <v>919</v>
      </c>
      <c r="G320" t="s">
        <v>997</v>
      </c>
      <c r="H320" t="s">
        <v>998</v>
      </c>
      <c r="J320" t="s">
        <v>1046</v>
      </c>
      <c r="L320">
        <v>1</v>
      </c>
      <c r="M320">
        <v>0.27500000000000002</v>
      </c>
      <c r="N320" t="s">
        <v>198</v>
      </c>
      <c r="O320">
        <v>0.27500000000000002</v>
      </c>
      <c r="P320" t="s">
        <v>198</v>
      </c>
      <c r="Q320" t="s">
        <v>199</v>
      </c>
      <c r="R320" s="3"/>
      <c r="W320" t="s">
        <v>200</v>
      </c>
      <c r="X320" s="25"/>
      <c r="Y320" s="26"/>
      <c r="Z320" s="27"/>
      <c r="AA320" t="s">
        <v>25</v>
      </c>
      <c r="AB320" t="s">
        <v>201</v>
      </c>
      <c r="AC320" s="3"/>
      <c r="AH320" t="s">
        <v>202</v>
      </c>
      <c r="AK320" t="s">
        <v>203</v>
      </c>
      <c r="AP320" t="s">
        <v>200</v>
      </c>
      <c r="AR320" s="25"/>
      <c r="AT320" s="25">
        <v>0</v>
      </c>
      <c r="AU320" s="26"/>
      <c r="AV320" s="26"/>
      <c r="AW320" s="26"/>
      <c r="AX320" s="26" t="str">
        <f t="shared" si="12"/>
        <v/>
      </c>
      <c r="AY320" t="str">
        <f t="shared" si="13"/>
        <v/>
      </c>
      <c r="AZ320" t="s">
        <v>200</v>
      </c>
      <c r="BA320" s="3"/>
      <c r="BB320" t="str">
        <f t="shared" si="14"/>
        <v>No scrap rate (No impact);</v>
      </c>
    </row>
    <row r="321" spans="1:54" x14ac:dyDescent="0.3">
      <c r="A321" t="s">
        <v>1625</v>
      </c>
      <c r="B321" t="s">
        <v>1626</v>
      </c>
      <c r="C321" t="s">
        <v>918</v>
      </c>
      <c r="D321" t="s">
        <v>919</v>
      </c>
      <c r="G321" t="s">
        <v>997</v>
      </c>
      <c r="H321" t="s">
        <v>998</v>
      </c>
      <c r="J321" t="s">
        <v>1046</v>
      </c>
      <c r="L321">
        <v>600</v>
      </c>
      <c r="M321">
        <v>0.28799999999999998</v>
      </c>
      <c r="N321" t="s">
        <v>198</v>
      </c>
      <c r="O321">
        <v>0.28799999999999998</v>
      </c>
      <c r="P321" t="s">
        <v>198</v>
      </c>
      <c r="Q321" t="s">
        <v>199</v>
      </c>
      <c r="R321" s="3"/>
      <c r="W321" t="s">
        <v>200</v>
      </c>
      <c r="X321" s="25"/>
      <c r="Y321" s="26"/>
      <c r="Z321" s="27"/>
      <c r="AA321" t="s">
        <v>25</v>
      </c>
      <c r="AB321" t="s">
        <v>201</v>
      </c>
      <c r="AC321" s="3"/>
      <c r="AH321" t="s">
        <v>202</v>
      </c>
      <c r="AK321" t="s">
        <v>203</v>
      </c>
      <c r="AP321" t="s">
        <v>200</v>
      </c>
      <c r="AR321" s="25"/>
      <c r="AT321" s="25">
        <v>0</v>
      </c>
      <c r="AU321" s="26"/>
      <c r="AV321" s="26"/>
      <c r="AW321" s="26"/>
      <c r="AX321" s="26" t="str">
        <f t="shared" si="12"/>
        <v/>
      </c>
      <c r="AY321" t="str">
        <f t="shared" si="13"/>
        <v/>
      </c>
      <c r="AZ321" t="s">
        <v>200</v>
      </c>
      <c r="BA321" s="3"/>
      <c r="BB321" t="str">
        <f t="shared" si="14"/>
        <v>No scrap rate (No impact);</v>
      </c>
    </row>
    <row r="322" spans="1:54" x14ac:dyDescent="0.3">
      <c r="A322" t="s">
        <v>1627</v>
      </c>
      <c r="B322" t="s">
        <v>1628</v>
      </c>
      <c r="C322" t="s">
        <v>1110</v>
      </c>
      <c r="D322" t="s">
        <v>1111</v>
      </c>
      <c r="G322" t="s">
        <v>529</v>
      </c>
      <c r="H322" t="s">
        <v>530</v>
      </c>
      <c r="J322" t="s">
        <v>926</v>
      </c>
      <c r="L322">
        <v>90</v>
      </c>
      <c r="M322">
        <v>0.106</v>
      </c>
      <c r="N322" t="s">
        <v>198</v>
      </c>
      <c r="O322">
        <v>0.106</v>
      </c>
      <c r="P322" t="s">
        <v>198</v>
      </c>
      <c r="Q322" t="s">
        <v>199</v>
      </c>
      <c r="R322" s="3"/>
      <c r="W322" t="s">
        <v>200</v>
      </c>
      <c r="X322" s="25"/>
      <c r="Y322" s="26"/>
      <c r="Z322" s="27"/>
      <c r="AA322" t="s">
        <v>25</v>
      </c>
      <c r="AB322" t="s">
        <v>201</v>
      </c>
      <c r="AC322" s="3"/>
      <c r="AH322" t="s">
        <v>202</v>
      </c>
      <c r="AK322" t="s">
        <v>203</v>
      </c>
      <c r="AP322" t="s">
        <v>200</v>
      </c>
      <c r="AR322" s="25"/>
      <c r="AT322" s="25">
        <v>0</v>
      </c>
      <c r="AU322" s="26"/>
      <c r="AV322" s="26"/>
      <c r="AW322" s="26"/>
      <c r="AX322" s="26" t="str">
        <f t="shared" si="12"/>
        <v/>
      </c>
      <c r="AY322" t="str">
        <f t="shared" si="13"/>
        <v/>
      </c>
      <c r="AZ322" t="s">
        <v>200</v>
      </c>
      <c r="BA322" s="3"/>
      <c r="BB322" t="str">
        <f t="shared" si="14"/>
        <v>No scrap rate (No impact);</v>
      </c>
    </row>
    <row r="323" spans="1:54" x14ac:dyDescent="0.3">
      <c r="A323" t="s">
        <v>1629</v>
      </c>
      <c r="B323" t="s">
        <v>1630</v>
      </c>
      <c r="C323" t="s">
        <v>966</v>
      </c>
      <c r="D323" t="s">
        <v>967</v>
      </c>
      <c r="G323" t="s">
        <v>1116</v>
      </c>
      <c r="H323" t="s">
        <v>1117</v>
      </c>
      <c r="J323" t="s">
        <v>1060</v>
      </c>
      <c r="L323">
        <v>1</v>
      </c>
      <c r="M323">
        <v>5.7000000000000002E-2</v>
      </c>
      <c r="N323" t="s">
        <v>198</v>
      </c>
      <c r="O323">
        <v>5.7000000000000002E-2</v>
      </c>
      <c r="P323" t="s">
        <v>198</v>
      </c>
      <c r="Q323" t="s">
        <v>199</v>
      </c>
      <c r="R323" s="3"/>
      <c r="W323" t="s">
        <v>200</v>
      </c>
      <c r="X323" s="25"/>
      <c r="Y323" s="26"/>
      <c r="Z323" s="27"/>
      <c r="AA323" t="s">
        <v>25</v>
      </c>
      <c r="AB323" t="s">
        <v>201</v>
      </c>
      <c r="AC323" s="3"/>
      <c r="AH323" t="s">
        <v>202</v>
      </c>
      <c r="AK323" t="s">
        <v>203</v>
      </c>
      <c r="AP323" t="s">
        <v>200</v>
      </c>
      <c r="AR323" s="25"/>
      <c r="AT323" s="25">
        <v>0</v>
      </c>
      <c r="AU323" s="26"/>
      <c r="AV323" s="26"/>
      <c r="AW323" s="26"/>
      <c r="AX323" s="26" t="str">
        <f t="shared" ref="AX323:AX386" si="15">IF(COUNT(AU323,AV323,AW323)=0,"",ROUND(AVERAGE(AU323,AV323,AW323),3))</f>
        <v/>
      </c>
      <c r="AY323" t="str">
        <f t="shared" ref="AY323:AY386" si="16">IF(AO323="","",ROUND(AO323*IF(M323="",0,M323)*(1+IF(AR323="",0,AR323)),5))</f>
        <v/>
      </c>
      <c r="AZ323" t="s">
        <v>200</v>
      </c>
      <c r="BA323" s="3"/>
      <c r="BB323" t="str">
        <f t="shared" ref="BB323:BB386" si="17">IF(AND(A323&lt;&gt;"",G323=""),"Supplier code empty (High);","")&amp;IF(AND(X323&lt;&gt;"",OR(X323&gt;1,X323&lt;0)),"Incorrect PDS value (High);",IF(AND(X323&lt;&gt;"",X323&gt;0.5),"High PDS value (Medium);",""))&amp;IF(AND(Y323&lt;&gt;"",OR(Y323&gt;5,Y323&lt;1)),"Incorrect DQR value (High);",IF(AND(Y323&lt;&gt;"",Y323&gt;4),"Incorrect DQR value (Medium);",IF(AND(Y323&lt;&gt;"",Y323&gt;3),"Incorrect DQR value (Low);","")))&amp;IF(AND(V323&lt;&gt;"",OR(V323&lt;=0,V323&gt;100)),"Unusual PCF value might be wrong (High);","")&amp;IF(AND(AT323&lt;&gt;"",OR(AT323&gt;1,AT323&lt;0)),"Incorrect PDS value (High);",IF(AND(AT323&lt;&gt;"",AT323&gt;0.5),"High PDS value (Medium);",""))&amp;IF(AND(AX323&lt;&gt;"",OR(AX323&gt;5,AX323&lt;1)),"Incorrect DQR value (High);",IF(AND(AX323&lt;&gt;"",AX323&gt;4),"Incorrect DQR value (Medium);",IF(AND(AX323&lt;&gt;"",AX323&gt;3),"Incorrect DQR value (Low);","")))&amp;IF(AND(AR323&lt;&gt;"",OR(AR323&gt;1,AR323&lt;0)),"Incorrect scrap rate (High);",IF(AND(A323&lt;&gt;"",AR323=0),"No scrap rate (No impact);",""))&amp;IF(AND(A323&lt;&gt;"",I323="",J323="",K323=""),"No raw material available (High);","")&amp;""</f>
        <v>No scrap rate (No impact);</v>
      </c>
    </row>
    <row r="324" spans="1:54" x14ac:dyDescent="0.3">
      <c r="A324" t="s">
        <v>1631</v>
      </c>
      <c r="B324" t="s">
        <v>1632</v>
      </c>
      <c r="C324" t="s">
        <v>1110</v>
      </c>
      <c r="D324" t="s">
        <v>1111</v>
      </c>
      <c r="G324" t="s">
        <v>1633</v>
      </c>
      <c r="H324" t="s">
        <v>1634</v>
      </c>
      <c r="J324" t="s">
        <v>926</v>
      </c>
      <c r="L324">
        <v>1</v>
      </c>
      <c r="M324">
        <v>0.106</v>
      </c>
      <c r="N324" t="s">
        <v>198</v>
      </c>
      <c r="O324">
        <v>0.106</v>
      </c>
      <c r="P324" t="s">
        <v>198</v>
      </c>
      <c r="Q324" t="s">
        <v>199</v>
      </c>
      <c r="R324" s="3"/>
      <c r="W324" t="s">
        <v>200</v>
      </c>
      <c r="X324" s="25"/>
      <c r="Y324" s="26"/>
      <c r="Z324" s="27"/>
      <c r="AA324" t="s">
        <v>25</v>
      </c>
      <c r="AB324" t="s">
        <v>201</v>
      </c>
      <c r="AC324" s="3"/>
      <c r="AH324" t="s">
        <v>202</v>
      </c>
      <c r="AK324" t="s">
        <v>203</v>
      </c>
      <c r="AP324" t="s">
        <v>200</v>
      </c>
      <c r="AR324" s="25"/>
      <c r="AT324" s="25">
        <v>0</v>
      </c>
      <c r="AU324" s="26"/>
      <c r="AV324" s="26"/>
      <c r="AW324" s="26"/>
      <c r="AX324" s="26" t="str">
        <f t="shared" si="15"/>
        <v/>
      </c>
      <c r="AY324" t="str">
        <f t="shared" si="16"/>
        <v/>
      </c>
      <c r="AZ324" t="s">
        <v>200</v>
      </c>
      <c r="BA324" s="3"/>
      <c r="BB324" t="str">
        <f t="shared" si="17"/>
        <v>No scrap rate (No impact);</v>
      </c>
    </row>
    <row r="325" spans="1:54" x14ac:dyDescent="0.3">
      <c r="A325" t="s">
        <v>1635</v>
      </c>
      <c r="B325" t="s">
        <v>1636</v>
      </c>
      <c r="C325" t="s">
        <v>966</v>
      </c>
      <c r="D325" t="s">
        <v>967</v>
      </c>
      <c r="G325" t="s">
        <v>1120</v>
      </c>
      <c r="H325" t="s">
        <v>1121</v>
      </c>
      <c r="J325" t="s">
        <v>1026</v>
      </c>
      <c r="L325">
        <v>0</v>
      </c>
      <c r="M325">
        <v>6.6000000000000003E-2</v>
      </c>
      <c r="N325" t="s">
        <v>198</v>
      </c>
      <c r="O325">
        <v>6.6000000000000003E-2</v>
      </c>
      <c r="P325" t="s">
        <v>198</v>
      </c>
      <c r="Q325" t="s">
        <v>199</v>
      </c>
      <c r="R325" s="3"/>
      <c r="W325" t="s">
        <v>200</v>
      </c>
      <c r="X325" s="25"/>
      <c r="Y325" s="26"/>
      <c r="Z325" s="27"/>
      <c r="AA325" t="s">
        <v>25</v>
      </c>
      <c r="AB325" t="s">
        <v>201</v>
      </c>
      <c r="AC325" s="3"/>
      <c r="AH325" t="s">
        <v>202</v>
      </c>
      <c r="AK325" t="s">
        <v>203</v>
      </c>
      <c r="AP325" t="s">
        <v>200</v>
      </c>
      <c r="AR325" s="25"/>
      <c r="AT325" s="25">
        <v>0</v>
      </c>
      <c r="AU325" s="26"/>
      <c r="AV325" s="26"/>
      <c r="AW325" s="26"/>
      <c r="AX325" s="26" t="str">
        <f t="shared" si="15"/>
        <v/>
      </c>
      <c r="AY325" t="str">
        <f t="shared" si="16"/>
        <v/>
      </c>
      <c r="AZ325" t="s">
        <v>200</v>
      </c>
      <c r="BA325" s="3"/>
      <c r="BB325" t="str">
        <f t="shared" si="17"/>
        <v>No scrap rate (No impact);</v>
      </c>
    </row>
    <row r="326" spans="1:54" x14ac:dyDescent="0.3">
      <c r="A326" t="s">
        <v>1637</v>
      </c>
      <c r="B326" t="s">
        <v>1638</v>
      </c>
      <c r="C326" t="s">
        <v>1256</v>
      </c>
      <c r="D326" t="s">
        <v>1257</v>
      </c>
      <c r="G326" t="s">
        <v>1583</v>
      </c>
      <c r="H326" t="s">
        <v>1584</v>
      </c>
      <c r="J326" t="s">
        <v>1060</v>
      </c>
      <c r="L326">
        <v>0</v>
      </c>
      <c r="M326">
        <v>2E-3</v>
      </c>
      <c r="N326" t="s">
        <v>198</v>
      </c>
      <c r="O326">
        <v>2E-3</v>
      </c>
      <c r="P326" t="s">
        <v>198</v>
      </c>
      <c r="Q326" t="s">
        <v>199</v>
      </c>
      <c r="R326" s="3"/>
      <c r="W326" t="s">
        <v>200</v>
      </c>
      <c r="X326" s="25"/>
      <c r="Y326" s="26"/>
      <c r="Z326" s="27"/>
      <c r="AA326" t="s">
        <v>25</v>
      </c>
      <c r="AB326" t="s">
        <v>201</v>
      </c>
      <c r="AC326" s="3"/>
      <c r="AH326" t="s">
        <v>202</v>
      </c>
      <c r="AK326" t="s">
        <v>203</v>
      </c>
      <c r="AP326" t="s">
        <v>200</v>
      </c>
      <c r="AR326" s="25"/>
      <c r="AT326" s="25">
        <v>0</v>
      </c>
      <c r="AU326" s="26"/>
      <c r="AV326" s="26"/>
      <c r="AW326" s="26"/>
      <c r="AX326" s="26" t="str">
        <f t="shared" si="15"/>
        <v/>
      </c>
      <c r="AY326" t="str">
        <f t="shared" si="16"/>
        <v/>
      </c>
      <c r="AZ326" t="s">
        <v>200</v>
      </c>
      <c r="BA326" s="3"/>
      <c r="BB326" t="str">
        <f t="shared" si="17"/>
        <v>No scrap rate (No impact);</v>
      </c>
    </row>
    <row r="327" spans="1:54" x14ac:dyDescent="0.3">
      <c r="A327" t="s">
        <v>1639</v>
      </c>
      <c r="B327" t="s">
        <v>1640</v>
      </c>
      <c r="C327" t="s">
        <v>1256</v>
      </c>
      <c r="D327" t="s">
        <v>1257</v>
      </c>
      <c r="G327" t="s">
        <v>1583</v>
      </c>
      <c r="H327" t="s">
        <v>1584</v>
      </c>
      <c r="J327" t="s">
        <v>1060</v>
      </c>
      <c r="L327">
        <v>0</v>
      </c>
      <c r="M327">
        <v>2E-3</v>
      </c>
      <c r="N327" t="s">
        <v>198</v>
      </c>
      <c r="O327">
        <v>2E-3</v>
      </c>
      <c r="P327" t="s">
        <v>198</v>
      </c>
      <c r="Q327" t="s">
        <v>199</v>
      </c>
      <c r="R327" s="3"/>
      <c r="W327" t="s">
        <v>200</v>
      </c>
      <c r="X327" s="25"/>
      <c r="Y327" s="26"/>
      <c r="Z327" s="27"/>
      <c r="AA327" t="s">
        <v>25</v>
      </c>
      <c r="AB327" t="s">
        <v>201</v>
      </c>
      <c r="AC327" s="3"/>
      <c r="AH327" t="s">
        <v>202</v>
      </c>
      <c r="AK327" t="s">
        <v>203</v>
      </c>
      <c r="AP327" t="s">
        <v>200</v>
      </c>
      <c r="AR327" s="25"/>
      <c r="AT327" s="25">
        <v>0</v>
      </c>
      <c r="AU327" s="26"/>
      <c r="AV327" s="26"/>
      <c r="AW327" s="26"/>
      <c r="AX327" s="26" t="str">
        <f t="shared" si="15"/>
        <v/>
      </c>
      <c r="AY327" t="str">
        <f t="shared" si="16"/>
        <v/>
      </c>
      <c r="AZ327" t="s">
        <v>200</v>
      </c>
      <c r="BA327" s="3"/>
      <c r="BB327" t="str">
        <f t="shared" si="17"/>
        <v>No scrap rate (No impact);</v>
      </c>
    </row>
    <row r="328" spans="1:54" x14ac:dyDescent="0.3">
      <c r="A328" t="s">
        <v>1641</v>
      </c>
      <c r="B328" t="s">
        <v>1642</v>
      </c>
      <c r="C328" t="s">
        <v>1110</v>
      </c>
      <c r="D328" t="s">
        <v>1111</v>
      </c>
      <c r="G328" t="s">
        <v>1112</v>
      </c>
      <c r="H328" t="s">
        <v>1113</v>
      </c>
      <c r="J328" t="s">
        <v>1089</v>
      </c>
      <c r="L328">
        <v>1</v>
      </c>
      <c r="M328">
        <v>6.2E-2</v>
      </c>
      <c r="N328" t="s">
        <v>198</v>
      </c>
      <c r="O328">
        <v>6.2E-2</v>
      </c>
      <c r="P328" t="s">
        <v>198</v>
      </c>
      <c r="Q328" t="s">
        <v>199</v>
      </c>
      <c r="R328" s="3"/>
      <c r="W328" t="s">
        <v>200</v>
      </c>
      <c r="X328" s="25"/>
      <c r="Y328" s="26"/>
      <c r="Z328" s="27"/>
      <c r="AA328" t="s">
        <v>25</v>
      </c>
      <c r="AB328" t="s">
        <v>201</v>
      </c>
      <c r="AC328" s="3"/>
      <c r="AH328" t="s">
        <v>202</v>
      </c>
      <c r="AK328" t="s">
        <v>203</v>
      </c>
      <c r="AP328" t="s">
        <v>200</v>
      </c>
      <c r="AR328" s="25"/>
      <c r="AT328" s="25">
        <v>0</v>
      </c>
      <c r="AU328" s="26"/>
      <c r="AV328" s="26"/>
      <c r="AW328" s="26"/>
      <c r="AX328" s="26" t="str">
        <f t="shared" si="15"/>
        <v/>
      </c>
      <c r="AY328" t="str">
        <f t="shared" si="16"/>
        <v/>
      </c>
      <c r="AZ328" t="s">
        <v>200</v>
      </c>
      <c r="BA328" s="3"/>
      <c r="BB328" t="str">
        <f t="shared" si="17"/>
        <v>No scrap rate (No impact);</v>
      </c>
    </row>
    <row r="329" spans="1:54" x14ac:dyDescent="0.3">
      <c r="A329" t="s">
        <v>1643</v>
      </c>
      <c r="B329" t="s">
        <v>1644</v>
      </c>
      <c r="C329" t="s">
        <v>1110</v>
      </c>
      <c r="D329" t="s">
        <v>1111</v>
      </c>
      <c r="G329" t="s">
        <v>1633</v>
      </c>
      <c r="H329" t="s">
        <v>1634</v>
      </c>
      <c r="J329" t="s">
        <v>926</v>
      </c>
      <c r="L329">
        <v>1</v>
      </c>
      <c r="M329">
        <v>0.106</v>
      </c>
      <c r="N329" t="s">
        <v>198</v>
      </c>
      <c r="O329">
        <v>0.106</v>
      </c>
      <c r="P329" t="s">
        <v>198</v>
      </c>
      <c r="Q329" t="s">
        <v>199</v>
      </c>
      <c r="R329" s="3"/>
      <c r="W329" t="s">
        <v>200</v>
      </c>
      <c r="X329" s="25"/>
      <c r="Y329" s="26"/>
      <c r="Z329" s="27"/>
      <c r="AA329" t="s">
        <v>25</v>
      </c>
      <c r="AB329" t="s">
        <v>201</v>
      </c>
      <c r="AC329" s="3"/>
      <c r="AH329" t="s">
        <v>202</v>
      </c>
      <c r="AK329" t="s">
        <v>203</v>
      </c>
      <c r="AP329" t="s">
        <v>200</v>
      </c>
      <c r="AR329" s="25"/>
      <c r="AT329" s="25">
        <v>0</v>
      </c>
      <c r="AU329" s="26"/>
      <c r="AV329" s="26"/>
      <c r="AW329" s="26"/>
      <c r="AX329" s="26" t="str">
        <f t="shared" si="15"/>
        <v/>
      </c>
      <c r="AY329" t="str">
        <f t="shared" si="16"/>
        <v/>
      </c>
      <c r="AZ329" t="s">
        <v>200</v>
      </c>
      <c r="BA329" s="3"/>
      <c r="BB329" t="str">
        <f t="shared" si="17"/>
        <v>No scrap rate (No impact);</v>
      </c>
    </row>
    <row r="330" spans="1:54" x14ac:dyDescent="0.3">
      <c r="A330" t="s">
        <v>1645</v>
      </c>
      <c r="B330" t="s">
        <v>1646</v>
      </c>
      <c r="C330" t="s">
        <v>966</v>
      </c>
      <c r="D330" t="s">
        <v>967</v>
      </c>
      <c r="G330" t="s">
        <v>1647</v>
      </c>
      <c r="H330" t="s">
        <v>1648</v>
      </c>
      <c r="J330" t="s">
        <v>1527</v>
      </c>
      <c r="L330">
        <v>0</v>
      </c>
      <c r="M330">
        <v>1.0999999999999999E-2</v>
      </c>
      <c r="N330" t="s">
        <v>198</v>
      </c>
      <c r="O330">
        <v>1.0999999999999999E-2</v>
      </c>
      <c r="P330" t="s">
        <v>198</v>
      </c>
      <c r="Q330" t="s">
        <v>199</v>
      </c>
      <c r="R330" s="3"/>
      <c r="W330" t="s">
        <v>200</v>
      </c>
      <c r="X330" s="25"/>
      <c r="Y330" s="26"/>
      <c r="Z330" s="27"/>
      <c r="AA330" t="s">
        <v>25</v>
      </c>
      <c r="AB330" t="s">
        <v>201</v>
      </c>
      <c r="AC330" s="3"/>
      <c r="AH330" t="s">
        <v>202</v>
      </c>
      <c r="AK330" t="s">
        <v>203</v>
      </c>
      <c r="AP330" t="s">
        <v>200</v>
      </c>
      <c r="AR330" s="25"/>
      <c r="AT330" s="25">
        <v>0</v>
      </c>
      <c r="AU330" s="26"/>
      <c r="AV330" s="26"/>
      <c r="AW330" s="26"/>
      <c r="AX330" s="26" t="str">
        <f t="shared" si="15"/>
        <v/>
      </c>
      <c r="AY330" t="str">
        <f t="shared" si="16"/>
        <v/>
      </c>
      <c r="AZ330" t="s">
        <v>200</v>
      </c>
      <c r="BA330" s="3"/>
      <c r="BB330" t="str">
        <f t="shared" si="17"/>
        <v>No scrap rate (No impact);</v>
      </c>
    </row>
    <row r="331" spans="1:54" x14ac:dyDescent="0.3">
      <c r="A331" t="s">
        <v>1649</v>
      </c>
      <c r="B331" t="s">
        <v>1650</v>
      </c>
      <c r="C331" t="s">
        <v>1110</v>
      </c>
      <c r="D331" t="s">
        <v>1111</v>
      </c>
      <c r="G331" t="s">
        <v>1633</v>
      </c>
      <c r="H331" t="s">
        <v>1634</v>
      </c>
      <c r="J331" t="s">
        <v>926</v>
      </c>
      <c r="L331">
        <v>1</v>
      </c>
      <c r="M331">
        <v>0.106</v>
      </c>
      <c r="N331" t="s">
        <v>198</v>
      </c>
      <c r="O331">
        <v>0.106</v>
      </c>
      <c r="P331" t="s">
        <v>198</v>
      </c>
      <c r="Q331" t="s">
        <v>199</v>
      </c>
      <c r="R331" s="3"/>
      <c r="W331" t="s">
        <v>200</v>
      </c>
      <c r="X331" s="25"/>
      <c r="Y331" s="26"/>
      <c r="Z331" s="27"/>
      <c r="AA331" t="s">
        <v>25</v>
      </c>
      <c r="AB331" t="s">
        <v>201</v>
      </c>
      <c r="AC331" s="3"/>
      <c r="AH331" t="s">
        <v>202</v>
      </c>
      <c r="AK331" t="s">
        <v>203</v>
      </c>
      <c r="AP331" t="s">
        <v>200</v>
      </c>
      <c r="AR331" s="25"/>
      <c r="AT331" s="25">
        <v>0</v>
      </c>
      <c r="AU331" s="26"/>
      <c r="AV331" s="26"/>
      <c r="AW331" s="26"/>
      <c r="AX331" s="26" t="str">
        <f t="shared" si="15"/>
        <v/>
      </c>
      <c r="AY331" t="str">
        <f t="shared" si="16"/>
        <v/>
      </c>
      <c r="AZ331" t="s">
        <v>200</v>
      </c>
      <c r="BA331" s="3"/>
      <c r="BB331" t="str">
        <f t="shared" si="17"/>
        <v>No scrap rate (No impact);</v>
      </c>
    </row>
    <row r="332" spans="1:54" x14ac:dyDescent="0.3">
      <c r="A332" t="s">
        <v>1651</v>
      </c>
      <c r="B332" t="s">
        <v>1652</v>
      </c>
      <c r="C332" t="s">
        <v>1110</v>
      </c>
      <c r="D332" t="s">
        <v>1111</v>
      </c>
      <c r="G332" t="s">
        <v>1112</v>
      </c>
      <c r="H332" t="s">
        <v>1113</v>
      </c>
      <c r="J332" t="s">
        <v>1089</v>
      </c>
      <c r="L332">
        <v>1</v>
      </c>
      <c r="M332">
        <v>0.03</v>
      </c>
      <c r="N332" t="s">
        <v>198</v>
      </c>
      <c r="O332">
        <v>0.03</v>
      </c>
      <c r="P332" t="s">
        <v>198</v>
      </c>
      <c r="Q332" t="s">
        <v>199</v>
      </c>
      <c r="R332" s="3"/>
      <c r="W332" t="s">
        <v>200</v>
      </c>
      <c r="X332" s="25"/>
      <c r="Y332" s="26"/>
      <c r="Z332" s="27"/>
      <c r="AA332" t="s">
        <v>25</v>
      </c>
      <c r="AB332" t="s">
        <v>201</v>
      </c>
      <c r="AC332" s="3"/>
      <c r="AH332" t="s">
        <v>202</v>
      </c>
      <c r="AK332" t="s">
        <v>203</v>
      </c>
      <c r="AP332" t="s">
        <v>200</v>
      </c>
      <c r="AR332" s="25"/>
      <c r="AT332" s="25">
        <v>0</v>
      </c>
      <c r="AU332" s="26"/>
      <c r="AV332" s="26"/>
      <c r="AW332" s="26"/>
      <c r="AX332" s="26" t="str">
        <f t="shared" si="15"/>
        <v/>
      </c>
      <c r="AY332" t="str">
        <f t="shared" si="16"/>
        <v/>
      </c>
      <c r="AZ332" t="s">
        <v>200</v>
      </c>
      <c r="BA332" s="3"/>
      <c r="BB332" t="str">
        <f t="shared" si="17"/>
        <v>No scrap rate (No impact);</v>
      </c>
    </row>
    <row r="333" spans="1:54" x14ac:dyDescent="0.3">
      <c r="A333" t="s">
        <v>1653</v>
      </c>
      <c r="B333" t="s">
        <v>1654</v>
      </c>
      <c r="C333" t="s">
        <v>1110</v>
      </c>
      <c r="D333" t="s">
        <v>1111</v>
      </c>
      <c r="G333" t="s">
        <v>1655</v>
      </c>
      <c r="H333" t="s">
        <v>1656</v>
      </c>
      <c r="J333" t="s">
        <v>1089</v>
      </c>
      <c r="L333">
        <v>1</v>
      </c>
      <c r="M333">
        <v>0.03</v>
      </c>
      <c r="N333" t="s">
        <v>198</v>
      </c>
      <c r="O333">
        <v>0.03</v>
      </c>
      <c r="P333" t="s">
        <v>198</v>
      </c>
      <c r="Q333" t="s">
        <v>199</v>
      </c>
      <c r="R333" s="3"/>
      <c r="W333" t="s">
        <v>200</v>
      </c>
      <c r="X333" s="25"/>
      <c r="Y333" s="26"/>
      <c r="Z333" s="27"/>
      <c r="AA333" t="s">
        <v>25</v>
      </c>
      <c r="AB333" t="s">
        <v>201</v>
      </c>
      <c r="AC333" s="3"/>
      <c r="AH333" t="s">
        <v>202</v>
      </c>
      <c r="AK333" t="s">
        <v>203</v>
      </c>
      <c r="AP333" t="s">
        <v>200</v>
      </c>
      <c r="AR333" s="25"/>
      <c r="AT333" s="25">
        <v>0</v>
      </c>
      <c r="AU333" s="26"/>
      <c r="AV333" s="26"/>
      <c r="AW333" s="26"/>
      <c r="AX333" s="26" t="str">
        <f t="shared" si="15"/>
        <v/>
      </c>
      <c r="AY333" t="str">
        <f t="shared" si="16"/>
        <v/>
      </c>
      <c r="AZ333" t="s">
        <v>200</v>
      </c>
      <c r="BA333" s="3"/>
      <c r="BB333" t="str">
        <f t="shared" si="17"/>
        <v>No scrap rate (No impact);</v>
      </c>
    </row>
    <row r="334" spans="1:54" x14ac:dyDescent="0.3">
      <c r="A334" t="s">
        <v>1657</v>
      </c>
      <c r="B334" t="s">
        <v>1658</v>
      </c>
      <c r="C334" t="s">
        <v>1110</v>
      </c>
      <c r="D334" t="s">
        <v>1111</v>
      </c>
      <c r="G334" t="s">
        <v>1112</v>
      </c>
      <c r="H334" t="s">
        <v>1113</v>
      </c>
      <c r="J334" t="s">
        <v>1089</v>
      </c>
      <c r="L334">
        <v>1</v>
      </c>
      <c r="M334">
        <v>0.03</v>
      </c>
      <c r="N334" t="s">
        <v>198</v>
      </c>
      <c r="O334">
        <v>0.03</v>
      </c>
      <c r="P334" t="s">
        <v>198</v>
      </c>
      <c r="Q334" t="s">
        <v>199</v>
      </c>
      <c r="R334" s="3"/>
      <c r="W334" t="s">
        <v>200</v>
      </c>
      <c r="X334" s="25"/>
      <c r="Y334" s="26"/>
      <c r="Z334" s="27"/>
      <c r="AA334" t="s">
        <v>25</v>
      </c>
      <c r="AB334" t="s">
        <v>201</v>
      </c>
      <c r="AC334" s="3"/>
      <c r="AH334" t="s">
        <v>202</v>
      </c>
      <c r="AK334" t="s">
        <v>203</v>
      </c>
      <c r="AP334" t="s">
        <v>200</v>
      </c>
      <c r="AR334" s="25"/>
      <c r="AT334" s="25">
        <v>0</v>
      </c>
      <c r="AU334" s="26"/>
      <c r="AV334" s="26"/>
      <c r="AW334" s="26"/>
      <c r="AX334" s="26" t="str">
        <f t="shared" si="15"/>
        <v/>
      </c>
      <c r="AY334" t="str">
        <f t="shared" si="16"/>
        <v/>
      </c>
      <c r="AZ334" t="s">
        <v>200</v>
      </c>
      <c r="BA334" s="3"/>
      <c r="BB334" t="str">
        <f t="shared" si="17"/>
        <v>No scrap rate (No impact);</v>
      </c>
    </row>
    <row r="335" spans="1:54" x14ac:dyDescent="0.3">
      <c r="A335" t="s">
        <v>1659</v>
      </c>
      <c r="B335" t="s">
        <v>1660</v>
      </c>
      <c r="C335" t="s">
        <v>1110</v>
      </c>
      <c r="D335" t="s">
        <v>1111</v>
      </c>
      <c r="G335" t="s">
        <v>1655</v>
      </c>
      <c r="H335" t="s">
        <v>1656</v>
      </c>
      <c r="J335" t="s">
        <v>1089</v>
      </c>
      <c r="L335">
        <v>1</v>
      </c>
      <c r="M335">
        <v>0.03</v>
      </c>
      <c r="N335" t="s">
        <v>198</v>
      </c>
      <c r="O335">
        <v>0.03</v>
      </c>
      <c r="P335" t="s">
        <v>198</v>
      </c>
      <c r="Q335" t="s">
        <v>199</v>
      </c>
      <c r="R335" s="3"/>
      <c r="W335" t="s">
        <v>200</v>
      </c>
      <c r="X335" s="25"/>
      <c r="Y335" s="26"/>
      <c r="Z335" s="27"/>
      <c r="AA335" t="s">
        <v>25</v>
      </c>
      <c r="AB335" t="s">
        <v>201</v>
      </c>
      <c r="AC335" s="3"/>
      <c r="AH335" t="s">
        <v>202</v>
      </c>
      <c r="AK335" t="s">
        <v>203</v>
      </c>
      <c r="AP335" t="s">
        <v>200</v>
      </c>
      <c r="AR335" s="25"/>
      <c r="AT335" s="25">
        <v>0</v>
      </c>
      <c r="AU335" s="26"/>
      <c r="AV335" s="26"/>
      <c r="AW335" s="26"/>
      <c r="AX335" s="26" t="str">
        <f t="shared" si="15"/>
        <v/>
      </c>
      <c r="AY335" t="str">
        <f t="shared" si="16"/>
        <v/>
      </c>
      <c r="AZ335" t="s">
        <v>200</v>
      </c>
      <c r="BA335" s="3"/>
      <c r="BB335" t="str">
        <f t="shared" si="17"/>
        <v>No scrap rate (No impact);</v>
      </c>
    </row>
    <row r="336" spans="1:54" x14ac:dyDescent="0.3">
      <c r="A336" t="s">
        <v>1661</v>
      </c>
      <c r="B336" t="s">
        <v>1662</v>
      </c>
      <c r="C336" t="s">
        <v>1110</v>
      </c>
      <c r="D336" t="s">
        <v>1111</v>
      </c>
      <c r="G336" t="s">
        <v>1655</v>
      </c>
      <c r="H336" t="s">
        <v>1656</v>
      </c>
      <c r="J336" t="s">
        <v>1089</v>
      </c>
      <c r="L336">
        <v>1</v>
      </c>
      <c r="M336">
        <v>0.03</v>
      </c>
      <c r="N336" t="s">
        <v>198</v>
      </c>
      <c r="O336">
        <v>0.03</v>
      </c>
      <c r="P336" t="s">
        <v>198</v>
      </c>
      <c r="Q336" t="s">
        <v>199</v>
      </c>
      <c r="R336" s="3"/>
      <c r="W336" t="s">
        <v>200</v>
      </c>
      <c r="X336" s="25"/>
      <c r="Y336" s="26"/>
      <c r="Z336" s="27"/>
      <c r="AA336" t="s">
        <v>25</v>
      </c>
      <c r="AB336" t="s">
        <v>201</v>
      </c>
      <c r="AC336" s="3"/>
      <c r="AH336" t="s">
        <v>202</v>
      </c>
      <c r="AK336" t="s">
        <v>203</v>
      </c>
      <c r="AP336" t="s">
        <v>200</v>
      </c>
      <c r="AR336" s="25"/>
      <c r="AT336" s="25">
        <v>0</v>
      </c>
      <c r="AU336" s="26"/>
      <c r="AV336" s="26"/>
      <c r="AW336" s="26"/>
      <c r="AX336" s="26" t="str">
        <f t="shared" si="15"/>
        <v/>
      </c>
      <c r="AY336" t="str">
        <f t="shared" si="16"/>
        <v/>
      </c>
      <c r="AZ336" t="s">
        <v>200</v>
      </c>
      <c r="BA336" s="3"/>
      <c r="BB336" t="str">
        <f t="shared" si="17"/>
        <v>No scrap rate (No impact);</v>
      </c>
    </row>
    <row r="337" spans="1:54" x14ac:dyDescent="0.3">
      <c r="A337" t="s">
        <v>1663</v>
      </c>
      <c r="B337" t="s">
        <v>1664</v>
      </c>
      <c r="C337" t="s">
        <v>1110</v>
      </c>
      <c r="D337" t="s">
        <v>1111</v>
      </c>
      <c r="G337" t="s">
        <v>1112</v>
      </c>
      <c r="H337" t="s">
        <v>1113</v>
      </c>
      <c r="J337" t="s">
        <v>1089</v>
      </c>
      <c r="L337">
        <v>1</v>
      </c>
      <c r="M337">
        <v>5.2999999999999999E-2</v>
      </c>
      <c r="N337" t="s">
        <v>198</v>
      </c>
      <c r="O337">
        <v>5.2999999999999999E-2</v>
      </c>
      <c r="P337" t="s">
        <v>198</v>
      </c>
      <c r="Q337" t="s">
        <v>199</v>
      </c>
      <c r="R337" s="3"/>
      <c r="W337" t="s">
        <v>200</v>
      </c>
      <c r="X337" s="25"/>
      <c r="Y337" s="26"/>
      <c r="Z337" s="27"/>
      <c r="AA337" t="s">
        <v>25</v>
      </c>
      <c r="AB337" t="s">
        <v>201</v>
      </c>
      <c r="AC337" s="3"/>
      <c r="AH337" t="s">
        <v>202</v>
      </c>
      <c r="AK337" t="s">
        <v>203</v>
      </c>
      <c r="AP337" t="s">
        <v>200</v>
      </c>
      <c r="AR337" s="25"/>
      <c r="AT337" s="25">
        <v>0</v>
      </c>
      <c r="AU337" s="26"/>
      <c r="AV337" s="26"/>
      <c r="AW337" s="26"/>
      <c r="AX337" s="26" t="str">
        <f t="shared" si="15"/>
        <v/>
      </c>
      <c r="AY337" t="str">
        <f t="shared" si="16"/>
        <v/>
      </c>
      <c r="AZ337" t="s">
        <v>200</v>
      </c>
      <c r="BA337" s="3"/>
      <c r="BB337" t="str">
        <f t="shared" si="17"/>
        <v>No scrap rate (No impact);</v>
      </c>
    </row>
    <row r="338" spans="1:54" x14ac:dyDescent="0.3">
      <c r="A338" t="s">
        <v>1665</v>
      </c>
      <c r="B338" t="s">
        <v>1666</v>
      </c>
      <c r="C338" t="s">
        <v>1110</v>
      </c>
      <c r="D338" t="s">
        <v>1111</v>
      </c>
      <c r="G338" t="s">
        <v>1655</v>
      </c>
      <c r="H338" t="s">
        <v>1656</v>
      </c>
      <c r="J338" t="s">
        <v>1089</v>
      </c>
      <c r="L338">
        <v>1</v>
      </c>
      <c r="M338">
        <v>0.03</v>
      </c>
      <c r="N338" t="s">
        <v>198</v>
      </c>
      <c r="O338">
        <v>0.03</v>
      </c>
      <c r="P338" t="s">
        <v>198</v>
      </c>
      <c r="Q338" t="s">
        <v>199</v>
      </c>
      <c r="R338" s="3"/>
      <c r="W338" t="s">
        <v>200</v>
      </c>
      <c r="X338" s="25"/>
      <c r="Y338" s="26"/>
      <c r="Z338" s="27"/>
      <c r="AA338" t="s">
        <v>25</v>
      </c>
      <c r="AB338" t="s">
        <v>201</v>
      </c>
      <c r="AC338" s="3"/>
      <c r="AH338" t="s">
        <v>202</v>
      </c>
      <c r="AK338" t="s">
        <v>203</v>
      </c>
      <c r="AP338" t="s">
        <v>200</v>
      </c>
      <c r="AR338" s="25"/>
      <c r="AT338" s="25">
        <v>0</v>
      </c>
      <c r="AU338" s="26"/>
      <c r="AV338" s="26"/>
      <c r="AW338" s="26"/>
      <c r="AX338" s="26" t="str">
        <f t="shared" si="15"/>
        <v/>
      </c>
      <c r="AY338" t="str">
        <f t="shared" si="16"/>
        <v/>
      </c>
      <c r="AZ338" t="s">
        <v>200</v>
      </c>
      <c r="BA338" s="3"/>
      <c r="BB338" t="str">
        <f t="shared" si="17"/>
        <v>No scrap rate (No impact);</v>
      </c>
    </row>
    <row r="339" spans="1:54" x14ac:dyDescent="0.3">
      <c r="A339" t="s">
        <v>1667</v>
      </c>
      <c r="B339" t="s">
        <v>1668</v>
      </c>
      <c r="C339" t="s">
        <v>1110</v>
      </c>
      <c r="D339" t="s">
        <v>1111</v>
      </c>
      <c r="G339" t="s">
        <v>1112</v>
      </c>
      <c r="H339" t="s">
        <v>1113</v>
      </c>
      <c r="J339" t="s">
        <v>1089</v>
      </c>
      <c r="L339">
        <v>1</v>
      </c>
      <c r="M339">
        <v>7.4999999999999997E-2</v>
      </c>
      <c r="N339" t="s">
        <v>198</v>
      </c>
      <c r="O339">
        <v>7.4999999999999997E-2</v>
      </c>
      <c r="P339" t="s">
        <v>198</v>
      </c>
      <c r="Q339" t="s">
        <v>199</v>
      </c>
      <c r="R339" s="3"/>
      <c r="W339" t="s">
        <v>200</v>
      </c>
      <c r="X339" s="25"/>
      <c r="Y339" s="26"/>
      <c r="Z339" s="27"/>
      <c r="AA339" t="s">
        <v>25</v>
      </c>
      <c r="AB339" t="s">
        <v>201</v>
      </c>
      <c r="AC339" s="3"/>
      <c r="AH339" t="s">
        <v>202</v>
      </c>
      <c r="AK339" t="s">
        <v>203</v>
      </c>
      <c r="AP339" t="s">
        <v>200</v>
      </c>
      <c r="AR339" s="25"/>
      <c r="AT339" s="25">
        <v>0</v>
      </c>
      <c r="AU339" s="26"/>
      <c r="AV339" s="26"/>
      <c r="AW339" s="26"/>
      <c r="AX339" s="26" t="str">
        <f t="shared" si="15"/>
        <v/>
      </c>
      <c r="AY339" t="str">
        <f t="shared" si="16"/>
        <v/>
      </c>
      <c r="AZ339" t="s">
        <v>200</v>
      </c>
      <c r="BA339" s="3"/>
      <c r="BB339" t="str">
        <f t="shared" si="17"/>
        <v>No scrap rate (No impact);</v>
      </c>
    </row>
    <row r="340" spans="1:54" x14ac:dyDescent="0.3">
      <c r="A340" t="s">
        <v>1669</v>
      </c>
      <c r="B340" t="s">
        <v>1670</v>
      </c>
      <c r="C340" t="s">
        <v>1256</v>
      </c>
      <c r="D340" t="s">
        <v>1257</v>
      </c>
      <c r="G340" t="s">
        <v>392</v>
      </c>
      <c r="H340" t="s">
        <v>393</v>
      </c>
      <c r="L340">
        <v>0</v>
      </c>
      <c r="M340">
        <v>0</v>
      </c>
      <c r="N340" t="s">
        <v>198</v>
      </c>
      <c r="O340">
        <v>0</v>
      </c>
      <c r="P340" t="s">
        <v>198</v>
      </c>
      <c r="Q340" t="s">
        <v>199</v>
      </c>
      <c r="R340" s="3"/>
      <c r="W340" t="s">
        <v>200</v>
      </c>
      <c r="X340" s="25"/>
      <c r="Y340" s="26"/>
      <c r="Z340" s="27"/>
      <c r="AA340" t="s">
        <v>25</v>
      </c>
      <c r="AB340" t="s">
        <v>201</v>
      </c>
      <c r="AC340" s="3"/>
      <c r="AH340" t="s">
        <v>202</v>
      </c>
      <c r="AK340" t="s">
        <v>203</v>
      </c>
      <c r="AP340" t="s">
        <v>200</v>
      </c>
      <c r="AR340" s="25"/>
      <c r="AT340" s="25">
        <v>0</v>
      </c>
      <c r="AU340" s="26"/>
      <c r="AV340" s="26"/>
      <c r="AW340" s="26"/>
      <c r="AX340" s="26" t="str">
        <f t="shared" si="15"/>
        <v/>
      </c>
      <c r="AY340" t="str">
        <f t="shared" si="16"/>
        <v/>
      </c>
      <c r="AZ340" t="s">
        <v>200</v>
      </c>
      <c r="BA340" s="3"/>
      <c r="BB340" t="str">
        <f t="shared" si="17"/>
        <v>No scrap rate (No impact);No raw material available (High);</v>
      </c>
    </row>
    <row r="341" spans="1:54" x14ac:dyDescent="0.3">
      <c r="A341" t="s">
        <v>1671</v>
      </c>
      <c r="B341" t="s">
        <v>1672</v>
      </c>
      <c r="C341" t="s">
        <v>1110</v>
      </c>
      <c r="D341" t="s">
        <v>1111</v>
      </c>
      <c r="G341" t="s">
        <v>1112</v>
      </c>
      <c r="H341" t="s">
        <v>1113</v>
      </c>
      <c r="J341" t="s">
        <v>1089</v>
      </c>
      <c r="L341">
        <v>1</v>
      </c>
      <c r="M341">
        <v>7.4999999999999997E-2</v>
      </c>
      <c r="N341" t="s">
        <v>198</v>
      </c>
      <c r="O341">
        <v>7.4999999999999997E-2</v>
      </c>
      <c r="P341" t="s">
        <v>198</v>
      </c>
      <c r="Q341" t="s">
        <v>199</v>
      </c>
      <c r="R341" s="3"/>
      <c r="W341" t="s">
        <v>200</v>
      </c>
      <c r="X341" s="25"/>
      <c r="Y341" s="26"/>
      <c r="Z341" s="27"/>
      <c r="AA341" t="s">
        <v>25</v>
      </c>
      <c r="AB341" t="s">
        <v>201</v>
      </c>
      <c r="AC341" s="3"/>
      <c r="AH341" t="s">
        <v>202</v>
      </c>
      <c r="AK341" t="s">
        <v>203</v>
      </c>
      <c r="AP341" t="s">
        <v>200</v>
      </c>
      <c r="AR341" s="25"/>
      <c r="AT341" s="25">
        <v>0</v>
      </c>
      <c r="AU341" s="26"/>
      <c r="AV341" s="26"/>
      <c r="AW341" s="26"/>
      <c r="AX341" s="26" t="str">
        <f t="shared" si="15"/>
        <v/>
      </c>
      <c r="AY341" t="str">
        <f t="shared" si="16"/>
        <v/>
      </c>
      <c r="AZ341" t="s">
        <v>200</v>
      </c>
      <c r="BA341" s="3"/>
      <c r="BB341" t="str">
        <f t="shared" si="17"/>
        <v>No scrap rate (No impact);</v>
      </c>
    </row>
    <row r="342" spans="1:54" x14ac:dyDescent="0.3">
      <c r="A342" t="s">
        <v>1673</v>
      </c>
      <c r="B342" t="s">
        <v>1674</v>
      </c>
      <c r="C342" t="s">
        <v>1110</v>
      </c>
      <c r="D342" t="s">
        <v>1111</v>
      </c>
      <c r="G342" t="s">
        <v>1655</v>
      </c>
      <c r="H342" t="s">
        <v>1656</v>
      </c>
      <c r="J342" t="s">
        <v>1089</v>
      </c>
      <c r="L342">
        <v>1</v>
      </c>
      <c r="M342">
        <v>0.03</v>
      </c>
      <c r="N342" t="s">
        <v>198</v>
      </c>
      <c r="O342">
        <v>0.03</v>
      </c>
      <c r="P342" t="s">
        <v>198</v>
      </c>
      <c r="Q342" t="s">
        <v>199</v>
      </c>
      <c r="R342" s="3"/>
      <c r="W342" t="s">
        <v>200</v>
      </c>
      <c r="X342" s="25"/>
      <c r="Y342" s="26"/>
      <c r="Z342" s="27"/>
      <c r="AA342" t="s">
        <v>25</v>
      </c>
      <c r="AB342" t="s">
        <v>201</v>
      </c>
      <c r="AC342" s="3"/>
      <c r="AH342" t="s">
        <v>202</v>
      </c>
      <c r="AK342" t="s">
        <v>203</v>
      </c>
      <c r="AP342" t="s">
        <v>200</v>
      </c>
      <c r="AR342" s="25"/>
      <c r="AT342" s="25">
        <v>0</v>
      </c>
      <c r="AU342" s="26"/>
      <c r="AV342" s="26"/>
      <c r="AW342" s="26"/>
      <c r="AX342" s="26" t="str">
        <f t="shared" si="15"/>
        <v/>
      </c>
      <c r="AY342" t="str">
        <f t="shared" si="16"/>
        <v/>
      </c>
      <c r="AZ342" t="s">
        <v>200</v>
      </c>
      <c r="BA342" s="3"/>
      <c r="BB342" t="str">
        <f t="shared" si="17"/>
        <v>No scrap rate (No impact);</v>
      </c>
    </row>
    <row r="343" spans="1:54" x14ac:dyDescent="0.3">
      <c r="A343" t="s">
        <v>1675</v>
      </c>
      <c r="B343" t="s">
        <v>1676</v>
      </c>
      <c r="C343" t="s">
        <v>1256</v>
      </c>
      <c r="D343" t="s">
        <v>1257</v>
      </c>
      <c r="G343" t="s">
        <v>1583</v>
      </c>
      <c r="H343" t="s">
        <v>1584</v>
      </c>
      <c r="J343" t="s">
        <v>1060</v>
      </c>
      <c r="L343">
        <v>1</v>
      </c>
      <c r="M343">
        <v>8.0000000000000002E-3</v>
      </c>
      <c r="N343" t="s">
        <v>198</v>
      </c>
      <c r="O343">
        <v>8.0000000000000002E-3</v>
      </c>
      <c r="P343" t="s">
        <v>198</v>
      </c>
      <c r="Q343" t="s">
        <v>199</v>
      </c>
      <c r="R343" s="3"/>
      <c r="W343" t="s">
        <v>200</v>
      </c>
      <c r="X343" s="25"/>
      <c r="Y343" s="26"/>
      <c r="Z343" s="27"/>
      <c r="AA343" t="s">
        <v>25</v>
      </c>
      <c r="AB343" t="s">
        <v>201</v>
      </c>
      <c r="AC343" s="3"/>
      <c r="AH343" t="s">
        <v>202</v>
      </c>
      <c r="AK343" t="s">
        <v>203</v>
      </c>
      <c r="AP343" t="s">
        <v>200</v>
      </c>
      <c r="AR343" s="25"/>
      <c r="AT343" s="25">
        <v>0</v>
      </c>
      <c r="AU343" s="26"/>
      <c r="AV343" s="26"/>
      <c r="AW343" s="26"/>
      <c r="AX343" s="26" t="str">
        <f t="shared" si="15"/>
        <v/>
      </c>
      <c r="AY343" t="str">
        <f t="shared" si="16"/>
        <v/>
      </c>
      <c r="AZ343" t="s">
        <v>200</v>
      </c>
      <c r="BA343" s="3"/>
      <c r="BB343" t="str">
        <f t="shared" si="17"/>
        <v>No scrap rate (No impact);</v>
      </c>
    </row>
    <row r="344" spans="1:54" x14ac:dyDescent="0.3">
      <c r="A344" t="s">
        <v>1677</v>
      </c>
      <c r="B344" t="s">
        <v>1678</v>
      </c>
      <c r="C344" t="s">
        <v>918</v>
      </c>
      <c r="D344" t="s">
        <v>919</v>
      </c>
      <c r="G344" t="s">
        <v>402</v>
      </c>
      <c r="H344" t="s">
        <v>403</v>
      </c>
      <c r="J344" t="s">
        <v>1679</v>
      </c>
      <c r="L344">
        <v>0</v>
      </c>
      <c r="M344">
        <v>2E-3</v>
      </c>
      <c r="N344" t="s">
        <v>198</v>
      </c>
      <c r="O344">
        <v>2E-3</v>
      </c>
      <c r="P344" t="s">
        <v>198</v>
      </c>
      <c r="Q344" t="s">
        <v>199</v>
      </c>
      <c r="R344" s="3"/>
      <c r="W344" t="s">
        <v>200</v>
      </c>
      <c r="X344" s="25"/>
      <c r="Y344" s="26"/>
      <c r="Z344" s="27"/>
      <c r="AA344" t="s">
        <v>25</v>
      </c>
      <c r="AB344" t="s">
        <v>201</v>
      </c>
      <c r="AC344" s="3"/>
      <c r="AH344" t="s">
        <v>202</v>
      </c>
      <c r="AK344" t="s">
        <v>203</v>
      </c>
      <c r="AP344" t="s">
        <v>200</v>
      </c>
      <c r="AR344" s="25"/>
      <c r="AT344" s="25">
        <v>0</v>
      </c>
      <c r="AU344" s="26"/>
      <c r="AV344" s="26"/>
      <c r="AW344" s="26"/>
      <c r="AX344" s="26" t="str">
        <f t="shared" si="15"/>
        <v/>
      </c>
      <c r="AY344" t="str">
        <f t="shared" si="16"/>
        <v/>
      </c>
      <c r="AZ344" t="s">
        <v>200</v>
      </c>
      <c r="BA344" s="3"/>
      <c r="BB344" t="str">
        <f t="shared" si="17"/>
        <v>No scrap rate (No impact);</v>
      </c>
    </row>
    <row r="345" spans="1:54" x14ac:dyDescent="0.3">
      <c r="A345" t="s">
        <v>1680</v>
      </c>
      <c r="B345" t="s">
        <v>1681</v>
      </c>
      <c r="C345" t="s">
        <v>1110</v>
      </c>
      <c r="D345" t="s">
        <v>1111</v>
      </c>
      <c r="G345" t="s">
        <v>402</v>
      </c>
      <c r="H345" t="s">
        <v>403</v>
      </c>
      <c r="J345" t="s">
        <v>1089</v>
      </c>
      <c r="L345">
        <v>0</v>
      </c>
      <c r="M345">
        <v>1.4999999999999999E-2</v>
      </c>
      <c r="N345" t="s">
        <v>198</v>
      </c>
      <c r="O345">
        <v>1.4999999999999999E-2</v>
      </c>
      <c r="P345" t="s">
        <v>198</v>
      </c>
      <c r="Q345" t="s">
        <v>199</v>
      </c>
      <c r="R345" s="3"/>
      <c r="W345" t="s">
        <v>200</v>
      </c>
      <c r="X345" s="25"/>
      <c r="Y345" s="26"/>
      <c r="Z345" s="27"/>
      <c r="AA345" t="s">
        <v>25</v>
      </c>
      <c r="AB345" t="s">
        <v>201</v>
      </c>
      <c r="AC345" s="3"/>
      <c r="AH345" t="s">
        <v>202</v>
      </c>
      <c r="AK345" t="s">
        <v>203</v>
      </c>
      <c r="AP345" t="s">
        <v>200</v>
      </c>
      <c r="AR345" s="25"/>
      <c r="AT345" s="25">
        <v>0</v>
      </c>
      <c r="AU345" s="26"/>
      <c r="AV345" s="26"/>
      <c r="AW345" s="26"/>
      <c r="AX345" s="26" t="str">
        <f t="shared" si="15"/>
        <v/>
      </c>
      <c r="AY345" t="str">
        <f t="shared" si="16"/>
        <v/>
      </c>
      <c r="AZ345" t="s">
        <v>200</v>
      </c>
      <c r="BA345" s="3"/>
      <c r="BB345" t="str">
        <f t="shared" si="17"/>
        <v>No scrap rate (No impact);</v>
      </c>
    </row>
    <row r="346" spans="1:54" x14ac:dyDescent="0.3">
      <c r="A346" t="s">
        <v>1682</v>
      </c>
      <c r="B346" t="s">
        <v>1683</v>
      </c>
      <c r="C346" t="s">
        <v>946</v>
      </c>
      <c r="D346" t="s">
        <v>947</v>
      </c>
      <c r="G346" t="s">
        <v>402</v>
      </c>
      <c r="H346" t="s">
        <v>403</v>
      </c>
      <c r="J346" t="s">
        <v>926</v>
      </c>
      <c r="L346">
        <v>0</v>
      </c>
      <c r="M346">
        <v>0.253</v>
      </c>
      <c r="N346" t="s">
        <v>198</v>
      </c>
      <c r="O346">
        <v>0.253</v>
      </c>
      <c r="P346" t="s">
        <v>198</v>
      </c>
      <c r="Q346" t="s">
        <v>199</v>
      </c>
      <c r="R346" s="3"/>
      <c r="W346" t="s">
        <v>200</v>
      </c>
      <c r="X346" s="25"/>
      <c r="Y346" s="26"/>
      <c r="Z346" s="27"/>
      <c r="AA346" t="s">
        <v>25</v>
      </c>
      <c r="AB346" t="s">
        <v>201</v>
      </c>
      <c r="AC346" s="3"/>
      <c r="AH346" t="s">
        <v>202</v>
      </c>
      <c r="AK346" t="s">
        <v>203</v>
      </c>
      <c r="AP346" t="s">
        <v>200</v>
      </c>
      <c r="AR346" s="25"/>
      <c r="AT346" s="25">
        <v>0</v>
      </c>
      <c r="AU346" s="26"/>
      <c r="AV346" s="26"/>
      <c r="AW346" s="26"/>
      <c r="AX346" s="26" t="str">
        <f t="shared" si="15"/>
        <v/>
      </c>
      <c r="AY346" t="str">
        <f t="shared" si="16"/>
        <v/>
      </c>
      <c r="AZ346" t="s">
        <v>200</v>
      </c>
      <c r="BA346" s="3"/>
      <c r="BB346" t="str">
        <f t="shared" si="17"/>
        <v>No scrap rate (No impact);</v>
      </c>
    </row>
    <row r="347" spans="1:54" x14ac:dyDescent="0.3">
      <c r="A347" t="s">
        <v>1684</v>
      </c>
      <c r="B347" t="s">
        <v>1685</v>
      </c>
      <c r="C347" t="s">
        <v>1110</v>
      </c>
      <c r="D347" t="s">
        <v>1111</v>
      </c>
      <c r="G347" t="s">
        <v>1686</v>
      </c>
      <c r="H347" t="s">
        <v>1687</v>
      </c>
      <c r="J347" t="s">
        <v>1688</v>
      </c>
      <c r="L347">
        <v>0</v>
      </c>
      <c r="M347">
        <v>8.0000000000000002E-3</v>
      </c>
      <c r="N347" t="s">
        <v>198</v>
      </c>
      <c r="O347">
        <v>8.0000000000000002E-3</v>
      </c>
      <c r="P347" t="s">
        <v>198</v>
      </c>
      <c r="Q347" t="s">
        <v>199</v>
      </c>
      <c r="R347" s="3"/>
      <c r="W347" t="s">
        <v>200</v>
      </c>
      <c r="X347" s="25"/>
      <c r="Y347" s="26"/>
      <c r="Z347" s="27"/>
      <c r="AA347" t="s">
        <v>25</v>
      </c>
      <c r="AB347" t="s">
        <v>201</v>
      </c>
      <c r="AC347" s="3"/>
      <c r="AH347" t="s">
        <v>202</v>
      </c>
      <c r="AK347" t="s">
        <v>203</v>
      </c>
      <c r="AP347" t="s">
        <v>200</v>
      </c>
      <c r="AR347" s="25"/>
      <c r="AT347" s="25">
        <v>0</v>
      </c>
      <c r="AU347" s="26"/>
      <c r="AV347" s="26"/>
      <c r="AW347" s="26"/>
      <c r="AX347" s="26" t="str">
        <f t="shared" si="15"/>
        <v/>
      </c>
      <c r="AY347" t="str">
        <f t="shared" si="16"/>
        <v/>
      </c>
      <c r="AZ347" t="s">
        <v>200</v>
      </c>
      <c r="BA347" s="3"/>
      <c r="BB347" t="str">
        <f t="shared" si="17"/>
        <v>No scrap rate (No impact);</v>
      </c>
    </row>
    <row r="348" spans="1:54" x14ac:dyDescent="0.3">
      <c r="A348" t="s">
        <v>1689</v>
      </c>
      <c r="B348" t="s">
        <v>1690</v>
      </c>
      <c r="C348" t="s">
        <v>1110</v>
      </c>
      <c r="D348" t="s">
        <v>1111</v>
      </c>
      <c r="G348" t="s">
        <v>1686</v>
      </c>
      <c r="H348" t="s">
        <v>1687</v>
      </c>
      <c r="J348" t="s">
        <v>1089</v>
      </c>
      <c r="L348">
        <v>0</v>
      </c>
      <c r="M348">
        <v>0.01</v>
      </c>
      <c r="N348" t="s">
        <v>198</v>
      </c>
      <c r="O348">
        <v>0.01</v>
      </c>
      <c r="P348" t="s">
        <v>198</v>
      </c>
      <c r="Q348" t="s">
        <v>199</v>
      </c>
      <c r="R348" s="3"/>
      <c r="W348" t="s">
        <v>200</v>
      </c>
      <c r="X348" s="25"/>
      <c r="Y348" s="26"/>
      <c r="Z348" s="27"/>
      <c r="AA348" t="s">
        <v>25</v>
      </c>
      <c r="AB348" t="s">
        <v>201</v>
      </c>
      <c r="AC348" s="3"/>
      <c r="AH348" t="s">
        <v>202</v>
      </c>
      <c r="AK348" t="s">
        <v>203</v>
      </c>
      <c r="AP348" t="s">
        <v>200</v>
      </c>
      <c r="AR348" s="25"/>
      <c r="AT348" s="25">
        <v>0</v>
      </c>
      <c r="AU348" s="26"/>
      <c r="AV348" s="26"/>
      <c r="AW348" s="26"/>
      <c r="AX348" s="26" t="str">
        <f t="shared" si="15"/>
        <v/>
      </c>
      <c r="AY348" t="str">
        <f t="shared" si="16"/>
        <v/>
      </c>
      <c r="AZ348" t="s">
        <v>200</v>
      </c>
      <c r="BA348" s="3"/>
      <c r="BB348" t="str">
        <f t="shared" si="17"/>
        <v>No scrap rate (No impact);</v>
      </c>
    </row>
    <row r="349" spans="1:54" x14ac:dyDescent="0.3">
      <c r="A349" t="s">
        <v>1691</v>
      </c>
      <c r="B349" t="s">
        <v>1692</v>
      </c>
      <c r="C349" t="s">
        <v>946</v>
      </c>
      <c r="D349" t="s">
        <v>947</v>
      </c>
      <c r="G349" t="s">
        <v>1686</v>
      </c>
      <c r="H349" t="s">
        <v>1687</v>
      </c>
      <c r="J349" t="s">
        <v>926</v>
      </c>
      <c r="L349">
        <v>0</v>
      </c>
      <c r="M349">
        <v>0.2</v>
      </c>
      <c r="N349" t="s">
        <v>198</v>
      </c>
      <c r="O349">
        <v>0.2</v>
      </c>
      <c r="P349" t="s">
        <v>198</v>
      </c>
      <c r="Q349" t="s">
        <v>199</v>
      </c>
      <c r="R349" s="3"/>
      <c r="W349" t="s">
        <v>200</v>
      </c>
      <c r="X349" s="25"/>
      <c r="Y349" s="26"/>
      <c r="Z349" s="27"/>
      <c r="AA349" t="s">
        <v>25</v>
      </c>
      <c r="AB349" t="s">
        <v>201</v>
      </c>
      <c r="AC349" s="3"/>
      <c r="AH349" t="s">
        <v>202</v>
      </c>
      <c r="AK349" t="s">
        <v>203</v>
      </c>
      <c r="AP349" t="s">
        <v>200</v>
      </c>
      <c r="AR349" s="25"/>
      <c r="AT349" s="25">
        <v>0</v>
      </c>
      <c r="AU349" s="26"/>
      <c r="AV349" s="26"/>
      <c r="AW349" s="26"/>
      <c r="AX349" s="26" t="str">
        <f t="shared" si="15"/>
        <v/>
      </c>
      <c r="AY349" t="str">
        <f t="shared" si="16"/>
        <v/>
      </c>
      <c r="AZ349" t="s">
        <v>200</v>
      </c>
      <c r="BA349" s="3"/>
      <c r="BB349" t="str">
        <f t="shared" si="17"/>
        <v>No scrap rate (No impact);</v>
      </c>
    </row>
    <row r="350" spans="1:54" x14ac:dyDescent="0.3">
      <c r="A350" t="s">
        <v>1693</v>
      </c>
      <c r="B350" t="s">
        <v>1694</v>
      </c>
      <c r="C350" t="s">
        <v>1110</v>
      </c>
      <c r="D350" t="s">
        <v>1111</v>
      </c>
      <c r="G350" t="s">
        <v>1686</v>
      </c>
      <c r="H350" t="s">
        <v>1687</v>
      </c>
      <c r="J350" t="s">
        <v>1089</v>
      </c>
      <c r="L350">
        <v>0</v>
      </c>
      <c r="M350">
        <v>1.7999999999999999E-2</v>
      </c>
      <c r="N350" t="s">
        <v>198</v>
      </c>
      <c r="O350">
        <v>1.7999999999999999E-2</v>
      </c>
      <c r="P350" t="s">
        <v>198</v>
      </c>
      <c r="Q350" t="s">
        <v>199</v>
      </c>
      <c r="R350" s="3"/>
      <c r="W350" t="s">
        <v>200</v>
      </c>
      <c r="X350" s="25"/>
      <c r="Y350" s="26"/>
      <c r="Z350" s="27"/>
      <c r="AA350" t="s">
        <v>25</v>
      </c>
      <c r="AB350" t="s">
        <v>201</v>
      </c>
      <c r="AC350" s="3"/>
      <c r="AH350" t="s">
        <v>202</v>
      </c>
      <c r="AK350" t="s">
        <v>203</v>
      </c>
      <c r="AP350" t="s">
        <v>200</v>
      </c>
      <c r="AR350" s="25"/>
      <c r="AT350" s="25">
        <v>0</v>
      </c>
      <c r="AU350" s="26"/>
      <c r="AV350" s="26"/>
      <c r="AW350" s="26"/>
      <c r="AX350" s="26" t="str">
        <f t="shared" si="15"/>
        <v/>
      </c>
      <c r="AY350" t="str">
        <f t="shared" si="16"/>
        <v/>
      </c>
      <c r="AZ350" t="s">
        <v>200</v>
      </c>
      <c r="BA350" s="3"/>
      <c r="BB350" t="str">
        <f t="shared" si="17"/>
        <v>No scrap rate (No impact);</v>
      </c>
    </row>
    <row r="351" spans="1:54" x14ac:dyDescent="0.3">
      <c r="A351" t="s">
        <v>1695</v>
      </c>
      <c r="B351" t="s">
        <v>1696</v>
      </c>
      <c r="C351" t="s">
        <v>946</v>
      </c>
      <c r="D351" t="s">
        <v>947</v>
      </c>
      <c r="G351" t="s">
        <v>1686</v>
      </c>
      <c r="H351" t="s">
        <v>1687</v>
      </c>
      <c r="J351" t="s">
        <v>926</v>
      </c>
      <c r="L351">
        <v>0</v>
      </c>
      <c r="M351">
        <v>0.27900000000000003</v>
      </c>
      <c r="N351" t="s">
        <v>198</v>
      </c>
      <c r="O351">
        <v>0.27900000000000003</v>
      </c>
      <c r="P351" t="s">
        <v>198</v>
      </c>
      <c r="Q351" t="s">
        <v>199</v>
      </c>
      <c r="R351" s="3"/>
      <c r="W351" t="s">
        <v>200</v>
      </c>
      <c r="X351" s="25"/>
      <c r="Y351" s="26"/>
      <c r="Z351" s="27"/>
      <c r="AA351" t="s">
        <v>25</v>
      </c>
      <c r="AB351" t="s">
        <v>201</v>
      </c>
      <c r="AC351" s="3"/>
      <c r="AH351" t="s">
        <v>202</v>
      </c>
      <c r="AK351" t="s">
        <v>203</v>
      </c>
      <c r="AP351" t="s">
        <v>200</v>
      </c>
      <c r="AR351" s="25"/>
      <c r="AT351" s="25">
        <v>0</v>
      </c>
      <c r="AU351" s="26"/>
      <c r="AV351" s="26"/>
      <c r="AW351" s="26"/>
      <c r="AX351" s="26" t="str">
        <f t="shared" si="15"/>
        <v/>
      </c>
      <c r="AY351" t="str">
        <f t="shared" si="16"/>
        <v/>
      </c>
      <c r="AZ351" t="s">
        <v>200</v>
      </c>
      <c r="BA351" s="3"/>
      <c r="BB351" t="str">
        <f t="shared" si="17"/>
        <v>No scrap rate (No impact);</v>
      </c>
    </row>
    <row r="352" spans="1:54" x14ac:dyDescent="0.3">
      <c r="A352" t="s">
        <v>1697</v>
      </c>
      <c r="B352" t="s">
        <v>1698</v>
      </c>
      <c r="C352" t="s">
        <v>966</v>
      </c>
      <c r="D352" t="s">
        <v>967</v>
      </c>
      <c r="G352" t="s">
        <v>1055</v>
      </c>
      <c r="H352" t="s">
        <v>1056</v>
      </c>
      <c r="J352" t="s">
        <v>1060</v>
      </c>
      <c r="L352">
        <v>1</v>
      </c>
      <c r="M352">
        <v>3.0000000000000001E-3</v>
      </c>
      <c r="N352" t="s">
        <v>198</v>
      </c>
      <c r="O352">
        <v>3.0000000000000001E-3</v>
      </c>
      <c r="P352" t="s">
        <v>198</v>
      </c>
      <c r="Q352" t="s">
        <v>199</v>
      </c>
      <c r="R352" s="3"/>
      <c r="W352" t="s">
        <v>200</v>
      </c>
      <c r="X352" s="25"/>
      <c r="Y352" s="26"/>
      <c r="Z352" s="27"/>
      <c r="AA352" t="s">
        <v>25</v>
      </c>
      <c r="AB352" t="s">
        <v>201</v>
      </c>
      <c r="AC352" s="3"/>
      <c r="AH352" t="s">
        <v>202</v>
      </c>
      <c r="AK352" t="s">
        <v>203</v>
      </c>
      <c r="AP352" t="s">
        <v>200</v>
      </c>
      <c r="AR352" s="25"/>
      <c r="AT352" s="25">
        <v>0</v>
      </c>
      <c r="AU352" s="26"/>
      <c r="AV352" s="26"/>
      <c r="AW352" s="26"/>
      <c r="AX352" s="26" t="str">
        <f t="shared" si="15"/>
        <v/>
      </c>
      <c r="AY352" t="str">
        <f t="shared" si="16"/>
        <v/>
      </c>
      <c r="AZ352" t="s">
        <v>200</v>
      </c>
      <c r="BA352" s="3"/>
      <c r="BB352" t="str">
        <f t="shared" si="17"/>
        <v>No scrap rate (No impact);</v>
      </c>
    </row>
    <row r="353" spans="1:54" x14ac:dyDescent="0.3">
      <c r="A353" t="s">
        <v>1699</v>
      </c>
      <c r="B353" t="s">
        <v>1700</v>
      </c>
      <c r="C353" t="s">
        <v>966</v>
      </c>
      <c r="D353" t="s">
        <v>967</v>
      </c>
      <c r="G353" t="s">
        <v>1601</v>
      </c>
      <c r="H353" t="s">
        <v>1602</v>
      </c>
      <c r="J353" t="s">
        <v>1475</v>
      </c>
      <c r="L353">
        <v>1</v>
      </c>
      <c r="M353">
        <v>6.0000000000000001E-3</v>
      </c>
      <c r="N353" t="s">
        <v>198</v>
      </c>
      <c r="O353">
        <v>6.0000000000000001E-3</v>
      </c>
      <c r="P353" t="s">
        <v>198</v>
      </c>
      <c r="Q353" t="s">
        <v>199</v>
      </c>
      <c r="R353" s="3"/>
      <c r="W353" t="s">
        <v>200</v>
      </c>
      <c r="X353" s="25"/>
      <c r="Y353" s="26"/>
      <c r="Z353" s="27"/>
      <c r="AA353" t="s">
        <v>25</v>
      </c>
      <c r="AB353" t="s">
        <v>201</v>
      </c>
      <c r="AC353" s="3"/>
      <c r="AH353" t="s">
        <v>202</v>
      </c>
      <c r="AK353" t="s">
        <v>203</v>
      </c>
      <c r="AP353" t="s">
        <v>200</v>
      </c>
      <c r="AR353" s="25"/>
      <c r="AT353" s="25">
        <v>0</v>
      </c>
      <c r="AU353" s="26"/>
      <c r="AV353" s="26"/>
      <c r="AW353" s="26"/>
      <c r="AX353" s="26" t="str">
        <f t="shared" si="15"/>
        <v/>
      </c>
      <c r="AY353" t="str">
        <f t="shared" si="16"/>
        <v/>
      </c>
      <c r="AZ353" t="s">
        <v>200</v>
      </c>
      <c r="BA353" s="3"/>
      <c r="BB353" t="str">
        <f t="shared" si="17"/>
        <v>No scrap rate (No impact);</v>
      </c>
    </row>
    <row r="354" spans="1:54" x14ac:dyDescent="0.3">
      <c r="A354" t="s">
        <v>1701</v>
      </c>
      <c r="B354" t="s">
        <v>1702</v>
      </c>
      <c r="C354" t="s">
        <v>1256</v>
      </c>
      <c r="D354" t="s">
        <v>1257</v>
      </c>
      <c r="G354" t="s">
        <v>288</v>
      </c>
      <c r="H354" t="s">
        <v>289</v>
      </c>
      <c r="J354" t="s">
        <v>1590</v>
      </c>
      <c r="L354">
        <v>0</v>
      </c>
      <c r="M354">
        <v>2E-3</v>
      </c>
      <c r="N354" t="s">
        <v>198</v>
      </c>
      <c r="O354">
        <v>2E-3</v>
      </c>
      <c r="P354" t="s">
        <v>198</v>
      </c>
      <c r="Q354" t="s">
        <v>199</v>
      </c>
      <c r="R354" s="3"/>
      <c r="W354" t="s">
        <v>200</v>
      </c>
      <c r="X354" s="25"/>
      <c r="Y354" s="26"/>
      <c r="Z354" s="27"/>
      <c r="AA354" t="s">
        <v>25</v>
      </c>
      <c r="AB354" t="s">
        <v>201</v>
      </c>
      <c r="AC354" s="3"/>
      <c r="AH354" t="s">
        <v>202</v>
      </c>
      <c r="AK354" t="s">
        <v>203</v>
      </c>
      <c r="AP354" t="s">
        <v>200</v>
      </c>
      <c r="AR354" s="25"/>
      <c r="AT354" s="25">
        <v>0</v>
      </c>
      <c r="AU354" s="26"/>
      <c r="AV354" s="26"/>
      <c r="AW354" s="26"/>
      <c r="AX354" s="26" t="str">
        <f t="shared" si="15"/>
        <v/>
      </c>
      <c r="AY354" t="str">
        <f t="shared" si="16"/>
        <v/>
      </c>
      <c r="AZ354" t="s">
        <v>200</v>
      </c>
      <c r="BA354" s="3"/>
      <c r="BB354" t="str">
        <f t="shared" si="17"/>
        <v>No scrap rate (No impact);</v>
      </c>
    </row>
    <row r="355" spans="1:54" x14ac:dyDescent="0.3">
      <c r="A355" t="s">
        <v>1703</v>
      </c>
      <c r="B355" t="s">
        <v>1704</v>
      </c>
      <c r="C355" t="s">
        <v>1256</v>
      </c>
      <c r="D355" t="s">
        <v>1257</v>
      </c>
      <c r="G355" t="s">
        <v>288</v>
      </c>
      <c r="H355" t="s">
        <v>289</v>
      </c>
      <c r="J355" t="s">
        <v>1590</v>
      </c>
      <c r="L355">
        <v>0</v>
      </c>
      <c r="M355">
        <v>2E-3</v>
      </c>
      <c r="N355" t="s">
        <v>198</v>
      </c>
      <c r="O355">
        <v>2E-3</v>
      </c>
      <c r="P355" t="s">
        <v>198</v>
      </c>
      <c r="Q355" t="s">
        <v>199</v>
      </c>
      <c r="R355" s="3"/>
      <c r="W355" t="s">
        <v>200</v>
      </c>
      <c r="X355" s="25"/>
      <c r="Y355" s="26"/>
      <c r="Z355" s="27"/>
      <c r="AA355" t="s">
        <v>25</v>
      </c>
      <c r="AB355" t="s">
        <v>201</v>
      </c>
      <c r="AC355" s="3"/>
      <c r="AH355" t="s">
        <v>202</v>
      </c>
      <c r="AK355" t="s">
        <v>203</v>
      </c>
      <c r="AP355" t="s">
        <v>200</v>
      </c>
      <c r="AR355" s="25"/>
      <c r="AT355" s="25">
        <v>0</v>
      </c>
      <c r="AU355" s="26"/>
      <c r="AV355" s="26"/>
      <c r="AW355" s="26"/>
      <c r="AX355" s="26" t="str">
        <f t="shared" si="15"/>
        <v/>
      </c>
      <c r="AY355" t="str">
        <f t="shared" si="16"/>
        <v/>
      </c>
      <c r="AZ355" t="s">
        <v>200</v>
      </c>
      <c r="BA355" s="3"/>
      <c r="BB355" t="str">
        <f t="shared" si="17"/>
        <v>No scrap rate (No impact);</v>
      </c>
    </row>
    <row r="356" spans="1:54" x14ac:dyDescent="0.3">
      <c r="A356" t="s">
        <v>1705</v>
      </c>
      <c r="B356" t="s">
        <v>1706</v>
      </c>
      <c r="C356" t="s">
        <v>1256</v>
      </c>
      <c r="D356" t="s">
        <v>1257</v>
      </c>
      <c r="G356" t="s">
        <v>288</v>
      </c>
      <c r="H356" t="s">
        <v>289</v>
      </c>
      <c r="J356" t="s">
        <v>1590</v>
      </c>
      <c r="L356">
        <v>0</v>
      </c>
      <c r="M356">
        <v>1E-3</v>
      </c>
      <c r="N356" t="s">
        <v>198</v>
      </c>
      <c r="O356">
        <v>1E-3</v>
      </c>
      <c r="P356" t="s">
        <v>198</v>
      </c>
      <c r="Q356" t="s">
        <v>199</v>
      </c>
      <c r="R356" s="3"/>
      <c r="W356" t="s">
        <v>200</v>
      </c>
      <c r="X356" s="25"/>
      <c r="Y356" s="26"/>
      <c r="Z356" s="27"/>
      <c r="AA356" t="s">
        <v>25</v>
      </c>
      <c r="AB356" t="s">
        <v>201</v>
      </c>
      <c r="AC356" s="3"/>
      <c r="AH356" t="s">
        <v>202</v>
      </c>
      <c r="AK356" t="s">
        <v>203</v>
      </c>
      <c r="AP356" t="s">
        <v>200</v>
      </c>
      <c r="AR356" s="25"/>
      <c r="AT356" s="25">
        <v>0</v>
      </c>
      <c r="AU356" s="26"/>
      <c r="AV356" s="26"/>
      <c r="AW356" s="26"/>
      <c r="AX356" s="26" t="str">
        <f t="shared" si="15"/>
        <v/>
      </c>
      <c r="AY356" t="str">
        <f t="shared" si="16"/>
        <v/>
      </c>
      <c r="AZ356" t="s">
        <v>200</v>
      </c>
      <c r="BA356" s="3"/>
      <c r="BB356" t="str">
        <f t="shared" si="17"/>
        <v>No scrap rate (No impact);</v>
      </c>
    </row>
    <row r="357" spans="1:54" x14ac:dyDescent="0.3">
      <c r="A357" t="s">
        <v>1707</v>
      </c>
      <c r="B357" t="s">
        <v>1708</v>
      </c>
      <c r="C357" t="s">
        <v>1256</v>
      </c>
      <c r="D357" t="s">
        <v>1257</v>
      </c>
      <c r="G357" t="s">
        <v>288</v>
      </c>
      <c r="H357" t="s">
        <v>289</v>
      </c>
      <c r="J357" t="s">
        <v>1590</v>
      </c>
      <c r="L357">
        <v>0</v>
      </c>
      <c r="M357">
        <v>3.0000000000000001E-3</v>
      </c>
      <c r="N357" t="s">
        <v>198</v>
      </c>
      <c r="O357">
        <v>3.0000000000000001E-3</v>
      </c>
      <c r="P357" t="s">
        <v>198</v>
      </c>
      <c r="Q357" t="s">
        <v>199</v>
      </c>
      <c r="R357" s="3"/>
      <c r="W357" t="s">
        <v>200</v>
      </c>
      <c r="X357" s="25"/>
      <c r="Y357" s="26"/>
      <c r="Z357" s="27"/>
      <c r="AA357" t="s">
        <v>25</v>
      </c>
      <c r="AB357" t="s">
        <v>201</v>
      </c>
      <c r="AC357" s="3"/>
      <c r="AH357" t="s">
        <v>202</v>
      </c>
      <c r="AK357" t="s">
        <v>203</v>
      </c>
      <c r="AP357" t="s">
        <v>200</v>
      </c>
      <c r="AR357" s="25"/>
      <c r="AT357" s="25">
        <v>0</v>
      </c>
      <c r="AU357" s="26"/>
      <c r="AV357" s="26"/>
      <c r="AW357" s="26"/>
      <c r="AX357" s="26" t="str">
        <f t="shared" si="15"/>
        <v/>
      </c>
      <c r="AY357" t="str">
        <f t="shared" si="16"/>
        <v/>
      </c>
      <c r="AZ357" t="s">
        <v>200</v>
      </c>
      <c r="BA357" s="3"/>
      <c r="BB357" t="str">
        <f t="shared" si="17"/>
        <v>No scrap rate (No impact);</v>
      </c>
    </row>
    <row r="358" spans="1:54" x14ac:dyDescent="0.3">
      <c r="A358" t="s">
        <v>1709</v>
      </c>
      <c r="B358" t="s">
        <v>1710</v>
      </c>
      <c r="C358" t="s">
        <v>966</v>
      </c>
      <c r="D358" t="s">
        <v>967</v>
      </c>
      <c r="G358" t="s">
        <v>1647</v>
      </c>
      <c r="H358" t="s">
        <v>1648</v>
      </c>
      <c r="J358" t="s">
        <v>1527</v>
      </c>
      <c r="L358">
        <v>4000</v>
      </c>
      <c r="M358">
        <v>8.1000000000000003E-2</v>
      </c>
      <c r="N358" t="s">
        <v>198</v>
      </c>
      <c r="O358">
        <v>8.1000000000000003E-2</v>
      </c>
      <c r="P358" t="s">
        <v>198</v>
      </c>
      <c r="Q358" t="s">
        <v>199</v>
      </c>
      <c r="R358" s="3"/>
      <c r="W358" t="s">
        <v>200</v>
      </c>
      <c r="X358" s="25"/>
      <c r="Y358" s="26"/>
      <c r="Z358" s="27"/>
      <c r="AA358" t="s">
        <v>25</v>
      </c>
      <c r="AB358" t="s">
        <v>201</v>
      </c>
      <c r="AC358" s="3"/>
      <c r="AH358" t="s">
        <v>202</v>
      </c>
      <c r="AK358" t="s">
        <v>203</v>
      </c>
      <c r="AP358" t="s">
        <v>200</v>
      </c>
      <c r="AR358" s="25"/>
      <c r="AT358" s="25">
        <v>0</v>
      </c>
      <c r="AU358" s="26"/>
      <c r="AV358" s="26"/>
      <c r="AW358" s="26"/>
      <c r="AX358" s="26" t="str">
        <f t="shared" si="15"/>
        <v/>
      </c>
      <c r="AY358" t="str">
        <f t="shared" si="16"/>
        <v/>
      </c>
      <c r="AZ358" t="s">
        <v>200</v>
      </c>
      <c r="BA358" s="3"/>
      <c r="BB358" t="str">
        <f t="shared" si="17"/>
        <v>No scrap rate (No impact);</v>
      </c>
    </row>
    <row r="359" spans="1:54" x14ac:dyDescent="0.3">
      <c r="A359" t="s">
        <v>1711</v>
      </c>
      <c r="B359" t="s">
        <v>1712</v>
      </c>
      <c r="C359" t="s">
        <v>966</v>
      </c>
      <c r="D359" t="s">
        <v>967</v>
      </c>
      <c r="G359" t="s">
        <v>1647</v>
      </c>
      <c r="H359" t="s">
        <v>1648</v>
      </c>
      <c r="J359" t="s">
        <v>1527</v>
      </c>
      <c r="L359">
        <v>0</v>
      </c>
      <c r="M359">
        <v>0.105</v>
      </c>
      <c r="N359" t="s">
        <v>198</v>
      </c>
      <c r="O359">
        <v>0.105</v>
      </c>
      <c r="P359" t="s">
        <v>198</v>
      </c>
      <c r="Q359" t="s">
        <v>199</v>
      </c>
      <c r="R359" s="3"/>
      <c r="W359" t="s">
        <v>200</v>
      </c>
      <c r="X359" s="25"/>
      <c r="Y359" s="26"/>
      <c r="Z359" s="27"/>
      <c r="AA359" t="s">
        <v>25</v>
      </c>
      <c r="AB359" t="s">
        <v>201</v>
      </c>
      <c r="AC359" s="3"/>
      <c r="AH359" t="s">
        <v>202</v>
      </c>
      <c r="AK359" t="s">
        <v>203</v>
      </c>
      <c r="AP359" t="s">
        <v>200</v>
      </c>
      <c r="AR359" s="25"/>
      <c r="AT359" s="25">
        <v>0</v>
      </c>
      <c r="AU359" s="26"/>
      <c r="AV359" s="26"/>
      <c r="AW359" s="26"/>
      <c r="AX359" s="26" t="str">
        <f t="shared" si="15"/>
        <v/>
      </c>
      <c r="AY359" t="str">
        <f t="shared" si="16"/>
        <v/>
      </c>
      <c r="AZ359" t="s">
        <v>200</v>
      </c>
      <c r="BA359" s="3"/>
      <c r="BB359" t="str">
        <f t="shared" si="17"/>
        <v>No scrap rate (No impact);</v>
      </c>
    </row>
    <row r="360" spans="1:54" x14ac:dyDescent="0.3">
      <c r="A360" t="s">
        <v>1713</v>
      </c>
      <c r="B360" t="s">
        <v>1714</v>
      </c>
      <c r="C360" t="s">
        <v>1256</v>
      </c>
      <c r="D360" t="s">
        <v>1257</v>
      </c>
      <c r="G360" t="s">
        <v>517</v>
      </c>
      <c r="H360" t="s">
        <v>518</v>
      </c>
      <c r="J360" t="s">
        <v>1590</v>
      </c>
      <c r="L360">
        <v>0</v>
      </c>
      <c r="M360">
        <v>3.0000000000000001E-3</v>
      </c>
      <c r="N360" t="s">
        <v>198</v>
      </c>
      <c r="O360">
        <v>3.0000000000000001E-3</v>
      </c>
      <c r="P360" t="s">
        <v>198</v>
      </c>
      <c r="Q360" t="s">
        <v>199</v>
      </c>
      <c r="R360" s="3"/>
      <c r="W360" t="s">
        <v>200</v>
      </c>
      <c r="X360" s="25"/>
      <c r="Y360" s="26"/>
      <c r="Z360" s="27"/>
      <c r="AA360" t="s">
        <v>25</v>
      </c>
      <c r="AB360" t="s">
        <v>201</v>
      </c>
      <c r="AC360" s="3"/>
      <c r="AH360" t="s">
        <v>202</v>
      </c>
      <c r="AK360" t="s">
        <v>203</v>
      </c>
      <c r="AP360" t="s">
        <v>200</v>
      </c>
      <c r="AR360" s="25"/>
      <c r="AT360" s="25">
        <v>0</v>
      </c>
      <c r="AU360" s="26"/>
      <c r="AV360" s="26"/>
      <c r="AW360" s="26"/>
      <c r="AX360" s="26" t="str">
        <f t="shared" si="15"/>
        <v/>
      </c>
      <c r="AY360" t="str">
        <f t="shared" si="16"/>
        <v/>
      </c>
      <c r="AZ360" t="s">
        <v>200</v>
      </c>
      <c r="BA360" s="3"/>
      <c r="BB360" t="str">
        <f t="shared" si="17"/>
        <v>No scrap rate (No impact);</v>
      </c>
    </row>
    <row r="361" spans="1:54" x14ac:dyDescent="0.3">
      <c r="A361" t="s">
        <v>1715</v>
      </c>
      <c r="B361" t="s">
        <v>1716</v>
      </c>
      <c r="C361" t="s">
        <v>1256</v>
      </c>
      <c r="D361" t="s">
        <v>1257</v>
      </c>
      <c r="G361" t="s">
        <v>392</v>
      </c>
      <c r="H361" t="s">
        <v>393</v>
      </c>
      <c r="J361" t="s">
        <v>1590</v>
      </c>
      <c r="L361">
        <v>0</v>
      </c>
      <c r="M361">
        <v>4.0000000000000001E-3</v>
      </c>
      <c r="N361" t="s">
        <v>198</v>
      </c>
      <c r="O361">
        <v>4.0000000000000001E-3</v>
      </c>
      <c r="P361" t="s">
        <v>198</v>
      </c>
      <c r="Q361" t="s">
        <v>199</v>
      </c>
      <c r="R361" s="3"/>
      <c r="W361" t="s">
        <v>200</v>
      </c>
      <c r="X361" s="25"/>
      <c r="Y361" s="26"/>
      <c r="Z361" s="27"/>
      <c r="AA361" t="s">
        <v>25</v>
      </c>
      <c r="AB361" t="s">
        <v>201</v>
      </c>
      <c r="AC361" s="3"/>
      <c r="AH361" t="s">
        <v>202</v>
      </c>
      <c r="AK361" t="s">
        <v>203</v>
      </c>
      <c r="AP361" t="s">
        <v>200</v>
      </c>
      <c r="AR361" s="25"/>
      <c r="AT361" s="25">
        <v>0</v>
      </c>
      <c r="AU361" s="26"/>
      <c r="AV361" s="26"/>
      <c r="AW361" s="26"/>
      <c r="AX361" s="26" t="str">
        <f t="shared" si="15"/>
        <v/>
      </c>
      <c r="AY361" t="str">
        <f t="shared" si="16"/>
        <v/>
      </c>
      <c r="AZ361" t="s">
        <v>200</v>
      </c>
      <c r="BA361" s="3"/>
      <c r="BB361" t="str">
        <f t="shared" si="17"/>
        <v>No scrap rate (No impact);</v>
      </c>
    </row>
    <row r="362" spans="1:54" x14ac:dyDescent="0.3">
      <c r="A362" t="s">
        <v>1717</v>
      </c>
      <c r="B362" t="s">
        <v>1718</v>
      </c>
      <c r="C362" t="s">
        <v>966</v>
      </c>
      <c r="D362" t="s">
        <v>967</v>
      </c>
      <c r="G362" t="s">
        <v>1120</v>
      </c>
      <c r="H362" t="s">
        <v>1121</v>
      </c>
      <c r="J362" t="s">
        <v>1060</v>
      </c>
      <c r="L362">
        <v>0</v>
      </c>
      <c r="M362">
        <v>0.19600000000000001</v>
      </c>
      <c r="N362" t="s">
        <v>198</v>
      </c>
      <c r="O362">
        <v>0.19600000000000001</v>
      </c>
      <c r="P362" t="s">
        <v>198</v>
      </c>
      <c r="Q362" t="s">
        <v>199</v>
      </c>
      <c r="R362" s="3"/>
      <c r="W362" t="s">
        <v>200</v>
      </c>
      <c r="X362" s="25"/>
      <c r="Y362" s="26"/>
      <c r="Z362" s="27"/>
      <c r="AA362" t="s">
        <v>25</v>
      </c>
      <c r="AB362" t="s">
        <v>201</v>
      </c>
      <c r="AC362" s="3"/>
      <c r="AH362" t="s">
        <v>202</v>
      </c>
      <c r="AK362" t="s">
        <v>203</v>
      </c>
      <c r="AP362" t="s">
        <v>200</v>
      </c>
      <c r="AR362" s="25"/>
      <c r="AT362" s="25">
        <v>0</v>
      </c>
      <c r="AU362" s="26"/>
      <c r="AV362" s="26"/>
      <c r="AW362" s="26"/>
      <c r="AX362" s="26" t="str">
        <f t="shared" si="15"/>
        <v/>
      </c>
      <c r="AY362" t="str">
        <f t="shared" si="16"/>
        <v/>
      </c>
      <c r="AZ362" t="s">
        <v>200</v>
      </c>
      <c r="BA362" s="3"/>
      <c r="BB362" t="str">
        <f t="shared" si="17"/>
        <v>No scrap rate (No impact);</v>
      </c>
    </row>
    <row r="363" spans="1:54" x14ac:dyDescent="0.3">
      <c r="A363" t="s">
        <v>1719</v>
      </c>
      <c r="B363" t="s">
        <v>1720</v>
      </c>
      <c r="C363" t="s">
        <v>966</v>
      </c>
      <c r="D363" t="s">
        <v>967</v>
      </c>
      <c r="G363" t="s">
        <v>1721</v>
      </c>
      <c r="H363" t="s">
        <v>1722</v>
      </c>
      <c r="J363" t="s">
        <v>1060</v>
      </c>
      <c r="L363">
        <v>1</v>
      </c>
      <c r="M363">
        <v>8.7999999999999995E-2</v>
      </c>
      <c r="N363" t="s">
        <v>198</v>
      </c>
      <c r="O363">
        <v>8.7999999999999995E-2</v>
      </c>
      <c r="P363" t="s">
        <v>198</v>
      </c>
      <c r="Q363" t="s">
        <v>199</v>
      </c>
      <c r="R363" s="3"/>
      <c r="W363" t="s">
        <v>200</v>
      </c>
      <c r="X363" s="25"/>
      <c r="Y363" s="26"/>
      <c r="Z363" s="27"/>
      <c r="AA363" t="s">
        <v>25</v>
      </c>
      <c r="AB363" t="s">
        <v>201</v>
      </c>
      <c r="AC363" s="3"/>
      <c r="AH363" t="s">
        <v>202</v>
      </c>
      <c r="AK363" t="s">
        <v>203</v>
      </c>
      <c r="AP363" t="s">
        <v>200</v>
      </c>
      <c r="AR363" s="25"/>
      <c r="AT363" s="25">
        <v>0</v>
      </c>
      <c r="AU363" s="26"/>
      <c r="AV363" s="26"/>
      <c r="AW363" s="26"/>
      <c r="AX363" s="26" t="str">
        <f t="shared" si="15"/>
        <v/>
      </c>
      <c r="AY363" t="str">
        <f t="shared" si="16"/>
        <v/>
      </c>
      <c r="AZ363" t="s">
        <v>200</v>
      </c>
      <c r="BA363" s="3"/>
      <c r="BB363" t="str">
        <f t="shared" si="17"/>
        <v>No scrap rate (No impact);</v>
      </c>
    </row>
    <row r="364" spans="1:54" x14ac:dyDescent="0.3">
      <c r="A364" t="s">
        <v>1723</v>
      </c>
      <c r="B364" t="s">
        <v>1724</v>
      </c>
      <c r="C364" t="s">
        <v>966</v>
      </c>
      <c r="D364" t="s">
        <v>967</v>
      </c>
      <c r="G364" t="s">
        <v>1078</v>
      </c>
      <c r="H364" t="s">
        <v>1079</v>
      </c>
      <c r="J364" t="s">
        <v>1080</v>
      </c>
      <c r="L364">
        <v>385</v>
      </c>
      <c r="M364">
        <v>4.0000000000000001E-3</v>
      </c>
      <c r="N364" t="s">
        <v>198</v>
      </c>
      <c r="O364">
        <v>4.0000000000000001E-3</v>
      </c>
      <c r="P364" t="s">
        <v>198</v>
      </c>
      <c r="Q364" t="s">
        <v>199</v>
      </c>
      <c r="R364" s="3"/>
      <c r="W364" t="s">
        <v>200</v>
      </c>
      <c r="X364" s="25"/>
      <c r="Y364" s="26"/>
      <c r="Z364" s="27"/>
      <c r="AA364" t="s">
        <v>25</v>
      </c>
      <c r="AB364" t="s">
        <v>201</v>
      </c>
      <c r="AC364" s="3"/>
      <c r="AH364" t="s">
        <v>202</v>
      </c>
      <c r="AK364" t="s">
        <v>203</v>
      </c>
      <c r="AP364" t="s">
        <v>200</v>
      </c>
      <c r="AR364" s="25"/>
      <c r="AT364" s="25">
        <v>0</v>
      </c>
      <c r="AU364" s="26"/>
      <c r="AV364" s="26"/>
      <c r="AW364" s="26"/>
      <c r="AX364" s="26" t="str">
        <f t="shared" si="15"/>
        <v/>
      </c>
      <c r="AY364" t="str">
        <f t="shared" si="16"/>
        <v/>
      </c>
      <c r="AZ364" t="s">
        <v>200</v>
      </c>
      <c r="BA364" s="3"/>
      <c r="BB364" t="str">
        <f t="shared" si="17"/>
        <v>No scrap rate (No impact);</v>
      </c>
    </row>
    <row r="365" spans="1:54" x14ac:dyDescent="0.3">
      <c r="A365" t="s">
        <v>1725</v>
      </c>
      <c r="B365" t="s">
        <v>1726</v>
      </c>
      <c r="C365" t="s">
        <v>1110</v>
      </c>
      <c r="D365" t="s">
        <v>1111</v>
      </c>
      <c r="G365" t="s">
        <v>1112</v>
      </c>
      <c r="H365" t="s">
        <v>1113</v>
      </c>
      <c r="J365" t="s">
        <v>1089</v>
      </c>
      <c r="L365">
        <v>1</v>
      </c>
      <c r="M365">
        <v>6.2E-2</v>
      </c>
      <c r="N365" t="s">
        <v>198</v>
      </c>
      <c r="O365">
        <v>6.2E-2</v>
      </c>
      <c r="P365" t="s">
        <v>198</v>
      </c>
      <c r="Q365" t="s">
        <v>199</v>
      </c>
      <c r="R365" s="3"/>
      <c r="W365" t="s">
        <v>200</v>
      </c>
      <c r="X365" s="25"/>
      <c r="Y365" s="26"/>
      <c r="Z365" s="27"/>
      <c r="AA365" t="s">
        <v>25</v>
      </c>
      <c r="AB365" t="s">
        <v>201</v>
      </c>
      <c r="AC365" s="3"/>
      <c r="AH365" t="s">
        <v>202</v>
      </c>
      <c r="AK365" t="s">
        <v>203</v>
      </c>
      <c r="AP365" t="s">
        <v>200</v>
      </c>
      <c r="AR365" s="25"/>
      <c r="AT365" s="25">
        <v>0</v>
      </c>
      <c r="AU365" s="26"/>
      <c r="AV365" s="26"/>
      <c r="AW365" s="26"/>
      <c r="AX365" s="26" t="str">
        <f t="shared" si="15"/>
        <v/>
      </c>
      <c r="AY365" t="str">
        <f t="shared" si="16"/>
        <v/>
      </c>
      <c r="AZ365" t="s">
        <v>200</v>
      </c>
      <c r="BA365" s="3"/>
      <c r="BB365" t="str">
        <f t="shared" si="17"/>
        <v>No scrap rate (No impact);</v>
      </c>
    </row>
    <row r="366" spans="1:54" x14ac:dyDescent="0.3">
      <c r="A366" t="s">
        <v>1727</v>
      </c>
      <c r="B366" t="s">
        <v>1728</v>
      </c>
      <c r="C366" t="s">
        <v>1256</v>
      </c>
      <c r="D366" t="s">
        <v>1257</v>
      </c>
      <c r="G366" t="s">
        <v>725</v>
      </c>
      <c r="H366" t="s">
        <v>197</v>
      </c>
      <c r="J366" t="s">
        <v>1590</v>
      </c>
      <c r="L366">
        <v>0</v>
      </c>
      <c r="M366">
        <v>3.0000000000000001E-3</v>
      </c>
      <c r="N366" t="s">
        <v>198</v>
      </c>
      <c r="O366">
        <v>3.0000000000000001E-3</v>
      </c>
      <c r="P366" t="s">
        <v>198</v>
      </c>
      <c r="Q366" t="s">
        <v>199</v>
      </c>
      <c r="R366" s="3"/>
      <c r="W366" t="s">
        <v>200</v>
      </c>
      <c r="X366" s="25"/>
      <c r="Y366" s="26"/>
      <c r="Z366" s="27"/>
      <c r="AA366" t="s">
        <v>25</v>
      </c>
      <c r="AB366" t="s">
        <v>201</v>
      </c>
      <c r="AC366" s="3"/>
      <c r="AH366" t="s">
        <v>202</v>
      </c>
      <c r="AK366" t="s">
        <v>203</v>
      </c>
      <c r="AP366" t="s">
        <v>200</v>
      </c>
      <c r="AR366" s="25"/>
      <c r="AT366" s="25">
        <v>0</v>
      </c>
      <c r="AU366" s="26"/>
      <c r="AV366" s="26"/>
      <c r="AW366" s="26"/>
      <c r="AX366" s="26" t="str">
        <f t="shared" si="15"/>
        <v/>
      </c>
      <c r="AY366" t="str">
        <f t="shared" si="16"/>
        <v/>
      </c>
      <c r="AZ366" t="s">
        <v>200</v>
      </c>
      <c r="BA366" s="3"/>
      <c r="BB366" t="str">
        <f t="shared" si="17"/>
        <v>No scrap rate (No impact);</v>
      </c>
    </row>
    <row r="367" spans="1:54" x14ac:dyDescent="0.3">
      <c r="A367" t="s">
        <v>1729</v>
      </c>
      <c r="B367" t="s">
        <v>1730</v>
      </c>
      <c r="C367" t="s">
        <v>1256</v>
      </c>
      <c r="D367" t="s">
        <v>1257</v>
      </c>
      <c r="G367" t="s">
        <v>1731</v>
      </c>
      <c r="H367" t="s">
        <v>1732</v>
      </c>
      <c r="J367" t="s">
        <v>1046</v>
      </c>
      <c r="L367">
        <v>0</v>
      </c>
      <c r="M367">
        <v>0</v>
      </c>
      <c r="N367" t="s">
        <v>198</v>
      </c>
      <c r="O367">
        <v>0</v>
      </c>
      <c r="P367" t="s">
        <v>198</v>
      </c>
      <c r="Q367" t="s">
        <v>199</v>
      </c>
      <c r="R367" s="3"/>
      <c r="W367" t="s">
        <v>200</v>
      </c>
      <c r="X367" s="25"/>
      <c r="Y367" s="26"/>
      <c r="Z367" s="27"/>
      <c r="AA367" t="s">
        <v>25</v>
      </c>
      <c r="AB367" t="s">
        <v>201</v>
      </c>
      <c r="AC367" s="3"/>
      <c r="AH367" t="s">
        <v>202</v>
      </c>
      <c r="AK367" t="s">
        <v>203</v>
      </c>
      <c r="AP367" t="s">
        <v>200</v>
      </c>
      <c r="AR367" s="25"/>
      <c r="AT367" s="25">
        <v>0</v>
      </c>
      <c r="AU367" s="26"/>
      <c r="AV367" s="26"/>
      <c r="AW367" s="26"/>
      <c r="AX367" s="26" t="str">
        <f t="shared" si="15"/>
        <v/>
      </c>
      <c r="AY367" t="str">
        <f t="shared" si="16"/>
        <v/>
      </c>
      <c r="AZ367" t="s">
        <v>200</v>
      </c>
      <c r="BA367" s="3"/>
      <c r="BB367" t="str">
        <f t="shared" si="17"/>
        <v>No scrap rate (No impact);</v>
      </c>
    </row>
    <row r="368" spans="1:54" x14ac:dyDescent="0.3">
      <c r="A368" t="s">
        <v>1733</v>
      </c>
      <c r="B368" t="s">
        <v>1734</v>
      </c>
      <c r="C368" t="s">
        <v>1256</v>
      </c>
      <c r="D368" t="s">
        <v>1257</v>
      </c>
      <c r="G368" t="s">
        <v>1731</v>
      </c>
      <c r="H368" t="s">
        <v>1732</v>
      </c>
      <c r="J368" t="s">
        <v>1046</v>
      </c>
      <c r="L368">
        <v>0</v>
      </c>
      <c r="M368">
        <v>1.4E-2</v>
      </c>
      <c r="N368" t="s">
        <v>198</v>
      </c>
      <c r="O368">
        <v>1.4E-2</v>
      </c>
      <c r="P368" t="s">
        <v>198</v>
      </c>
      <c r="Q368" t="s">
        <v>199</v>
      </c>
      <c r="R368" s="3"/>
      <c r="W368" t="s">
        <v>200</v>
      </c>
      <c r="X368" s="25"/>
      <c r="Y368" s="26"/>
      <c r="Z368" s="27"/>
      <c r="AA368" t="s">
        <v>25</v>
      </c>
      <c r="AB368" t="s">
        <v>201</v>
      </c>
      <c r="AC368" s="3"/>
      <c r="AH368" t="s">
        <v>202</v>
      </c>
      <c r="AK368" t="s">
        <v>203</v>
      </c>
      <c r="AP368" t="s">
        <v>200</v>
      </c>
      <c r="AR368" s="25"/>
      <c r="AT368" s="25">
        <v>0</v>
      </c>
      <c r="AU368" s="26"/>
      <c r="AV368" s="26"/>
      <c r="AW368" s="26"/>
      <c r="AX368" s="26" t="str">
        <f t="shared" si="15"/>
        <v/>
      </c>
      <c r="AY368" t="str">
        <f t="shared" si="16"/>
        <v/>
      </c>
      <c r="AZ368" t="s">
        <v>200</v>
      </c>
      <c r="BA368" s="3"/>
      <c r="BB368" t="str">
        <f t="shared" si="17"/>
        <v>No scrap rate (No impact);</v>
      </c>
    </row>
    <row r="369" spans="1:54" x14ac:dyDescent="0.3">
      <c r="A369" t="s">
        <v>1735</v>
      </c>
      <c r="B369" t="s">
        <v>1736</v>
      </c>
      <c r="C369" t="s">
        <v>1256</v>
      </c>
      <c r="D369" t="s">
        <v>1257</v>
      </c>
      <c r="G369" t="s">
        <v>725</v>
      </c>
      <c r="H369" t="s">
        <v>197</v>
      </c>
      <c r="J369" t="s">
        <v>1590</v>
      </c>
      <c r="L369">
        <v>0</v>
      </c>
      <c r="M369">
        <v>3.0000000000000001E-3</v>
      </c>
      <c r="N369" t="s">
        <v>198</v>
      </c>
      <c r="O369">
        <v>3.0000000000000001E-3</v>
      </c>
      <c r="P369" t="s">
        <v>198</v>
      </c>
      <c r="Q369" t="s">
        <v>199</v>
      </c>
      <c r="R369" s="3"/>
      <c r="W369" t="s">
        <v>200</v>
      </c>
      <c r="X369" s="25"/>
      <c r="Y369" s="26"/>
      <c r="Z369" s="27"/>
      <c r="AA369" t="s">
        <v>25</v>
      </c>
      <c r="AB369" t="s">
        <v>201</v>
      </c>
      <c r="AC369" s="3"/>
      <c r="AH369" t="s">
        <v>202</v>
      </c>
      <c r="AK369" t="s">
        <v>203</v>
      </c>
      <c r="AP369" t="s">
        <v>200</v>
      </c>
      <c r="AR369" s="25"/>
      <c r="AT369" s="25">
        <v>0</v>
      </c>
      <c r="AU369" s="26"/>
      <c r="AV369" s="26"/>
      <c r="AW369" s="26"/>
      <c r="AX369" s="26" t="str">
        <f t="shared" si="15"/>
        <v/>
      </c>
      <c r="AY369" t="str">
        <f t="shared" si="16"/>
        <v/>
      </c>
      <c r="AZ369" t="s">
        <v>200</v>
      </c>
      <c r="BA369" s="3"/>
      <c r="BB369" t="str">
        <f t="shared" si="17"/>
        <v>No scrap rate (No impact);</v>
      </c>
    </row>
    <row r="370" spans="1:54" x14ac:dyDescent="0.3">
      <c r="A370" t="s">
        <v>1737</v>
      </c>
      <c r="B370" t="s">
        <v>1738</v>
      </c>
      <c r="C370" t="s">
        <v>1256</v>
      </c>
      <c r="D370" t="s">
        <v>1257</v>
      </c>
      <c r="G370" t="s">
        <v>725</v>
      </c>
      <c r="H370" t="s">
        <v>197</v>
      </c>
      <c r="J370" t="s">
        <v>1590</v>
      </c>
      <c r="L370">
        <v>0</v>
      </c>
      <c r="M370">
        <v>3.0000000000000001E-3</v>
      </c>
      <c r="N370" t="s">
        <v>198</v>
      </c>
      <c r="O370">
        <v>3.0000000000000001E-3</v>
      </c>
      <c r="P370" t="s">
        <v>198</v>
      </c>
      <c r="Q370" t="s">
        <v>199</v>
      </c>
      <c r="R370" s="3"/>
      <c r="W370" t="s">
        <v>200</v>
      </c>
      <c r="X370" s="25"/>
      <c r="Y370" s="26"/>
      <c r="Z370" s="27"/>
      <c r="AA370" t="s">
        <v>25</v>
      </c>
      <c r="AB370" t="s">
        <v>201</v>
      </c>
      <c r="AC370" s="3"/>
      <c r="AH370" t="s">
        <v>202</v>
      </c>
      <c r="AK370" t="s">
        <v>203</v>
      </c>
      <c r="AP370" t="s">
        <v>200</v>
      </c>
      <c r="AR370" s="25"/>
      <c r="AT370" s="25">
        <v>0</v>
      </c>
      <c r="AU370" s="26"/>
      <c r="AV370" s="26"/>
      <c r="AW370" s="26"/>
      <c r="AX370" s="26" t="str">
        <f t="shared" si="15"/>
        <v/>
      </c>
      <c r="AY370" t="str">
        <f t="shared" si="16"/>
        <v/>
      </c>
      <c r="AZ370" t="s">
        <v>200</v>
      </c>
      <c r="BA370" s="3"/>
      <c r="BB370" t="str">
        <f t="shared" si="17"/>
        <v>No scrap rate (No impact);</v>
      </c>
    </row>
    <row r="371" spans="1:54" x14ac:dyDescent="0.3">
      <c r="A371" t="s">
        <v>1739</v>
      </c>
      <c r="B371" t="s">
        <v>1740</v>
      </c>
      <c r="C371" t="s">
        <v>918</v>
      </c>
      <c r="D371" t="s">
        <v>919</v>
      </c>
      <c r="G371" t="s">
        <v>1198</v>
      </c>
      <c r="H371" t="s">
        <v>1199</v>
      </c>
      <c r="J371" t="s">
        <v>1046</v>
      </c>
      <c r="L371">
        <v>1</v>
      </c>
      <c r="M371">
        <v>0.112</v>
      </c>
      <c r="N371" t="s">
        <v>198</v>
      </c>
      <c r="O371">
        <v>0.112</v>
      </c>
      <c r="P371" t="s">
        <v>198</v>
      </c>
      <c r="Q371" t="s">
        <v>199</v>
      </c>
      <c r="R371" s="3"/>
      <c r="W371" t="s">
        <v>200</v>
      </c>
      <c r="X371" s="25"/>
      <c r="Y371" s="26"/>
      <c r="Z371" s="27"/>
      <c r="AA371" t="s">
        <v>25</v>
      </c>
      <c r="AB371" t="s">
        <v>201</v>
      </c>
      <c r="AC371" s="3"/>
      <c r="AH371" t="s">
        <v>202</v>
      </c>
      <c r="AK371" t="s">
        <v>203</v>
      </c>
      <c r="AP371" t="s">
        <v>200</v>
      </c>
      <c r="AR371" s="25"/>
      <c r="AT371" s="25">
        <v>0</v>
      </c>
      <c r="AU371" s="26"/>
      <c r="AV371" s="26"/>
      <c r="AW371" s="26"/>
      <c r="AX371" s="26" t="str">
        <f t="shared" si="15"/>
        <v/>
      </c>
      <c r="AY371" t="str">
        <f t="shared" si="16"/>
        <v/>
      </c>
      <c r="AZ371" t="s">
        <v>200</v>
      </c>
      <c r="BA371" s="3"/>
      <c r="BB371" t="str">
        <f t="shared" si="17"/>
        <v>No scrap rate (No impact);</v>
      </c>
    </row>
    <row r="372" spans="1:54" x14ac:dyDescent="0.3">
      <c r="A372" t="s">
        <v>1741</v>
      </c>
      <c r="B372" t="s">
        <v>1742</v>
      </c>
      <c r="C372" t="s">
        <v>1256</v>
      </c>
      <c r="D372" t="s">
        <v>1257</v>
      </c>
      <c r="G372" t="s">
        <v>725</v>
      </c>
      <c r="H372" t="s">
        <v>197</v>
      </c>
      <c r="J372" t="s">
        <v>1590</v>
      </c>
      <c r="L372">
        <v>0</v>
      </c>
      <c r="M372">
        <v>3.0000000000000001E-3</v>
      </c>
      <c r="N372" t="s">
        <v>198</v>
      </c>
      <c r="O372">
        <v>3.0000000000000001E-3</v>
      </c>
      <c r="P372" t="s">
        <v>198</v>
      </c>
      <c r="Q372" t="s">
        <v>199</v>
      </c>
      <c r="R372" s="3"/>
      <c r="W372" t="s">
        <v>200</v>
      </c>
      <c r="X372" s="25"/>
      <c r="Y372" s="26"/>
      <c r="Z372" s="27"/>
      <c r="AA372" t="s">
        <v>25</v>
      </c>
      <c r="AB372" t="s">
        <v>201</v>
      </c>
      <c r="AC372" s="3"/>
      <c r="AH372" t="s">
        <v>202</v>
      </c>
      <c r="AK372" t="s">
        <v>203</v>
      </c>
      <c r="AP372" t="s">
        <v>200</v>
      </c>
      <c r="AR372" s="25"/>
      <c r="AT372" s="25">
        <v>0</v>
      </c>
      <c r="AU372" s="26"/>
      <c r="AV372" s="26"/>
      <c r="AW372" s="26"/>
      <c r="AX372" s="26" t="str">
        <f t="shared" si="15"/>
        <v/>
      </c>
      <c r="AY372" t="str">
        <f t="shared" si="16"/>
        <v/>
      </c>
      <c r="AZ372" t="s">
        <v>200</v>
      </c>
      <c r="BA372" s="3"/>
      <c r="BB372" t="str">
        <f t="shared" si="17"/>
        <v>No scrap rate (No impact);</v>
      </c>
    </row>
    <row r="373" spans="1:54" x14ac:dyDescent="0.3">
      <c r="A373" t="s">
        <v>1743</v>
      </c>
      <c r="B373" t="s">
        <v>1744</v>
      </c>
      <c r="C373" t="s">
        <v>1256</v>
      </c>
      <c r="D373" t="s">
        <v>1257</v>
      </c>
      <c r="G373" t="s">
        <v>1731</v>
      </c>
      <c r="H373" t="s">
        <v>1732</v>
      </c>
      <c r="J373" t="s">
        <v>1046</v>
      </c>
      <c r="L373">
        <v>0</v>
      </c>
      <c r="M373">
        <v>1E-3</v>
      </c>
      <c r="N373" t="s">
        <v>198</v>
      </c>
      <c r="O373">
        <v>1E-3</v>
      </c>
      <c r="P373" t="s">
        <v>198</v>
      </c>
      <c r="Q373" t="s">
        <v>199</v>
      </c>
      <c r="R373" s="3"/>
      <c r="W373" t="s">
        <v>200</v>
      </c>
      <c r="X373" s="25"/>
      <c r="Y373" s="26"/>
      <c r="Z373" s="27"/>
      <c r="AA373" t="s">
        <v>25</v>
      </c>
      <c r="AB373" t="s">
        <v>201</v>
      </c>
      <c r="AC373" s="3"/>
      <c r="AH373" t="s">
        <v>202</v>
      </c>
      <c r="AK373" t="s">
        <v>203</v>
      </c>
      <c r="AP373" t="s">
        <v>200</v>
      </c>
      <c r="AR373" s="25"/>
      <c r="AT373" s="25">
        <v>0</v>
      </c>
      <c r="AU373" s="26"/>
      <c r="AV373" s="26"/>
      <c r="AW373" s="26"/>
      <c r="AX373" s="26" t="str">
        <f t="shared" si="15"/>
        <v/>
      </c>
      <c r="AY373" t="str">
        <f t="shared" si="16"/>
        <v/>
      </c>
      <c r="AZ373" t="s">
        <v>200</v>
      </c>
      <c r="BA373" s="3"/>
      <c r="BB373" t="str">
        <f t="shared" si="17"/>
        <v>No scrap rate (No impact);</v>
      </c>
    </row>
    <row r="374" spans="1:54" x14ac:dyDescent="0.3">
      <c r="A374" t="s">
        <v>1745</v>
      </c>
      <c r="B374" t="s">
        <v>1746</v>
      </c>
      <c r="C374" t="s">
        <v>1256</v>
      </c>
      <c r="D374" t="s">
        <v>1257</v>
      </c>
      <c r="G374" t="s">
        <v>1731</v>
      </c>
      <c r="H374" t="s">
        <v>1732</v>
      </c>
      <c r="J374" t="s">
        <v>1046</v>
      </c>
      <c r="L374">
        <v>0</v>
      </c>
      <c r="M374">
        <v>2E-3</v>
      </c>
      <c r="N374" t="s">
        <v>198</v>
      </c>
      <c r="O374">
        <v>2E-3</v>
      </c>
      <c r="P374" t="s">
        <v>198</v>
      </c>
      <c r="Q374" t="s">
        <v>199</v>
      </c>
      <c r="R374" s="3"/>
      <c r="W374" t="s">
        <v>200</v>
      </c>
      <c r="X374" s="25"/>
      <c r="Y374" s="26"/>
      <c r="Z374" s="27"/>
      <c r="AA374" t="s">
        <v>25</v>
      </c>
      <c r="AB374" t="s">
        <v>201</v>
      </c>
      <c r="AC374" s="3"/>
      <c r="AH374" t="s">
        <v>202</v>
      </c>
      <c r="AK374" t="s">
        <v>203</v>
      </c>
      <c r="AP374" t="s">
        <v>200</v>
      </c>
      <c r="AR374" s="25"/>
      <c r="AT374" s="25">
        <v>0</v>
      </c>
      <c r="AU374" s="26"/>
      <c r="AV374" s="26"/>
      <c r="AW374" s="26"/>
      <c r="AX374" s="26" t="str">
        <f t="shared" si="15"/>
        <v/>
      </c>
      <c r="AY374" t="str">
        <f t="shared" si="16"/>
        <v/>
      </c>
      <c r="AZ374" t="s">
        <v>200</v>
      </c>
      <c r="BA374" s="3"/>
      <c r="BB374" t="str">
        <f t="shared" si="17"/>
        <v>No scrap rate (No impact);</v>
      </c>
    </row>
    <row r="375" spans="1:54" x14ac:dyDescent="0.3">
      <c r="A375" t="s">
        <v>1747</v>
      </c>
      <c r="B375" t="s">
        <v>1748</v>
      </c>
      <c r="C375" t="s">
        <v>966</v>
      </c>
      <c r="D375" t="s">
        <v>967</v>
      </c>
      <c r="J375" t="s">
        <v>1060</v>
      </c>
      <c r="L375">
        <v>1</v>
      </c>
      <c r="M375">
        <v>1E-3</v>
      </c>
      <c r="N375" t="s">
        <v>198</v>
      </c>
      <c r="O375">
        <v>1E-3</v>
      </c>
      <c r="P375" t="s">
        <v>198</v>
      </c>
      <c r="Q375" t="s">
        <v>199</v>
      </c>
      <c r="R375" s="3"/>
      <c r="W375" t="s">
        <v>200</v>
      </c>
      <c r="X375" s="25"/>
      <c r="Y375" s="26"/>
      <c r="Z375" s="27"/>
      <c r="AA375" t="s">
        <v>25</v>
      </c>
      <c r="AB375" t="s">
        <v>201</v>
      </c>
      <c r="AC375" s="3"/>
      <c r="AH375" t="s">
        <v>202</v>
      </c>
      <c r="AK375" t="s">
        <v>203</v>
      </c>
      <c r="AP375" t="s">
        <v>200</v>
      </c>
      <c r="AR375" s="25"/>
      <c r="AT375" s="25">
        <v>0</v>
      </c>
      <c r="AU375" s="26"/>
      <c r="AV375" s="26"/>
      <c r="AW375" s="26"/>
      <c r="AX375" s="26" t="str">
        <f t="shared" si="15"/>
        <v/>
      </c>
      <c r="AY375" t="str">
        <f t="shared" si="16"/>
        <v/>
      </c>
      <c r="AZ375" t="s">
        <v>200</v>
      </c>
      <c r="BA375" s="3"/>
      <c r="BB375" t="str">
        <f t="shared" si="17"/>
        <v>Supplier code empty (High);No scrap rate (No impact);</v>
      </c>
    </row>
    <row r="376" spans="1:54" x14ac:dyDescent="0.3">
      <c r="A376" t="s">
        <v>1749</v>
      </c>
      <c r="B376" t="s">
        <v>1750</v>
      </c>
      <c r="C376" t="s">
        <v>966</v>
      </c>
      <c r="D376" t="s">
        <v>967</v>
      </c>
      <c r="G376" t="s">
        <v>1055</v>
      </c>
      <c r="H376" t="s">
        <v>1056</v>
      </c>
      <c r="J376" t="s">
        <v>1060</v>
      </c>
      <c r="L376">
        <v>1</v>
      </c>
      <c r="M376">
        <v>1E-3</v>
      </c>
      <c r="N376" t="s">
        <v>198</v>
      </c>
      <c r="O376">
        <v>1E-3</v>
      </c>
      <c r="P376" t="s">
        <v>198</v>
      </c>
      <c r="Q376" t="s">
        <v>199</v>
      </c>
      <c r="R376" s="3"/>
      <c r="W376" t="s">
        <v>200</v>
      </c>
      <c r="X376" s="25"/>
      <c r="Y376" s="26"/>
      <c r="Z376" s="27"/>
      <c r="AA376" t="s">
        <v>25</v>
      </c>
      <c r="AB376" t="s">
        <v>201</v>
      </c>
      <c r="AC376" s="3"/>
      <c r="AH376" t="s">
        <v>202</v>
      </c>
      <c r="AK376" t="s">
        <v>203</v>
      </c>
      <c r="AP376" t="s">
        <v>200</v>
      </c>
      <c r="AR376" s="25"/>
      <c r="AT376" s="25">
        <v>0</v>
      </c>
      <c r="AU376" s="26"/>
      <c r="AV376" s="26"/>
      <c r="AW376" s="26"/>
      <c r="AX376" s="26" t="str">
        <f t="shared" si="15"/>
        <v/>
      </c>
      <c r="AY376" t="str">
        <f t="shared" si="16"/>
        <v/>
      </c>
      <c r="AZ376" t="s">
        <v>200</v>
      </c>
      <c r="BA376" s="3"/>
      <c r="BB376" t="str">
        <f t="shared" si="17"/>
        <v>No scrap rate (No impact);</v>
      </c>
    </row>
    <row r="377" spans="1:54" x14ac:dyDescent="0.3">
      <c r="A377" t="s">
        <v>1751</v>
      </c>
      <c r="B377" t="s">
        <v>1752</v>
      </c>
      <c r="C377" t="s">
        <v>966</v>
      </c>
      <c r="D377" t="s">
        <v>967</v>
      </c>
      <c r="G377" t="s">
        <v>1721</v>
      </c>
      <c r="H377" t="s">
        <v>1722</v>
      </c>
      <c r="J377" t="s">
        <v>1060</v>
      </c>
      <c r="L377">
        <v>1</v>
      </c>
      <c r="M377">
        <v>1E-3</v>
      </c>
      <c r="N377" t="s">
        <v>198</v>
      </c>
      <c r="O377">
        <v>1E-3</v>
      </c>
      <c r="P377" t="s">
        <v>198</v>
      </c>
      <c r="Q377" t="s">
        <v>199</v>
      </c>
      <c r="R377" s="3"/>
      <c r="W377" t="s">
        <v>200</v>
      </c>
      <c r="X377" s="25"/>
      <c r="Y377" s="26"/>
      <c r="Z377" s="27"/>
      <c r="AA377" t="s">
        <v>25</v>
      </c>
      <c r="AB377" t="s">
        <v>201</v>
      </c>
      <c r="AC377" s="3"/>
      <c r="AH377" t="s">
        <v>202</v>
      </c>
      <c r="AK377" t="s">
        <v>203</v>
      </c>
      <c r="AP377" t="s">
        <v>200</v>
      </c>
      <c r="AR377" s="25"/>
      <c r="AT377" s="25">
        <v>0</v>
      </c>
      <c r="AU377" s="26"/>
      <c r="AV377" s="26"/>
      <c r="AW377" s="26"/>
      <c r="AX377" s="26" t="str">
        <f t="shared" si="15"/>
        <v/>
      </c>
      <c r="AY377" t="str">
        <f t="shared" si="16"/>
        <v/>
      </c>
      <c r="AZ377" t="s">
        <v>200</v>
      </c>
      <c r="BA377" s="3"/>
      <c r="BB377" t="str">
        <f t="shared" si="17"/>
        <v>No scrap rate (No impact);</v>
      </c>
    </row>
    <row r="378" spans="1:54" x14ac:dyDescent="0.3">
      <c r="A378" t="s">
        <v>1753</v>
      </c>
      <c r="B378" t="s">
        <v>1754</v>
      </c>
      <c r="C378" t="s">
        <v>1256</v>
      </c>
      <c r="D378" t="s">
        <v>1257</v>
      </c>
      <c r="G378" t="s">
        <v>1731</v>
      </c>
      <c r="H378" t="s">
        <v>1732</v>
      </c>
      <c r="J378" t="s">
        <v>1060</v>
      </c>
      <c r="L378">
        <v>0</v>
      </c>
      <c r="M378">
        <v>5.0000000000000001E-3</v>
      </c>
      <c r="N378" t="s">
        <v>198</v>
      </c>
      <c r="O378">
        <v>5.0000000000000001E-3</v>
      </c>
      <c r="P378" t="s">
        <v>198</v>
      </c>
      <c r="Q378" t="s">
        <v>199</v>
      </c>
      <c r="R378" s="3"/>
      <c r="W378" t="s">
        <v>200</v>
      </c>
      <c r="X378" s="25"/>
      <c r="Y378" s="26"/>
      <c r="Z378" s="27"/>
      <c r="AA378" t="s">
        <v>25</v>
      </c>
      <c r="AB378" t="s">
        <v>201</v>
      </c>
      <c r="AC378" s="3"/>
      <c r="AH378" t="s">
        <v>202</v>
      </c>
      <c r="AK378" t="s">
        <v>203</v>
      </c>
      <c r="AP378" t="s">
        <v>200</v>
      </c>
      <c r="AR378" s="25"/>
      <c r="AT378" s="25">
        <v>0</v>
      </c>
      <c r="AU378" s="26"/>
      <c r="AV378" s="26"/>
      <c r="AW378" s="26"/>
      <c r="AX378" s="26" t="str">
        <f t="shared" si="15"/>
        <v/>
      </c>
      <c r="AY378" t="str">
        <f t="shared" si="16"/>
        <v/>
      </c>
      <c r="AZ378" t="s">
        <v>200</v>
      </c>
      <c r="BA378" s="3"/>
      <c r="BB378" t="str">
        <f t="shared" si="17"/>
        <v>No scrap rate (No impact);</v>
      </c>
    </row>
    <row r="379" spans="1:54" x14ac:dyDescent="0.3">
      <c r="A379" t="s">
        <v>1755</v>
      </c>
      <c r="B379" t="s">
        <v>1756</v>
      </c>
      <c r="C379" t="s">
        <v>1110</v>
      </c>
      <c r="D379" t="s">
        <v>1111</v>
      </c>
      <c r="G379" t="s">
        <v>1112</v>
      </c>
      <c r="H379" t="s">
        <v>1113</v>
      </c>
      <c r="J379" t="s">
        <v>1089</v>
      </c>
      <c r="L379">
        <v>1</v>
      </c>
      <c r="M379">
        <v>0.14499999999999999</v>
      </c>
      <c r="N379" t="s">
        <v>198</v>
      </c>
      <c r="O379">
        <v>0.14499999999999999</v>
      </c>
      <c r="P379" t="s">
        <v>198</v>
      </c>
      <c r="Q379" t="s">
        <v>199</v>
      </c>
      <c r="R379" s="3"/>
      <c r="W379" t="s">
        <v>200</v>
      </c>
      <c r="X379" s="25"/>
      <c r="Y379" s="26"/>
      <c r="Z379" s="27"/>
      <c r="AA379" t="s">
        <v>25</v>
      </c>
      <c r="AB379" t="s">
        <v>201</v>
      </c>
      <c r="AC379" s="3"/>
      <c r="AH379" t="s">
        <v>202</v>
      </c>
      <c r="AK379" t="s">
        <v>203</v>
      </c>
      <c r="AP379" t="s">
        <v>200</v>
      </c>
      <c r="AR379" s="25"/>
      <c r="AT379" s="25">
        <v>0</v>
      </c>
      <c r="AU379" s="26"/>
      <c r="AV379" s="26"/>
      <c r="AW379" s="26"/>
      <c r="AX379" s="26" t="str">
        <f t="shared" si="15"/>
        <v/>
      </c>
      <c r="AY379" t="str">
        <f t="shared" si="16"/>
        <v/>
      </c>
      <c r="AZ379" t="s">
        <v>200</v>
      </c>
      <c r="BA379" s="3"/>
      <c r="BB379" t="str">
        <f t="shared" si="17"/>
        <v>No scrap rate (No impact);</v>
      </c>
    </row>
    <row r="380" spans="1:54" x14ac:dyDescent="0.3">
      <c r="A380" t="s">
        <v>1757</v>
      </c>
      <c r="B380" t="s">
        <v>1758</v>
      </c>
      <c r="C380" t="s">
        <v>1256</v>
      </c>
      <c r="D380" t="s">
        <v>1257</v>
      </c>
      <c r="G380" t="s">
        <v>725</v>
      </c>
      <c r="H380" t="s">
        <v>197</v>
      </c>
      <c r="J380" t="s">
        <v>1590</v>
      </c>
      <c r="L380">
        <v>0</v>
      </c>
      <c r="M380">
        <v>3.0000000000000001E-3</v>
      </c>
      <c r="N380" t="s">
        <v>198</v>
      </c>
      <c r="O380">
        <v>3.0000000000000001E-3</v>
      </c>
      <c r="P380" t="s">
        <v>198</v>
      </c>
      <c r="Q380" t="s">
        <v>199</v>
      </c>
      <c r="R380" s="3"/>
      <c r="W380" t="s">
        <v>200</v>
      </c>
      <c r="X380" s="25"/>
      <c r="Y380" s="26"/>
      <c r="Z380" s="27"/>
      <c r="AA380" t="s">
        <v>25</v>
      </c>
      <c r="AB380" t="s">
        <v>201</v>
      </c>
      <c r="AC380" s="3"/>
      <c r="AH380" t="s">
        <v>202</v>
      </c>
      <c r="AK380" t="s">
        <v>203</v>
      </c>
      <c r="AP380" t="s">
        <v>200</v>
      </c>
      <c r="AR380" s="25"/>
      <c r="AT380" s="25">
        <v>0</v>
      </c>
      <c r="AU380" s="26"/>
      <c r="AV380" s="26"/>
      <c r="AW380" s="26"/>
      <c r="AX380" s="26" t="str">
        <f t="shared" si="15"/>
        <v/>
      </c>
      <c r="AY380" t="str">
        <f t="shared" si="16"/>
        <v/>
      </c>
      <c r="AZ380" t="s">
        <v>200</v>
      </c>
      <c r="BA380" s="3"/>
      <c r="BB380" t="str">
        <f t="shared" si="17"/>
        <v>No scrap rate (No impact);</v>
      </c>
    </row>
    <row r="381" spans="1:54" x14ac:dyDescent="0.3">
      <c r="A381" t="s">
        <v>1759</v>
      </c>
      <c r="B381" t="s">
        <v>1760</v>
      </c>
      <c r="C381" t="s">
        <v>1256</v>
      </c>
      <c r="D381" t="s">
        <v>1257</v>
      </c>
      <c r="G381" t="s">
        <v>725</v>
      </c>
      <c r="H381" t="s">
        <v>197</v>
      </c>
      <c r="J381" t="s">
        <v>1590</v>
      </c>
      <c r="L381">
        <v>0</v>
      </c>
      <c r="M381">
        <v>3.0000000000000001E-3</v>
      </c>
      <c r="N381" t="s">
        <v>198</v>
      </c>
      <c r="O381">
        <v>3.0000000000000001E-3</v>
      </c>
      <c r="P381" t="s">
        <v>198</v>
      </c>
      <c r="Q381" t="s">
        <v>199</v>
      </c>
      <c r="R381" s="3"/>
      <c r="W381" t="s">
        <v>200</v>
      </c>
      <c r="X381" s="25"/>
      <c r="Y381" s="26"/>
      <c r="Z381" s="27"/>
      <c r="AA381" t="s">
        <v>25</v>
      </c>
      <c r="AB381" t="s">
        <v>201</v>
      </c>
      <c r="AC381" s="3"/>
      <c r="AH381" t="s">
        <v>202</v>
      </c>
      <c r="AK381" t="s">
        <v>203</v>
      </c>
      <c r="AP381" t="s">
        <v>200</v>
      </c>
      <c r="AR381" s="25"/>
      <c r="AT381" s="25">
        <v>0</v>
      </c>
      <c r="AU381" s="26"/>
      <c r="AV381" s="26"/>
      <c r="AW381" s="26"/>
      <c r="AX381" s="26" t="str">
        <f t="shared" si="15"/>
        <v/>
      </c>
      <c r="AY381" t="str">
        <f t="shared" si="16"/>
        <v/>
      </c>
      <c r="AZ381" t="s">
        <v>200</v>
      </c>
      <c r="BA381" s="3"/>
      <c r="BB381" t="str">
        <f t="shared" si="17"/>
        <v>No scrap rate (No impact);</v>
      </c>
    </row>
    <row r="382" spans="1:54" x14ac:dyDescent="0.3">
      <c r="A382" t="s">
        <v>1761</v>
      </c>
      <c r="B382" t="s">
        <v>1762</v>
      </c>
      <c r="C382" t="s">
        <v>1256</v>
      </c>
      <c r="D382" t="s">
        <v>1257</v>
      </c>
      <c r="G382" t="s">
        <v>725</v>
      </c>
      <c r="H382" t="s">
        <v>197</v>
      </c>
      <c r="J382" t="s">
        <v>1590</v>
      </c>
      <c r="L382">
        <v>0</v>
      </c>
      <c r="M382">
        <v>3.0000000000000001E-3</v>
      </c>
      <c r="N382" t="s">
        <v>198</v>
      </c>
      <c r="O382">
        <v>3.0000000000000001E-3</v>
      </c>
      <c r="P382" t="s">
        <v>198</v>
      </c>
      <c r="Q382" t="s">
        <v>199</v>
      </c>
      <c r="R382" s="3"/>
      <c r="W382" t="s">
        <v>200</v>
      </c>
      <c r="X382" s="25"/>
      <c r="Y382" s="26"/>
      <c r="Z382" s="27"/>
      <c r="AA382" t="s">
        <v>25</v>
      </c>
      <c r="AB382" t="s">
        <v>201</v>
      </c>
      <c r="AC382" s="3"/>
      <c r="AH382" t="s">
        <v>202</v>
      </c>
      <c r="AK382" t="s">
        <v>203</v>
      </c>
      <c r="AP382" t="s">
        <v>200</v>
      </c>
      <c r="AR382" s="25"/>
      <c r="AT382" s="25">
        <v>0</v>
      </c>
      <c r="AU382" s="26"/>
      <c r="AV382" s="26"/>
      <c r="AW382" s="26"/>
      <c r="AX382" s="26" t="str">
        <f t="shared" si="15"/>
        <v/>
      </c>
      <c r="AY382" t="str">
        <f t="shared" si="16"/>
        <v/>
      </c>
      <c r="AZ382" t="s">
        <v>200</v>
      </c>
      <c r="BA382" s="3"/>
      <c r="BB382" t="str">
        <f t="shared" si="17"/>
        <v>No scrap rate (No impact);</v>
      </c>
    </row>
    <row r="383" spans="1:54" x14ac:dyDescent="0.3">
      <c r="A383" t="s">
        <v>1763</v>
      </c>
      <c r="B383" t="s">
        <v>1764</v>
      </c>
      <c r="C383" t="s">
        <v>1256</v>
      </c>
      <c r="D383" t="s">
        <v>1257</v>
      </c>
      <c r="G383" t="s">
        <v>312</v>
      </c>
      <c r="H383" t="s">
        <v>313</v>
      </c>
      <c r="J383" t="s">
        <v>1590</v>
      </c>
      <c r="L383">
        <v>0</v>
      </c>
      <c r="M383">
        <v>3.0000000000000001E-3</v>
      </c>
      <c r="N383" t="s">
        <v>198</v>
      </c>
      <c r="O383">
        <v>3.0000000000000001E-3</v>
      </c>
      <c r="P383" t="s">
        <v>198</v>
      </c>
      <c r="Q383" t="s">
        <v>199</v>
      </c>
      <c r="R383" s="3"/>
      <c r="W383" t="s">
        <v>200</v>
      </c>
      <c r="X383" s="25"/>
      <c r="Y383" s="26"/>
      <c r="Z383" s="27"/>
      <c r="AA383" t="s">
        <v>25</v>
      </c>
      <c r="AB383" t="s">
        <v>201</v>
      </c>
      <c r="AC383" s="3"/>
      <c r="AH383" t="s">
        <v>202</v>
      </c>
      <c r="AK383" t="s">
        <v>203</v>
      </c>
      <c r="AP383" t="s">
        <v>200</v>
      </c>
      <c r="AR383" s="25"/>
      <c r="AT383" s="25">
        <v>0</v>
      </c>
      <c r="AU383" s="26"/>
      <c r="AV383" s="26"/>
      <c r="AW383" s="26"/>
      <c r="AX383" s="26" t="str">
        <f t="shared" si="15"/>
        <v/>
      </c>
      <c r="AY383" t="str">
        <f t="shared" si="16"/>
        <v/>
      </c>
      <c r="AZ383" t="s">
        <v>200</v>
      </c>
      <c r="BA383" s="3"/>
      <c r="BB383" t="str">
        <f t="shared" si="17"/>
        <v>No scrap rate (No impact);</v>
      </c>
    </row>
    <row r="384" spans="1:54" x14ac:dyDescent="0.3">
      <c r="A384" t="s">
        <v>1765</v>
      </c>
      <c r="B384" t="s">
        <v>1766</v>
      </c>
      <c r="C384" t="s">
        <v>1256</v>
      </c>
      <c r="D384" t="s">
        <v>1257</v>
      </c>
      <c r="G384" t="s">
        <v>278</v>
      </c>
      <c r="H384" t="s">
        <v>279</v>
      </c>
      <c r="J384" t="s">
        <v>1590</v>
      </c>
      <c r="L384">
        <v>0</v>
      </c>
      <c r="M384">
        <v>3.0000000000000001E-3</v>
      </c>
      <c r="N384" t="s">
        <v>198</v>
      </c>
      <c r="O384">
        <v>3.0000000000000001E-3</v>
      </c>
      <c r="P384" t="s">
        <v>198</v>
      </c>
      <c r="Q384" t="s">
        <v>199</v>
      </c>
      <c r="R384" s="3"/>
      <c r="W384" t="s">
        <v>200</v>
      </c>
      <c r="X384" s="25"/>
      <c r="Y384" s="26"/>
      <c r="Z384" s="27"/>
      <c r="AA384" t="s">
        <v>25</v>
      </c>
      <c r="AB384" t="s">
        <v>201</v>
      </c>
      <c r="AC384" s="3"/>
      <c r="AH384" t="s">
        <v>202</v>
      </c>
      <c r="AK384" t="s">
        <v>203</v>
      </c>
      <c r="AP384" t="s">
        <v>200</v>
      </c>
      <c r="AR384" s="25"/>
      <c r="AT384" s="25">
        <v>0</v>
      </c>
      <c r="AU384" s="26"/>
      <c r="AV384" s="26"/>
      <c r="AW384" s="26"/>
      <c r="AX384" s="26" t="str">
        <f t="shared" si="15"/>
        <v/>
      </c>
      <c r="AY384" t="str">
        <f t="shared" si="16"/>
        <v/>
      </c>
      <c r="AZ384" t="s">
        <v>200</v>
      </c>
      <c r="BA384" s="3"/>
      <c r="BB384" t="str">
        <f t="shared" si="17"/>
        <v>No scrap rate (No impact);</v>
      </c>
    </row>
    <row r="385" spans="1:54" x14ac:dyDescent="0.3">
      <c r="A385" t="s">
        <v>1767</v>
      </c>
      <c r="B385" t="s">
        <v>1768</v>
      </c>
      <c r="C385" t="s">
        <v>1256</v>
      </c>
      <c r="D385" t="s">
        <v>1257</v>
      </c>
      <c r="G385" t="s">
        <v>312</v>
      </c>
      <c r="H385" t="s">
        <v>313</v>
      </c>
      <c r="J385" t="s">
        <v>1046</v>
      </c>
      <c r="L385">
        <v>0</v>
      </c>
      <c r="M385">
        <v>2E-3</v>
      </c>
      <c r="N385" t="s">
        <v>198</v>
      </c>
      <c r="O385">
        <v>2E-3</v>
      </c>
      <c r="P385" t="s">
        <v>198</v>
      </c>
      <c r="Q385" t="s">
        <v>199</v>
      </c>
      <c r="R385" s="3"/>
      <c r="W385" t="s">
        <v>200</v>
      </c>
      <c r="X385" s="25"/>
      <c r="Y385" s="26"/>
      <c r="Z385" s="27"/>
      <c r="AA385" t="s">
        <v>25</v>
      </c>
      <c r="AB385" t="s">
        <v>201</v>
      </c>
      <c r="AC385" s="3"/>
      <c r="AH385" t="s">
        <v>202</v>
      </c>
      <c r="AK385" t="s">
        <v>203</v>
      </c>
      <c r="AP385" t="s">
        <v>200</v>
      </c>
      <c r="AR385" s="25"/>
      <c r="AT385" s="25">
        <v>0</v>
      </c>
      <c r="AU385" s="26"/>
      <c r="AV385" s="26"/>
      <c r="AW385" s="26"/>
      <c r="AX385" s="26" t="str">
        <f t="shared" si="15"/>
        <v/>
      </c>
      <c r="AY385" t="str">
        <f t="shared" si="16"/>
        <v/>
      </c>
      <c r="AZ385" t="s">
        <v>200</v>
      </c>
      <c r="BA385" s="3"/>
      <c r="BB385" t="str">
        <f t="shared" si="17"/>
        <v>No scrap rate (No impact);</v>
      </c>
    </row>
    <row r="386" spans="1:54" x14ac:dyDescent="0.3">
      <c r="A386" t="s">
        <v>1769</v>
      </c>
      <c r="B386" t="s">
        <v>1770</v>
      </c>
      <c r="C386" t="s">
        <v>1256</v>
      </c>
      <c r="D386" t="s">
        <v>1257</v>
      </c>
      <c r="G386" t="s">
        <v>725</v>
      </c>
      <c r="H386" t="s">
        <v>197</v>
      </c>
      <c r="J386" t="s">
        <v>1590</v>
      </c>
      <c r="L386">
        <v>0</v>
      </c>
      <c r="M386">
        <v>3.0000000000000001E-3</v>
      </c>
      <c r="N386" t="s">
        <v>198</v>
      </c>
      <c r="O386">
        <v>3.0000000000000001E-3</v>
      </c>
      <c r="P386" t="s">
        <v>198</v>
      </c>
      <c r="Q386" t="s">
        <v>199</v>
      </c>
      <c r="R386" s="3"/>
      <c r="W386" t="s">
        <v>200</v>
      </c>
      <c r="X386" s="25"/>
      <c r="Y386" s="26"/>
      <c r="Z386" s="27"/>
      <c r="AA386" t="s">
        <v>25</v>
      </c>
      <c r="AB386" t="s">
        <v>201</v>
      </c>
      <c r="AC386" s="3"/>
      <c r="AH386" t="s">
        <v>202</v>
      </c>
      <c r="AK386" t="s">
        <v>203</v>
      </c>
      <c r="AP386" t="s">
        <v>200</v>
      </c>
      <c r="AR386" s="25"/>
      <c r="AT386" s="25">
        <v>0</v>
      </c>
      <c r="AU386" s="26"/>
      <c r="AV386" s="26"/>
      <c r="AW386" s="26"/>
      <c r="AX386" s="26" t="str">
        <f t="shared" si="15"/>
        <v/>
      </c>
      <c r="AY386" t="str">
        <f t="shared" si="16"/>
        <v/>
      </c>
      <c r="AZ386" t="s">
        <v>200</v>
      </c>
      <c r="BA386" s="3"/>
      <c r="BB386" t="str">
        <f t="shared" si="17"/>
        <v>No scrap rate (No impact);</v>
      </c>
    </row>
    <row r="387" spans="1:54" x14ac:dyDescent="0.3">
      <c r="A387" t="s">
        <v>1771</v>
      </c>
      <c r="B387" t="s">
        <v>1772</v>
      </c>
      <c r="C387" t="s">
        <v>1256</v>
      </c>
      <c r="D387" t="s">
        <v>1257</v>
      </c>
      <c r="G387" t="s">
        <v>725</v>
      </c>
      <c r="H387" t="s">
        <v>197</v>
      </c>
      <c r="J387" t="s">
        <v>1590</v>
      </c>
      <c r="L387">
        <v>0</v>
      </c>
      <c r="M387">
        <v>3.0000000000000001E-3</v>
      </c>
      <c r="N387" t="s">
        <v>198</v>
      </c>
      <c r="O387">
        <v>3.0000000000000001E-3</v>
      </c>
      <c r="P387" t="s">
        <v>198</v>
      </c>
      <c r="Q387" t="s">
        <v>199</v>
      </c>
      <c r="R387" s="3"/>
      <c r="W387" t="s">
        <v>200</v>
      </c>
      <c r="X387" s="25"/>
      <c r="Y387" s="26"/>
      <c r="Z387" s="27"/>
      <c r="AA387" t="s">
        <v>25</v>
      </c>
      <c r="AB387" t="s">
        <v>201</v>
      </c>
      <c r="AC387" s="3"/>
      <c r="AH387" t="s">
        <v>202</v>
      </c>
      <c r="AK387" t="s">
        <v>203</v>
      </c>
      <c r="AP387" t="s">
        <v>200</v>
      </c>
      <c r="AR387" s="25"/>
      <c r="AT387" s="25">
        <v>0</v>
      </c>
      <c r="AU387" s="26"/>
      <c r="AV387" s="26"/>
      <c r="AW387" s="26"/>
      <c r="AX387" s="26" t="str">
        <f t="shared" ref="AX387:AX450" si="18">IF(COUNT(AU387,AV387,AW387)=0,"",ROUND(AVERAGE(AU387,AV387,AW387),3))</f>
        <v/>
      </c>
      <c r="AY387" t="str">
        <f t="shared" ref="AY387:AY450" si="19">IF(AO387="","",ROUND(AO387*IF(M387="",0,M387)*(1+IF(AR387="",0,AR387)),5))</f>
        <v/>
      </c>
      <c r="AZ387" t="s">
        <v>200</v>
      </c>
      <c r="BA387" s="3"/>
      <c r="BB387" t="str">
        <f t="shared" ref="BB387:BB450" si="20">IF(AND(A387&lt;&gt;"",G387=""),"Supplier code empty (High);","")&amp;IF(AND(X387&lt;&gt;"",OR(X387&gt;1,X387&lt;0)),"Incorrect PDS value (High);",IF(AND(X387&lt;&gt;"",X387&gt;0.5),"High PDS value (Medium);",""))&amp;IF(AND(Y387&lt;&gt;"",OR(Y387&gt;5,Y387&lt;1)),"Incorrect DQR value (High);",IF(AND(Y387&lt;&gt;"",Y387&gt;4),"Incorrect DQR value (Medium);",IF(AND(Y387&lt;&gt;"",Y387&gt;3),"Incorrect DQR value (Low);","")))&amp;IF(AND(V387&lt;&gt;"",OR(V387&lt;=0,V387&gt;100)),"Unusual PCF value might be wrong (High);","")&amp;IF(AND(AT387&lt;&gt;"",OR(AT387&gt;1,AT387&lt;0)),"Incorrect PDS value (High);",IF(AND(AT387&lt;&gt;"",AT387&gt;0.5),"High PDS value (Medium);",""))&amp;IF(AND(AX387&lt;&gt;"",OR(AX387&gt;5,AX387&lt;1)),"Incorrect DQR value (High);",IF(AND(AX387&lt;&gt;"",AX387&gt;4),"Incorrect DQR value (Medium);",IF(AND(AX387&lt;&gt;"",AX387&gt;3),"Incorrect DQR value (Low);","")))&amp;IF(AND(AR387&lt;&gt;"",OR(AR387&gt;1,AR387&lt;0)),"Incorrect scrap rate (High);",IF(AND(A387&lt;&gt;"",AR387=0),"No scrap rate (No impact);",""))&amp;IF(AND(A387&lt;&gt;"",I387="",J387="",K387=""),"No raw material available (High);","")&amp;""</f>
        <v>No scrap rate (No impact);</v>
      </c>
    </row>
    <row r="388" spans="1:54" x14ac:dyDescent="0.3">
      <c r="A388" t="s">
        <v>1773</v>
      </c>
      <c r="B388" t="s">
        <v>1774</v>
      </c>
      <c r="C388" t="s">
        <v>1256</v>
      </c>
      <c r="D388" t="s">
        <v>1257</v>
      </c>
      <c r="G388" t="s">
        <v>725</v>
      </c>
      <c r="H388" t="s">
        <v>197</v>
      </c>
      <c r="J388" t="s">
        <v>1590</v>
      </c>
      <c r="L388">
        <v>0</v>
      </c>
      <c r="M388">
        <v>3.0000000000000001E-3</v>
      </c>
      <c r="N388" t="s">
        <v>198</v>
      </c>
      <c r="O388">
        <v>3.0000000000000001E-3</v>
      </c>
      <c r="P388" t="s">
        <v>198</v>
      </c>
      <c r="Q388" t="s">
        <v>199</v>
      </c>
      <c r="R388" s="3"/>
      <c r="W388" t="s">
        <v>200</v>
      </c>
      <c r="X388" s="25"/>
      <c r="Y388" s="26"/>
      <c r="Z388" s="27"/>
      <c r="AA388" t="s">
        <v>25</v>
      </c>
      <c r="AB388" t="s">
        <v>201</v>
      </c>
      <c r="AC388" s="3"/>
      <c r="AH388" t="s">
        <v>202</v>
      </c>
      <c r="AK388" t="s">
        <v>203</v>
      </c>
      <c r="AP388" t="s">
        <v>200</v>
      </c>
      <c r="AR388" s="25"/>
      <c r="AT388" s="25">
        <v>0</v>
      </c>
      <c r="AU388" s="26"/>
      <c r="AV388" s="26"/>
      <c r="AW388" s="26"/>
      <c r="AX388" s="26" t="str">
        <f t="shared" si="18"/>
        <v/>
      </c>
      <c r="AY388" t="str">
        <f t="shared" si="19"/>
        <v/>
      </c>
      <c r="AZ388" t="s">
        <v>200</v>
      </c>
      <c r="BA388" s="3"/>
      <c r="BB388" t="str">
        <f t="shared" si="20"/>
        <v>No scrap rate (No impact);</v>
      </c>
    </row>
    <row r="389" spans="1:54" x14ac:dyDescent="0.3">
      <c r="A389" t="s">
        <v>1775</v>
      </c>
      <c r="B389" t="s">
        <v>1776</v>
      </c>
      <c r="C389" t="s">
        <v>1256</v>
      </c>
      <c r="D389" t="s">
        <v>1257</v>
      </c>
      <c r="G389" t="s">
        <v>725</v>
      </c>
      <c r="H389" t="s">
        <v>197</v>
      </c>
      <c r="J389" t="s">
        <v>1590</v>
      </c>
      <c r="L389">
        <v>0</v>
      </c>
      <c r="M389">
        <v>3.0000000000000001E-3</v>
      </c>
      <c r="N389" t="s">
        <v>198</v>
      </c>
      <c r="O389">
        <v>3.0000000000000001E-3</v>
      </c>
      <c r="P389" t="s">
        <v>198</v>
      </c>
      <c r="Q389" t="s">
        <v>199</v>
      </c>
      <c r="R389" s="3"/>
      <c r="W389" t="s">
        <v>200</v>
      </c>
      <c r="X389" s="25"/>
      <c r="Y389" s="26"/>
      <c r="Z389" s="27"/>
      <c r="AA389" t="s">
        <v>25</v>
      </c>
      <c r="AB389" t="s">
        <v>201</v>
      </c>
      <c r="AC389" s="3"/>
      <c r="AH389" t="s">
        <v>202</v>
      </c>
      <c r="AK389" t="s">
        <v>203</v>
      </c>
      <c r="AP389" t="s">
        <v>200</v>
      </c>
      <c r="AR389" s="25"/>
      <c r="AT389" s="25">
        <v>0</v>
      </c>
      <c r="AU389" s="26"/>
      <c r="AV389" s="26"/>
      <c r="AW389" s="26"/>
      <c r="AX389" s="26" t="str">
        <f t="shared" si="18"/>
        <v/>
      </c>
      <c r="AY389" t="str">
        <f t="shared" si="19"/>
        <v/>
      </c>
      <c r="AZ389" t="s">
        <v>200</v>
      </c>
      <c r="BA389" s="3"/>
      <c r="BB389" t="str">
        <f t="shared" si="20"/>
        <v>No scrap rate (No impact);</v>
      </c>
    </row>
    <row r="390" spans="1:54" x14ac:dyDescent="0.3">
      <c r="A390" t="s">
        <v>1777</v>
      </c>
      <c r="B390" t="s">
        <v>1778</v>
      </c>
      <c r="C390" t="s">
        <v>1256</v>
      </c>
      <c r="D390" t="s">
        <v>1257</v>
      </c>
      <c r="G390" t="s">
        <v>725</v>
      </c>
      <c r="H390" t="s">
        <v>197</v>
      </c>
      <c r="J390" t="s">
        <v>1590</v>
      </c>
      <c r="L390">
        <v>0</v>
      </c>
      <c r="M390">
        <v>3.0000000000000001E-3</v>
      </c>
      <c r="N390" t="s">
        <v>198</v>
      </c>
      <c r="O390">
        <v>3.0000000000000001E-3</v>
      </c>
      <c r="P390" t="s">
        <v>198</v>
      </c>
      <c r="Q390" t="s">
        <v>199</v>
      </c>
      <c r="R390" s="3"/>
      <c r="W390" t="s">
        <v>200</v>
      </c>
      <c r="X390" s="25"/>
      <c r="Y390" s="26"/>
      <c r="Z390" s="27"/>
      <c r="AA390" t="s">
        <v>25</v>
      </c>
      <c r="AB390" t="s">
        <v>201</v>
      </c>
      <c r="AC390" s="3"/>
      <c r="AH390" t="s">
        <v>202</v>
      </c>
      <c r="AK390" t="s">
        <v>203</v>
      </c>
      <c r="AP390" t="s">
        <v>200</v>
      </c>
      <c r="AR390" s="25"/>
      <c r="AT390" s="25">
        <v>0</v>
      </c>
      <c r="AU390" s="26"/>
      <c r="AV390" s="26"/>
      <c r="AW390" s="26"/>
      <c r="AX390" s="26" t="str">
        <f t="shared" si="18"/>
        <v/>
      </c>
      <c r="AY390" t="str">
        <f t="shared" si="19"/>
        <v/>
      </c>
      <c r="AZ390" t="s">
        <v>200</v>
      </c>
      <c r="BA390" s="3"/>
      <c r="BB390" t="str">
        <f t="shared" si="20"/>
        <v>No scrap rate (No impact);</v>
      </c>
    </row>
    <row r="391" spans="1:54" x14ac:dyDescent="0.3">
      <c r="A391" t="s">
        <v>1779</v>
      </c>
      <c r="B391" t="s">
        <v>1780</v>
      </c>
      <c r="C391" t="s">
        <v>1256</v>
      </c>
      <c r="D391" t="s">
        <v>1257</v>
      </c>
      <c r="G391" t="s">
        <v>725</v>
      </c>
      <c r="H391" t="s">
        <v>197</v>
      </c>
      <c r="J391" t="s">
        <v>1590</v>
      </c>
      <c r="L391">
        <v>0</v>
      </c>
      <c r="M391">
        <v>3.0000000000000001E-3</v>
      </c>
      <c r="N391" t="s">
        <v>198</v>
      </c>
      <c r="O391">
        <v>3.0000000000000001E-3</v>
      </c>
      <c r="P391" t="s">
        <v>198</v>
      </c>
      <c r="Q391" t="s">
        <v>199</v>
      </c>
      <c r="R391" s="3"/>
      <c r="W391" t="s">
        <v>200</v>
      </c>
      <c r="X391" s="25"/>
      <c r="Y391" s="26"/>
      <c r="Z391" s="27"/>
      <c r="AA391" t="s">
        <v>25</v>
      </c>
      <c r="AB391" t="s">
        <v>201</v>
      </c>
      <c r="AC391" s="3"/>
      <c r="AH391" t="s">
        <v>202</v>
      </c>
      <c r="AK391" t="s">
        <v>203</v>
      </c>
      <c r="AP391" t="s">
        <v>200</v>
      </c>
      <c r="AR391" s="25"/>
      <c r="AT391" s="25">
        <v>0</v>
      </c>
      <c r="AU391" s="26"/>
      <c r="AV391" s="26"/>
      <c r="AW391" s="26"/>
      <c r="AX391" s="26" t="str">
        <f t="shared" si="18"/>
        <v/>
      </c>
      <c r="AY391" t="str">
        <f t="shared" si="19"/>
        <v/>
      </c>
      <c r="AZ391" t="s">
        <v>200</v>
      </c>
      <c r="BA391" s="3"/>
      <c r="BB391" t="str">
        <f t="shared" si="20"/>
        <v>No scrap rate (No impact);</v>
      </c>
    </row>
    <row r="392" spans="1:54" x14ac:dyDescent="0.3">
      <c r="A392" t="s">
        <v>1781</v>
      </c>
      <c r="B392" t="s">
        <v>1782</v>
      </c>
      <c r="C392" t="s">
        <v>1256</v>
      </c>
      <c r="D392" t="s">
        <v>1257</v>
      </c>
      <c r="G392" t="s">
        <v>725</v>
      </c>
      <c r="H392" t="s">
        <v>197</v>
      </c>
      <c r="J392" t="s">
        <v>1590</v>
      </c>
      <c r="L392">
        <v>0</v>
      </c>
      <c r="M392">
        <v>3.0000000000000001E-3</v>
      </c>
      <c r="N392" t="s">
        <v>198</v>
      </c>
      <c r="O392">
        <v>3.0000000000000001E-3</v>
      </c>
      <c r="P392" t="s">
        <v>198</v>
      </c>
      <c r="Q392" t="s">
        <v>199</v>
      </c>
      <c r="R392" s="3"/>
      <c r="W392" t="s">
        <v>200</v>
      </c>
      <c r="X392" s="25"/>
      <c r="Y392" s="26"/>
      <c r="Z392" s="27"/>
      <c r="AA392" t="s">
        <v>25</v>
      </c>
      <c r="AB392" t="s">
        <v>201</v>
      </c>
      <c r="AC392" s="3"/>
      <c r="AH392" t="s">
        <v>202</v>
      </c>
      <c r="AK392" t="s">
        <v>203</v>
      </c>
      <c r="AP392" t="s">
        <v>200</v>
      </c>
      <c r="AR392" s="25"/>
      <c r="AT392" s="25">
        <v>0</v>
      </c>
      <c r="AU392" s="26"/>
      <c r="AV392" s="26"/>
      <c r="AW392" s="26"/>
      <c r="AX392" s="26" t="str">
        <f t="shared" si="18"/>
        <v/>
      </c>
      <c r="AY392" t="str">
        <f t="shared" si="19"/>
        <v/>
      </c>
      <c r="AZ392" t="s">
        <v>200</v>
      </c>
      <c r="BA392" s="3"/>
      <c r="BB392" t="str">
        <f t="shared" si="20"/>
        <v>No scrap rate (No impact);</v>
      </c>
    </row>
    <row r="393" spans="1:54" x14ac:dyDescent="0.3">
      <c r="A393" t="s">
        <v>1783</v>
      </c>
      <c r="B393" t="s">
        <v>1784</v>
      </c>
      <c r="C393" t="s">
        <v>946</v>
      </c>
      <c r="D393" t="s">
        <v>947</v>
      </c>
      <c r="G393" t="s">
        <v>513</v>
      </c>
      <c r="H393" t="s">
        <v>514</v>
      </c>
      <c r="J393" t="s">
        <v>1089</v>
      </c>
      <c r="L393">
        <v>0</v>
      </c>
      <c r="M393">
        <v>0.106</v>
      </c>
      <c r="N393" t="s">
        <v>198</v>
      </c>
      <c r="O393">
        <v>0.106</v>
      </c>
      <c r="P393" t="s">
        <v>198</v>
      </c>
      <c r="Q393" t="s">
        <v>199</v>
      </c>
      <c r="R393" s="3"/>
      <c r="W393" t="s">
        <v>200</v>
      </c>
      <c r="X393" s="25"/>
      <c r="Y393" s="26"/>
      <c r="Z393" s="27"/>
      <c r="AA393" t="s">
        <v>25</v>
      </c>
      <c r="AB393" t="s">
        <v>201</v>
      </c>
      <c r="AC393" s="3"/>
      <c r="AH393" t="s">
        <v>202</v>
      </c>
      <c r="AK393" t="s">
        <v>203</v>
      </c>
      <c r="AP393" t="s">
        <v>200</v>
      </c>
      <c r="AR393" s="25"/>
      <c r="AT393" s="25">
        <v>0</v>
      </c>
      <c r="AU393" s="26"/>
      <c r="AV393" s="26"/>
      <c r="AW393" s="26"/>
      <c r="AX393" s="26" t="str">
        <f t="shared" si="18"/>
        <v/>
      </c>
      <c r="AY393" t="str">
        <f t="shared" si="19"/>
        <v/>
      </c>
      <c r="AZ393" t="s">
        <v>200</v>
      </c>
      <c r="BA393" s="3"/>
      <c r="BB393" t="str">
        <f t="shared" si="20"/>
        <v>No scrap rate (No impact);</v>
      </c>
    </row>
    <row r="394" spans="1:54" x14ac:dyDescent="0.3">
      <c r="A394" t="s">
        <v>1785</v>
      </c>
      <c r="B394" t="s">
        <v>1786</v>
      </c>
      <c r="C394" t="s">
        <v>1110</v>
      </c>
      <c r="D394" t="s">
        <v>1111</v>
      </c>
      <c r="G394" t="s">
        <v>433</v>
      </c>
      <c r="H394" t="s">
        <v>434</v>
      </c>
      <c r="J394" t="s">
        <v>1089</v>
      </c>
      <c r="L394">
        <v>0</v>
      </c>
      <c r="M394">
        <v>0.04</v>
      </c>
      <c r="N394" t="s">
        <v>198</v>
      </c>
      <c r="O394">
        <v>0.04</v>
      </c>
      <c r="P394" t="s">
        <v>198</v>
      </c>
      <c r="Q394" t="s">
        <v>199</v>
      </c>
      <c r="R394" s="3"/>
      <c r="W394" t="s">
        <v>200</v>
      </c>
      <c r="X394" s="25"/>
      <c r="Y394" s="26"/>
      <c r="Z394" s="27"/>
      <c r="AA394" t="s">
        <v>25</v>
      </c>
      <c r="AB394" t="s">
        <v>201</v>
      </c>
      <c r="AC394" s="3"/>
      <c r="AH394" t="s">
        <v>202</v>
      </c>
      <c r="AK394" t="s">
        <v>203</v>
      </c>
      <c r="AP394" t="s">
        <v>200</v>
      </c>
      <c r="AR394" s="25"/>
      <c r="AT394" s="25">
        <v>0</v>
      </c>
      <c r="AU394" s="26"/>
      <c r="AV394" s="26"/>
      <c r="AW394" s="26"/>
      <c r="AX394" s="26" t="str">
        <f t="shared" si="18"/>
        <v/>
      </c>
      <c r="AY394" t="str">
        <f t="shared" si="19"/>
        <v/>
      </c>
      <c r="AZ394" t="s">
        <v>200</v>
      </c>
      <c r="BA394" s="3"/>
      <c r="BB394" t="str">
        <f t="shared" si="20"/>
        <v>No scrap rate (No impact);</v>
      </c>
    </row>
    <row r="395" spans="1:54" x14ac:dyDescent="0.3">
      <c r="A395" t="s">
        <v>1787</v>
      </c>
      <c r="B395" t="s">
        <v>1788</v>
      </c>
      <c r="C395" t="s">
        <v>966</v>
      </c>
      <c r="D395" t="s">
        <v>967</v>
      </c>
      <c r="G395" t="s">
        <v>1721</v>
      </c>
      <c r="H395" t="s">
        <v>1722</v>
      </c>
      <c r="J395" t="s">
        <v>1060</v>
      </c>
      <c r="L395">
        <v>1</v>
      </c>
      <c r="M395">
        <v>8.7999999999999995E-2</v>
      </c>
      <c r="N395" t="s">
        <v>198</v>
      </c>
      <c r="O395">
        <v>8.7999999999999995E-2</v>
      </c>
      <c r="P395" t="s">
        <v>198</v>
      </c>
      <c r="Q395" t="s">
        <v>199</v>
      </c>
      <c r="R395" s="3"/>
      <c r="W395" t="s">
        <v>200</v>
      </c>
      <c r="X395" s="25"/>
      <c r="Y395" s="26"/>
      <c r="Z395" s="27"/>
      <c r="AA395" t="s">
        <v>25</v>
      </c>
      <c r="AB395" t="s">
        <v>201</v>
      </c>
      <c r="AC395" s="3"/>
      <c r="AH395" t="s">
        <v>202</v>
      </c>
      <c r="AK395" t="s">
        <v>203</v>
      </c>
      <c r="AP395" t="s">
        <v>200</v>
      </c>
      <c r="AR395" s="25"/>
      <c r="AT395" s="25">
        <v>0</v>
      </c>
      <c r="AU395" s="26"/>
      <c r="AV395" s="26"/>
      <c r="AW395" s="26"/>
      <c r="AX395" s="26" t="str">
        <f t="shared" si="18"/>
        <v/>
      </c>
      <c r="AY395" t="str">
        <f t="shared" si="19"/>
        <v/>
      </c>
      <c r="AZ395" t="s">
        <v>200</v>
      </c>
      <c r="BA395" s="3"/>
      <c r="BB395" t="str">
        <f t="shared" si="20"/>
        <v>No scrap rate (No impact);</v>
      </c>
    </row>
    <row r="396" spans="1:54" x14ac:dyDescent="0.3">
      <c r="A396" t="s">
        <v>1789</v>
      </c>
      <c r="B396" t="s">
        <v>1790</v>
      </c>
      <c r="C396" t="s">
        <v>1256</v>
      </c>
      <c r="D396" t="s">
        <v>1257</v>
      </c>
      <c r="G396" t="s">
        <v>725</v>
      </c>
      <c r="H396" t="s">
        <v>197</v>
      </c>
      <c r="J396" t="s">
        <v>1590</v>
      </c>
      <c r="L396">
        <v>0</v>
      </c>
      <c r="M396">
        <v>3.0000000000000001E-3</v>
      </c>
      <c r="N396" t="s">
        <v>198</v>
      </c>
      <c r="O396">
        <v>3.0000000000000001E-3</v>
      </c>
      <c r="P396" t="s">
        <v>198</v>
      </c>
      <c r="Q396" t="s">
        <v>199</v>
      </c>
      <c r="R396" s="3"/>
      <c r="W396" t="s">
        <v>200</v>
      </c>
      <c r="X396" s="25"/>
      <c r="Y396" s="26"/>
      <c r="Z396" s="27"/>
      <c r="AA396" t="s">
        <v>25</v>
      </c>
      <c r="AB396" t="s">
        <v>201</v>
      </c>
      <c r="AC396" s="3"/>
      <c r="AH396" t="s">
        <v>202</v>
      </c>
      <c r="AK396" t="s">
        <v>203</v>
      </c>
      <c r="AP396" t="s">
        <v>200</v>
      </c>
      <c r="AR396" s="25"/>
      <c r="AT396" s="25">
        <v>0</v>
      </c>
      <c r="AU396" s="26"/>
      <c r="AV396" s="26"/>
      <c r="AW396" s="26"/>
      <c r="AX396" s="26" t="str">
        <f t="shared" si="18"/>
        <v/>
      </c>
      <c r="AY396" t="str">
        <f t="shared" si="19"/>
        <v/>
      </c>
      <c r="AZ396" t="s">
        <v>200</v>
      </c>
      <c r="BA396" s="3"/>
      <c r="BB396" t="str">
        <f t="shared" si="20"/>
        <v>No scrap rate (No impact);</v>
      </c>
    </row>
    <row r="397" spans="1:54" x14ac:dyDescent="0.3">
      <c r="A397" t="s">
        <v>1791</v>
      </c>
      <c r="B397" t="s">
        <v>1792</v>
      </c>
      <c r="C397" t="s">
        <v>966</v>
      </c>
      <c r="D397" t="s">
        <v>967</v>
      </c>
      <c r="G397" t="s">
        <v>1055</v>
      </c>
      <c r="H397" t="s">
        <v>1056</v>
      </c>
      <c r="J397" t="s">
        <v>1060</v>
      </c>
      <c r="L397">
        <v>0</v>
      </c>
      <c r="M397">
        <v>1.2999999999999999E-2</v>
      </c>
      <c r="N397" t="s">
        <v>198</v>
      </c>
      <c r="O397">
        <v>1.2999999999999999E-2</v>
      </c>
      <c r="P397" t="s">
        <v>198</v>
      </c>
      <c r="Q397" t="s">
        <v>199</v>
      </c>
      <c r="R397" s="3"/>
      <c r="W397" t="s">
        <v>200</v>
      </c>
      <c r="X397" s="25"/>
      <c r="Y397" s="26"/>
      <c r="Z397" s="27"/>
      <c r="AA397" t="s">
        <v>25</v>
      </c>
      <c r="AB397" t="s">
        <v>201</v>
      </c>
      <c r="AC397" s="3"/>
      <c r="AH397" t="s">
        <v>202</v>
      </c>
      <c r="AK397" t="s">
        <v>203</v>
      </c>
      <c r="AP397" t="s">
        <v>200</v>
      </c>
      <c r="AR397" s="25"/>
      <c r="AT397" s="25">
        <v>0</v>
      </c>
      <c r="AU397" s="26"/>
      <c r="AV397" s="26"/>
      <c r="AW397" s="26"/>
      <c r="AX397" s="26" t="str">
        <f t="shared" si="18"/>
        <v/>
      </c>
      <c r="AY397" t="str">
        <f t="shared" si="19"/>
        <v/>
      </c>
      <c r="AZ397" t="s">
        <v>200</v>
      </c>
      <c r="BA397" s="3"/>
      <c r="BB397" t="str">
        <f t="shared" si="20"/>
        <v>No scrap rate (No impact);</v>
      </c>
    </row>
    <row r="398" spans="1:54" x14ac:dyDescent="0.3">
      <c r="A398" t="s">
        <v>1793</v>
      </c>
      <c r="B398" t="s">
        <v>1794</v>
      </c>
      <c r="C398" t="s">
        <v>1110</v>
      </c>
      <c r="D398" t="s">
        <v>1111</v>
      </c>
      <c r="G398" t="s">
        <v>1112</v>
      </c>
      <c r="H398" t="s">
        <v>1113</v>
      </c>
      <c r="J398" t="s">
        <v>1089</v>
      </c>
      <c r="L398">
        <v>1</v>
      </c>
      <c r="M398">
        <v>7.4999999999999997E-2</v>
      </c>
      <c r="N398" t="s">
        <v>198</v>
      </c>
      <c r="O398">
        <v>7.4999999999999997E-2</v>
      </c>
      <c r="P398" t="s">
        <v>198</v>
      </c>
      <c r="Q398" t="s">
        <v>199</v>
      </c>
      <c r="R398" s="3"/>
      <c r="W398" t="s">
        <v>200</v>
      </c>
      <c r="X398" s="25"/>
      <c r="Y398" s="26"/>
      <c r="Z398" s="27"/>
      <c r="AA398" t="s">
        <v>25</v>
      </c>
      <c r="AB398" t="s">
        <v>201</v>
      </c>
      <c r="AC398" s="3"/>
      <c r="AH398" t="s">
        <v>202</v>
      </c>
      <c r="AK398" t="s">
        <v>203</v>
      </c>
      <c r="AP398" t="s">
        <v>200</v>
      </c>
      <c r="AR398" s="25"/>
      <c r="AT398" s="25">
        <v>0</v>
      </c>
      <c r="AU398" s="26"/>
      <c r="AV398" s="26"/>
      <c r="AW398" s="26"/>
      <c r="AX398" s="26" t="str">
        <f t="shared" si="18"/>
        <v/>
      </c>
      <c r="AY398" t="str">
        <f t="shared" si="19"/>
        <v/>
      </c>
      <c r="AZ398" t="s">
        <v>200</v>
      </c>
      <c r="BA398" s="3"/>
      <c r="BB398" t="str">
        <f t="shared" si="20"/>
        <v>No scrap rate (No impact);</v>
      </c>
    </row>
    <row r="399" spans="1:54" x14ac:dyDescent="0.3">
      <c r="A399" t="s">
        <v>1795</v>
      </c>
      <c r="B399" t="s">
        <v>1796</v>
      </c>
      <c r="C399" t="s">
        <v>966</v>
      </c>
      <c r="D399" t="s">
        <v>967</v>
      </c>
      <c r="G399" t="s">
        <v>443</v>
      </c>
      <c r="H399" t="s">
        <v>444</v>
      </c>
      <c r="J399" t="s">
        <v>1046</v>
      </c>
      <c r="L399">
        <v>0</v>
      </c>
      <c r="M399">
        <v>2E-3</v>
      </c>
      <c r="N399" t="s">
        <v>198</v>
      </c>
      <c r="O399">
        <v>2E-3</v>
      </c>
      <c r="P399" t="s">
        <v>198</v>
      </c>
      <c r="Q399" t="s">
        <v>199</v>
      </c>
      <c r="R399" s="3"/>
      <c r="W399" t="s">
        <v>200</v>
      </c>
      <c r="X399" s="25"/>
      <c r="Y399" s="26"/>
      <c r="Z399" s="27"/>
      <c r="AA399" t="s">
        <v>25</v>
      </c>
      <c r="AB399" t="s">
        <v>201</v>
      </c>
      <c r="AC399" s="3"/>
      <c r="AH399" t="s">
        <v>202</v>
      </c>
      <c r="AK399" t="s">
        <v>203</v>
      </c>
      <c r="AP399" t="s">
        <v>200</v>
      </c>
      <c r="AR399" s="25"/>
      <c r="AT399" s="25">
        <v>0</v>
      </c>
      <c r="AU399" s="26"/>
      <c r="AV399" s="26"/>
      <c r="AW399" s="26"/>
      <c r="AX399" s="26" t="str">
        <f t="shared" si="18"/>
        <v/>
      </c>
      <c r="AY399" t="str">
        <f t="shared" si="19"/>
        <v/>
      </c>
      <c r="AZ399" t="s">
        <v>200</v>
      </c>
      <c r="BA399" s="3"/>
      <c r="BB399" t="str">
        <f t="shared" si="20"/>
        <v>No scrap rate (No impact);</v>
      </c>
    </row>
    <row r="400" spans="1:54" x14ac:dyDescent="0.3">
      <c r="A400" t="s">
        <v>1797</v>
      </c>
      <c r="B400" t="s">
        <v>1798</v>
      </c>
      <c r="C400" t="s">
        <v>946</v>
      </c>
      <c r="D400" t="s">
        <v>947</v>
      </c>
      <c r="G400" t="s">
        <v>443</v>
      </c>
      <c r="H400" t="s">
        <v>444</v>
      </c>
      <c r="J400" t="s">
        <v>926</v>
      </c>
      <c r="L400">
        <v>0</v>
      </c>
      <c r="M400">
        <v>0.253</v>
      </c>
      <c r="N400" t="s">
        <v>198</v>
      </c>
      <c r="O400">
        <v>0.253</v>
      </c>
      <c r="P400" t="s">
        <v>198</v>
      </c>
      <c r="Q400" t="s">
        <v>199</v>
      </c>
      <c r="R400" s="3"/>
      <c r="W400" t="s">
        <v>200</v>
      </c>
      <c r="X400" s="25"/>
      <c r="Y400" s="26"/>
      <c r="Z400" s="27"/>
      <c r="AA400" t="s">
        <v>25</v>
      </c>
      <c r="AB400" t="s">
        <v>201</v>
      </c>
      <c r="AC400" s="3"/>
      <c r="AH400" t="s">
        <v>202</v>
      </c>
      <c r="AK400" t="s">
        <v>203</v>
      </c>
      <c r="AP400" t="s">
        <v>200</v>
      </c>
      <c r="AR400" s="25"/>
      <c r="AT400" s="25">
        <v>0</v>
      </c>
      <c r="AU400" s="26"/>
      <c r="AV400" s="26"/>
      <c r="AW400" s="26"/>
      <c r="AX400" s="26" t="str">
        <f t="shared" si="18"/>
        <v/>
      </c>
      <c r="AY400" t="str">
        <f t="shared" si="19"/>
        <v/>
      </c>
      <c r="AZ400" t="s">
        <v>200</v>
      </c>
      <c r="BA400" s="3"/>
      <c r="BB400" t="str">
        <f t="shared" si="20"/>
        <v>No scrap rate (No impact);</v>
      </c>
    </row>
    <row r="401" spans="1:54" x14ac:dyDescent="0.3">
      <c r="A401" t="s">
        <v>1799</v>
      </c>
      <c r="B401" t="s">
        <v>1800</v>
      </c>
      <c r="C401" t="s">
        <v>966</v>
      </c>
      <c r="D401" t="s">
        <v>967</v>
      </c>
      <c r="G401" t="s">
        <v>443</v>
      </c>
      <c r="H401" t="s">
        <v>444</v>
      </c>
      <c r="J401" t="s">
        <v>1046</v>
      </c>
      <c r="L401">
        <v>0</v>
      </c>
      <c r="M401">
        <v>1E-3</v>
      </c>
      <c r="N401" t="s">
        <v>198</v>
      </c>
      <c r="O401">
        <v>1E-3</v>
      </c>
      <c r="P401" t="s">
        <v>198</v>
      </c>
      <c r="Q401" t="s">
        <v>199</v>
      </c>
      <c r="R401" s="3"/>
      <c r="W401" t="s">
        <v>200</v>
      </c>
      <c r="X401" s="25"/>
      <c r="Y401" s="26"/>
      <c r="Z401" s="27"/>
      <c r="AA401" t="s">
        <v>25</v>
      </c>
      <c r="AB401" t="s">
        <v>201</v>
      </c>
      <c r="AC401" s="3"/>
      <c r="AH401" t="s">
        <v>202</v>
      </c>
      <c r="AK401" t="s">
        <v>203</v>
      </c>
      <c r="AP401" t="s">
        <v>200</v>
      </c>
      <c r="AR401" s="25"/>
      <c r="AT401" s="25">
        <v>0</v>
      </c>
      <c r="AU401" s="26"/>
      <c r="AV401" s="26"/>
      <c r="AW401" s="26"/>
      <c r="AX401" s="26" t="str">
        <f t="shared" si="18"/>
        <v/>
      </c>
      <c r="AY401" t="str">
        <f t="shared" si="19"/>
        <v/>
      </c>
      <c r="AZ401" t="s">
        <v>200</v>
      </c>
      <c r="BA401" s="3"/>
      <c r="BB401" t="str">
        <f t="shared" si="20"/>
        <v>No scrap rate (No impact);</v>
      </c>
    </row>
    <row r="402" spans="1:54" x14ac:dyDescent="0.3">
      <c r="A402" t="s">
        <v>1801</v>
      </c>
      <c r="B402" t="s">
        <v>1802</v>
      </c>
      <c r="C402" t="s">
        <v>946</v>
      </c>
      <c r="D402" t="s">
        <v>947</v>
      </c>
      <c r="G402" t="s">
        <v>443</v>
      </c>
      <c r="H402" t="s">
        <v>444</v>
      </c>
      <c r="J402" t="s">
        <v>926</v>
      </c>
      <c r="L402">
        <v>0</v>
      </c>
      <c r="M402">
        <v>0.253</v>
      </c>
      <c r="N402" t="s">
        <v>198</v>
      </c>
      <c r="O402">
        <v>0.253</v>
      </c>
      <c r="P402" t="s">
        <v>198</v>
      </c>
      <c r="Q402" t="s">
        <v>199</v>
      </c>
      <c r="R402" s="3"/>
      <c r="W402" t="s">
        <v>200</v>
      </c>
      <c r="X402" s="25"/>
      <c r="Y402" s="26"/>
      <c r="Z402" s="27"/>
      <c r="AA402" t="s">
        <v>25</v>
      </c>
      <c r="AB402" t="s">
        <v>201</v>
      </c>
      <c r="AC402" s="3"/>
      <c r="AH402" t="s">
        <v>202</v>
      </c>
      <c r="AK402" t="s">
        <v>203</v>
      </c>
      <c r="AP402" t="s">
        <v>200</v>
      </c>
      <c r="AR402" s="25"/>
      <c r="AT402" s="25">
        <v>0</v>
      </c>
      <c r="AU402" s="26"/>
      <c r="AV402" s="26"/>
      <c r="AW402" s="26"/>
      <c r="AX402" s="26" t="str">
        <f t="shared" si="18"/>
        <v/>
      </c>
      <c r="AY402" t="str">
        <f t="shared" si="19"/>
        <v/>
      </c>
      <c r="AZ402" t="s">
        <v>200</v>
      </c>
      <c r="BA402" s="3"/>
      <c r="BB402" t="str">
        <f t="shared" si="20"/>
        <v>No scrap rate (No impact);</v>
      </c>
    </row>
    <row r="403" spans="1:54" x14ac:dyDescent="0.3">
      <c r="A403" t="s">
        <v>1803</v>
      </c>
      <c r="B403" t="s">
        <v>1804</v>
      </c>
      <c r="C403" t="s">
        <v>1110</v>
      </c>
      <c r="D403" t="s">
        <v>1111</v>
      </c>
      <c r="G403" t="s">
        <v>443</v>
      </c>
      <c r="H403" t="s">
        <v>444</v>
      </c>
      <c r="J403" t="s">
        <v>1089</v>
      </c>
      <c r="L403">
        <v>0</v>
      </c>
      <c r="M403">
        <v>0.19400000000000001</v>
      </c>
      <c r="N403" t="s">
        <v>198</v>
      </c>
      <c r="O403">
        <v>0.19400000000000001</v>
      </c>
      <c r="P403" t="s">
        <v>198</v>
      </c>
      <c r="Q403" t="s">
        <v>199</v>
      </c>
      <c r="R403" s="3"/>
      <c r="W403" t="s">
        <v>200</v>
      </c>
      <c r="X403" s="25"/>
      <c r="Y403" s="26"/>
      <c r="Z403" s="27"/>
      <c r="AA403" t="s">
        <v>25</v>
      </c>
      <c r="AB403" t="s">
        <v>201</v>
      </c>
      <c r="AC403" s="3"/>
      <c r="AH403" t="s">
        <v>202</v>
      </c>
      <c r="AK403" t="s">
        <v>203</v>
      </c>
      <c r="AP403" t="s">
        <v>200</v>
      </c>
      <c r="AR403" s="25"/>
      <c r="AT403" s="25">
        <v>0</v>
      </c>
      <c r="AU403" s="26"/>
      <c r="AV403" s="26"/>
      <c r="AW403" s="26"/>
      <c r="AX403" s="26" t="str">
        <f t="shared" si="18"/>
        <v/>
      </c>
      <c r="AY403" t="str">
        <f t="shared" si="19"/>
        <v/>
      </c>
      <c r="AZ403" t="s">
        <v>200</v>
      </c>
      <c r="BA403" s="3"/>
      <c r="BB403" t="str">
        <f t="shared" si="20"/>
        <v>No scrap rate (No impact);</v>
      </c>
    </row>
    <row r="404" spans="1:54" x14ac:dyDescent="0.3">
      <c r="A404" t="s">
        <v>1805</v>
      </c>
      <c r="B404" t="s">
        <v>1806</v>
      </c>
      <c r="C404" t="s">
        <v>946</v>
      </c>
      <c r="D404" t="s">
        <v>947</v>
      </c>
      <c r="G404" t="s">
        <v>443</v>
      </c>
      <c r="H404" t="s">
        <v>444</v>
      </c>
      <c r="J404" t="s">
        <v>926</v>
      </c>
      <c r="L404">
        <v>0</v>
      </c>
      <c r="M404">
        <v>0.253</v>
      </c>
      <c r="N404" t="s">
        <v>198</v>
      </c>
      <c r="O404">
        <v>0.253</v>
      </c>
      <c r="P404" t="s">
        <v>198</v>
      </c>
      <c r="Q404" t="s">
        <v>199</v>
      </c>
      <c r="R404" s="3"/>
      <c r="W404" t="s">
        <v>200</v>
      </c>
      <c r="X404" s="25"/>
      <c r="Y404" s="26"/>
      <c r="Z404" s="27"/>
      <c r="AA404" t="s">
        <v>25</v>
      </c>
      <c r="AB404" t="s">
        <v>201</v>
      </c>
      <c r="AC404" s="3"/>
      <c r="AH404" t="s">
        <v>202</v>
      </c>
      <c r="AK404" t="s">
        <v>203</v>
      </c>
      <c r="AP404" t="s">
        <v>200</v>
      </c>
      <c r="AR404" s="25"/>
      <c r="AT404" s="25">
        <v>0</v>
      </c>
      <c r="AU404" s="26"/>
      <c r="AV404" s="26"/>
      <c r="AW404" s="26"/>
      <c r="AX404" s="26" t="str">
        <f t="shared" si="18"/>
        <v/>
      </c>
      <c r="AY404" t="str">
        <f t="shared" si="19"/>
        <v/>
      </c>
      <c r="AZ404" t="s">
        <v>200</v>
      </c>
      <c r="BA404" s="3"/>
      <c r="BB404" t="str">
        <f t="shared" si="20"/>
        <v>No scrap rate (No impact);</v>
      </c>
    </row>
    <row r="405" spans="1:54" x14ac:dyDescent="0.3">
      <c r="A405" t="s">
        <v>1807</v>
      </c>
      <c r="B405" t="s">
        <v>1808</v>
      </c>
      <c r="C405" t="s">
        <v>1110</v>
      </c>
      <c r="D405" t="s">
        <v>1111</v>
      </c>
      <c r="G405" t="s">
        <v>443</v>
      </c>
      <c r="H405" t="s">
        <v>444</v>
      </c>
      <c r="J405" t="s">
        <v>926</v>
      </c>
      <c r="L405">
        <v>0</v>
      </c>
      <c r="M405">
        <v>0.108</v>
      </c>
      <c r="N405" t="s">
        <v>198</v>
      </c>
      <c r="O405">
        <v>0.108</v>
      </c>
      <c r="P405" t="s">
        <v>198</v>
      </c>
      <c r="Q405" t="s">
        <v>199</v>
      </c>
      <c r="R405" s="3"/>
      <c r="W405" t="s">
        <v>200</v>
      </c>
      <c r="X405" s="25"/>
      <c r="Y405" s="26"/>
      <c r="Z405" s="27"/>
      <c r="AA405" t="s">
        <v>25</v>
      </c>
      <c r="AB405" t="s">
        <v>201</v>
      </c>
      <c r="AC405" s="3"/>
      <c r="AH405" t="s">
        <v>202</v>
      </c>
      <c r="AK405" t="s">
        <v>203</v>
      </c>
      <c r="AP405" t="s">
        <v>200</v>
      </c>
      <c r="AR405" s="25"/>
      <c r="AT405" s="25">
        <v>0</v>
      </c>
      <c r="AU405" s="26"/>
      <c r="AV405" s="26"/>
      <c r="AW405" s="26"/>
      <c r="AX405" s="26" t="str">
        <f t="shared" si="18"/>
        <v/>
      </c>
      <c r="AY405" t="str">
        <f t="shared" si="19"/>
        <v/>
      </c>
      <c r="AZ405" t="s">
        <v>200</v>
      </c>
      <c r="BA405" s="3"/>
      <c r="BB405" t="str">
        <f t="shared" si="20"/>
        <v>No scrap rate (No impact);</v>
      </c>
    </row>
    <row r="406" spans="1:54" x14ac:dyDescent="0.3">
      <c r="A406" t="s">
        <v>1809</v>
      </c>
      <c r="B406" t="s">
        <v>1810</v>
      </c>
      <c r="C406" t="s">
        <v>946</v>
      </c>
      <c r="D406" t="s">
        <v>947</v>
      </c>
      <c r="G406" t="s">
        <v>443</v>
      </c>
      <c r="H406" t="s">
        <v>444</v>
      </c>
      <c r="J406" t="s">
        <v>926</v>
      </c>
      <c r="L406">
        <v>0</v>
      </c>
      <c r="M406">
        <v>0.253</v>
      </c>
      <c r="N406" t="s">
        <v>198</v>
      </c>
      <c r="O406">
        <v>0.253</v>
      </c>
      <c r="P406" t="s">
        <v>198</v>
      </c>
      <c r="Q406" t="s">
        <v>199</v>
      </c>
      <c r="R406" s="3"/>
      <c r="W406" t="s">
        <v>200</v>
      </c>
      <c r="X406" s="25"/>
      <c r="Y406" s="26"/>
      <c r="Z406" s="27"/>
      <c r="AA406" t="s">
        <v>25</v>
      </c>
      <c r="AB406" t="s">
        <v>201</v>
      </c>
      <c r="AC406" s="3"/>
      <c r="AH406" t="s">
        <v>202</v>
      </c>
      <c r="AK406" t="s">
        <v>203</v>
      </c>
      <c r="AP406" t="s">
        <v>200</v>
      </c>
      <c r="AR406" s="25"/>
      <c r="AT406" s="25">
        <v>0</v>
      </c>
      <c r="AU406" s="26"/>
      <c r="AV406" s="26"/>
      <c r="AW406" s="26"/>
      <c r="AX406" s="26" t="str">
        <f t="shared" si="18"/>
        <v/>
      </c>
      <c r="AY406" t="str">
        <f t="shared" si="19"/>
        <v/>
      </c>
      <c r="AZ406" t="s">
        <v>200</v>
      </c>
      <c r="BA406" s="3"/>
      <c r="BB406" t="str">
        <f t="shared" si="20"/>
        <v>No scrap rate (No impact);</v>
      </c>
    </row>
    <row r="407" spans="1:54" x14ac:dyDescent="0.3">
      <c r="A407" t="s">
        <v>1811</v>
      </c>
      <c r="B407" t="s">
        <v>1812</v>
      </c>
      <c r="C407" t="s">
        <v>1110</v>
      </c>
      <c r="D407" t="s">
        <v>1111</v>
      </c>
      <c r="G407" t="s">
        <v>274</v>
      </c>
      <c r="H407" t="s">
        <v>275</v>
      </c>
      <c r="J407" t="s">
        <v>1089</v>
      </c>
      <c r="L407">
        <v>0</v>
      </c>
      <c r="M407">
        <v>1.2E-2</v>
      </c>
      <c r="N407" t="s">
        <v>198</v>
      </c>
      <c r="O407">
        <v>1.2E-2</v>
      </c>
      <c r="P407" t="s">
        <v>198</v>
      </c>
      <c r="Q407" t="s">
        <v>199</v>
      </c>
      <c r="R407" s="3"/>
      <c r="W407" t="s">
        <v>200</v>
      </c>
      <c r="X407" s="25"/>
      <c r="Y407" s="26"/>
      <c r="Z407" s="27"/>
      <c r="AA407" t="s">
        <v>25</v>
      </c>
      <c r="AB407" t="s">
        <v>201</v>
      </c>
      <c r="AC407" s="3"/>
      <c r="AH407" t="s">
        <v>202</v>
      </c>
      <c r="AK407" t="s">
        <v>203</v>
      </c>
      <c r="AP407" t="s">
        <v>200</v>
      </c>
      <c r="AR407" s="25"/>
      <c r="AT407" s="25">
        <v>0</v>
      </c>
      <c r="AU407" s="26"/>
      <c r="AV407" s="26"/>
      <c r="AW407" s="26"/>
      <c r="AX407" s="26" t="str">
        <f t="shared" si="18"/>
        <v/>
      </c>
      <c r="AY407" t="str">
        <f t="shared" si="19"/>
        <v/>
      </c>
      <c r="AZ407" t="s">
        <v>200</v>
      </c>
      <c r="BA407" s="3"/>
      <c r="BB407" t="str">
        <f t="shared" si="20"/>
        <v>No scrap rate (No impact);</v>
      </c>
    </row>
    <row r="408" spans="1:54" x14ac:dyDescent="0.3">
      <c r="A408" t="s">
        <v>1813</v>
      </c>
      <c r="B408" t="s">
        <v>1814</v>
      </c>
      <c r="C408" t="s">
        <v>1256</v>
      </c>
      <c r="D408" t="s">
        <v>1257</v>
      </c>
      <c r="G408" t="s">
        <v>274</v>
      </c>
      <c r="H408" t="s">
        <v>275</v>
      </c>
      <c r="J408" t="s">
        <v>1815</v>
      </c>
      <c r="L408">
        <v>0</v>
      </c>
      <c r="M408">
        <v>3.0000000000000001E-3</v>
      </c>
      <c r="N408" t="s">
        <v>198</v>
      </c>
      <c r="O408">
        <v>3.0000000000000001E-3</v>
      </c>
      <c r="P408" t="s">
        <v>198</v>
      </c>
      <c r="Q408" t="s">
        <v>199</v>
      </c>
      <c r="R408" s="3"/>
      <c r="W408" t="s">
        <v>200</v>
      </c>
      <c r="X408" s="25"/>
      <c r="Y408" s="26"/>
      <c r="Z408" s="27"/>
      <c r="AA408" t="s">
        <v>25</v>
      </c>
      <c r="AB408" t="s">
        <v>201</v>
      </c>
      <c r="AC408" s="3"/>
      <c r="AH408" t="s">
        <v>202</v>
      </c>
      <c r="AK408" t="s">
        <v>203</v>
      </c>
      <c r="AP408" t="s">
        <v>200</v>
      </c>
      <c r="AR408" s="25"/>
      <c r="AT408" s="25">
        <v>0</v>
      </c>
      <c r="AU408" s="26"/>
      <c r="AV408" s="26"/>
      <c r="AW408" s="26"/>
      <c r="AX408" s="26" t="str">
        <f t="shared" si="18"/>
        <v/>
      </c>
      <c r="AY408" t="str">
        <f t="shared" si="19"/>
        <v/>
      </c>
      <c r="AZ408" t="s">
        <v>200</v>
      </c>
      <c r="BA408" s="3"/>
      <c r="BB408" t="str">
        <f t="shared" si="20"/>
        <v>No scrap rate (No impact);</v>
      </c>
    </row>
    <row r="409" spans="1:54" x14ac:dyDescent="0.3">
      <c r="A409" t="s">
        <v>1816</v>
      </c>
      <c r="B409" t="s">
        <v>1817</v>
      </c>
      <c r="C409" t="s">
        <v>1256</v>
      </c>
      <c r="D409" t="s">
        <v>1257</v>
      </c>
      <c r="G409" t="s">
        <v>274</v>
      </c>
      <c r="H409" t="s">
        <v>275</v>
      </c>
      <c r="J409" t="s">
        <v>1815</v>
      </c>
      <c r="L409">
        <v>0</v>
      </c>
      <c r="M409">
        <v>4.0000000000000001E-3</v>
      </c>
      <c r="N409" t="s">
        <v>198</v>
      </c>
      <c r="O409">
        <v>4.0000000000000001E-3</v>
      </c>
      <c r="P409" t="s">
        <v>198</v>
      </c>
      <c r="Q409" t="s">
        <v>199</v>
      </c>
      <c r="R409" s="3"/>
      <c r="W409" t="s">
        <v>200</v>
      </c>
      <c r="X409" s="25"/>
      <c r="Y409" s="26"/>
      <c r="Z409" s="27"/>
      <c r="AA409" t="s">
        <v>25</v>
      </c>
      <c r="AB409" t="s">
        <v>201</v>
      </c>
      <c r="AC409" s="3"/>
      <c r="AH409" t="s">
        <v>202</v>
      </c>
      <c r="AK409" t="s">
        <v>203</v>
      </c>
      <c r="AP409" t="s">
        <v>200</v>
      </c>
      <c r="AR409" s="25"/>
      <c r="AT409" s="25">
        <v>0</v>
      </c>
      <c r="AU409" s="26"/>
      <c r="AV409" s="26"/>
      <c r="AW409" s="26"/>
      <c r="AX409" s="26" t="str">
        <f t="shared" si="18"/>
        <v/>
      </c>
      <c r="AY409" t="str">
        <f t="shared" si="19"/>
        <v/>
      </c>
      <c r="AZ409" t="s">
        <v>200</v>
      </c>
      <c r="BA409" s="3"/>
      <c r="BB409" t="str">
        <f t="shared" si="20"/>
        <v>No scrap rate (No impact);</v>
      </c>
    </row>
    <row r="410" spans="1:54" x14ac:dyDescent="0.3">
      <c r="A410" t="s">
        <v>1818</v>
      </c>
      <c r="B410" t="s">
        <v>1819</v>
      </c>
      <c r="C410" t="s">
        <v>1256</v>
      </c>
      <c r="D410" t="s">
        <v>1257</v>
      </c>
      <c r="G410" t="s">
        <v>274</v>
      </c>
      <c r="H410" t="s">
        <v>275</v>
      </c>
      <c r="J410" t="s">
        <v>1590</v>
      </c>
      <c r="L410">
        <v>0</v>
      </c>
      <c r="M410">
        <v>4.0000000000000001E-3</v>
      </c>
      <c r="N410" t="s">
        <v>198</v>
      </c>
      <c r="O410">
        <v>4.0000000000000001E-3</v>
      </c>
      <c r="P410" t="s">
        <v>198</v>
      </c>
      <c r="Q410" t="s">
        <v>199</v>
      </c>
      <c r="R410" s="3"/>
      <c r="W410" t="s">
        <v>200</v>
      </c>
      <c r="X410" s="25"/>
      <c r="Y410" s="26"/>
      <c r="Z410" s="27"/>
      <c r="AA410" t="s">
        <v>25</v>
      </c>
      <c r="AB410" t="s">
        <v>201</v>
      </c>
      <c r="AC410" s="3"/>
      <c r="AH410" t="s">
        <v>202</v>
      </c>
      <c r="AK410" t="s">
        <v>203</v>
      </c>
      <c r="AP410" t="s">
        <v>200</v>
      </c>
      <c r="AR410" s="25"/>
      <c r="AT410" s="25">
        <v>0</v>
      </c>
      <c r="AU410" s="26"/>
      <c r="AV410" s="26"/>
      <c r="AW410" s="26"/>
      <c r="AX410" s="26" t="str">
        <f t="shared" si="18"/>
        <v/>
      </c>
      <c r="AY410" t="str">
        <f t="shared" si="19"/>
        <v/>
      </c>
      <c r="AZ410" t="s">
        <v>200</v>
      </c>
      <c r="BA410" s="3"/>
      <c r="BB410" t="str">
        <f t="shared" si="20"/>
        <v>No scrap rate (No impact);</v>
      </c>
    </row>
    <row r="411" spans="1:54" x14ac:dyDescent="0.3">
      <c r="A411" t="s">
        <v>1820</v>
      </c>
      <c r="B411" t="s">
        <v>1821</v>
      </c>
      <c r="C411" t="s">
        <v>966</v>
      </c>
      <c r="D411" t="s">
        <v>967</v>
      </c>
      <c r="G411" t="s">
        <v>683</v>
      </c>
      <c r="H411" t="s">
        <v>684</v>
      </c>
      <c r="L411">
        <v>0</v>
      </c>
      <c r="M411">
        <v>0</v>
      </c>
      <c r="N411" t="s">
        <v>198</v>
      </c>
      <c r="O411">
        <v>0</v>
      </c>
      <c r="P411" t="s">
        <v>198</v>
      </c>
      <c r="Q411" t="s">
        <v>199</v>
      </c>
      <c r="R411" s="3"/>
      <c r="W411" t="s">
        <v>200</v>
      </c>
      <c r="X411" s="25"/>
      <c r="Y411" s="26"/>
      <c r="Z411" s="27"/>
      <c r="AA411" t="s">
        <v>25</v>
      </c>
      <c r="AB411" t="s">
        <v>201</v>
      </c>
      <c r="AC411" s="3"/>
      <c r="AH411" t="s">
        <v>202</v>
      </c>
      <c r="AK411" t="s">
        <v>203</v>
      </c>
      <c r="AP411" t="s">
        <v>200</v>
      </c>
      <c r="AR411" s="25"/>
      <c r="AT411" s="25">
        <v>0</v>
      </c>
      <c r="AU411" s="26"/>
      <c r="AV411" s="26"/>
      <c r="AW411" s="26"/>
      <c r="AX411" s="26" t="str">
        <f t="shared" si="18"/>
        <v/>
      </c>
      <c r="AY411" t="str">
        <f t="shared" si="19"/>
        <v/>
      </c>
      <c r="AZ411" t="s">
        <v>200</v>
      </c>
      <c r="BA411" s="3"/>
      <c r="BB411" t="str">
        <f t="shared" si="20"/>
        <v>No scrap rate (No impact);No raw material available (High);</v>
      </c>
    </row>
    <row r="412" spans="1:54" x14ac:dyDescent="0.3">
      <c r="A412" t="s">
        <v>1822</v>
      </c>
      <c r="B412" t="s">
        <v>1823</v>
      </c>
      <c r="C412" t="s">
        <v>1018</v>
      </c>
      <c r="D412" t="s">
        <v>1019</v>
      </c>
      <c r="G412" t="s">
        <v>443</v>
      </c>
      <c r="H412" t="s">
        <v>444</v>
      </c>
      <c r="J412" t="s">
        <v>926</v>
      </c>
      <c r="L412">
        <v>0</v>
      </c>
      <c r="M412">
        <v>0</v>
      </c>
      <c r="N412" t="s">
        <v>198</v>
      </c>
      <c r="O412">
        <v>0</v>
      </c>
      <c r="P412" t="s">
        <v>198</v>
      </c>
      <c r="Q412" t="s">
        <v>199</v>
      </c>
      <c r="R412" s="3"/>
      <c r="W412" t="s">
        <v>200</v>
      </c>
      <c r="X412" s="25"/>
      <c r="Y412" s="26"/>
      <c r="Z412" s="27"/>
      <c r="AA412" t="s">
        <v>25</v>
      </c>
      <c r="AB412" t="s">
        <v>201</v>
      </c>
      <c r="AC412" s="3"/>
      <c r="AH412" t="s">
        <v>202</v>
      </c>
      <c r="AK412" t="s">
        <v>203</v>
      </c>
      <c r="AP412" t="s">
        <v>200</v>
      </c>
      <c r="AR412" s="25"/>
      <c r="AT412" s="25">
        <v>0</v>
      </c>
      <c r="AU412" s="26"/>
      <c r="AV412" s="26"/>
      <c r="AW412" s="26"/>
      <c r="AX412" s="26" t="str">
        <f t="shared" si="18"/>
        <v/>
      </c>
      <c r="AY412" t="str">
        <f t="shared" si="19"/>
        <v/>
      </c>
      <c r="AZ412" t="s">
        <v>200</v>
      </c>
      <c r="BA412" s="3"/>
      <c r="BB412" t="str">
        <f t="shared" si="20"/>
        <v>No scrap rate (No impact);</v>
      </c>
    </row>
    <row r="413" spans="1:54" x14ac:dyDescent="0.3">
      <c r="A413" t="s">
        <v>1824</v>
      </c>
      <c r="B413" t="s">
        <v>1825</v>
      </c>
      <c r="C413" t="s">
        <v>1256</v>
      </c>
      <c r="D413" t="s">
        <v>1257</v>
      </c>
      <c r="L413">
        <v>0</v>
      </c>
      <c r="M413">
        <v>0</v>
      </c>
      <c r="N413" t="s">
        <v>198</v>
      </c>
      <c r="O413">
        <v>0</v>
      </c>
      <c r="P413" t="s">
        <v>198</v>
      </c>
      <c r="Q413" t="s">
        <v>199</v>
      </c>
      <c r="R413" s="3"/>
      <c r="W413" t="s">
        <v>200</v>
      </c>
      <c r="X413" s="25"/>
      <c r="Y413" s="26"/>
      <c r="Z413" s="27"/>
      <c r="AA413" t="s">
        <v>25</v>
      </c>
      <c r="AB413" t="s">
        <v>201</v>
      </c>
      <c r="AC413" s="3"/>
      <c r="AH413" t="s">
        <v>202</v>
      </c>
      <c r="AK413" t="s">
        <v>203</v>
      </c>
      <c r="AP413" t="s">
        <v>200</v>
      </c>
      <c r="AR413" s="25"/>
      <c r="AT413" s="25">
        <v>0</v>
      </c>
      <c r="AU413" s="26"/>
      <c r="AV413" s="26"/>
      <c r="AW413" s="26"/>
      <c r="AX413" s="26" t="str">
        <f t="shared" si="18"/>
        <v/>
      </c>
      <c r="AY413" t="str">
        <f t="shared" si="19"/>
        <v/>
      </c>
      <c r="AZ413" t="s">
        <v>200</v>
      </c>
      <c r="BA413" s="3"/>
      <c r="BB413" t="str">
        <f t="shared" si="20"/>
        <v>Supplier code empty (High);No scrap rate (No impact);No raw material available (High);</v>
      </c>
    </row>
    <row r="414" spans="1:54" x14ac:dyDescent="0.3">
      <c r="A414" t="s">
        <v>1826</v>
      </c>
      <c r="B414" t="s">
        <v>1827</v>
      </c>
      <c r="C414" t="s">
        <v>1110</v>
      </c>
      <c r="D414" t="s">
        <v>1111</v>
      </c>
      <c r="G414" t="s">
        <v>1112</v>
      </c>
      <c r="H414" t="s">
        <v>1113</v>
      </c>
      <c r="J414" t="s">
        <v>1089</v>
      </c>
      <c r="L414">
        <v>1</v>
      </c>
      <c r="M414">
        <v>0.03</v>
      </c>
      <c r="N414" t="s">
        <v>198</v>
      </c>
      <c r="O414">
        <v>0.03</v>
      </c>
      <c r="P414" t="s">
        <v>198</v>
      </c>
      <c r="Q414" t="s">
        <v>199</v>
      </c>
      <c r="R414" s="3"/>
      <c r="W414" t="s">
        <v>200</v>
      </c>
      <c r="X414" s="25"/>
      <c r="Y414" s="26"/>
      <c r="Z414" s="27"/>
      <c r="AA414" t="s">
        <v>25</v>
      </c>
      <c r="AB414" t="s">
        <v>201</v>
      </c>
      <c r="AC414" s="3"/>
      <c r="AH414" t="s">
        <v>202</v>
      </c>
      <c r="AK414" t="s">
        <v>203</v>
      </c>
      <c r="AP414" t="s">
        <v>200</v>
      </c>
      <c r="AR414" s="25"/>
      <c r="AT414" s="25">
        <v>0</v>
      </c>
      <c r="AU414" s="26"/>
      <c r="AV414" s="26"/>
      <c r="AW414" s="26"/>
      <c r="AX414" s="26" t="str">
        <f t="shared" si="18"/>
        <v/>
      </c>
      <c r="AY414" t="str">
        <f t="shared" si="19"/>
        <v/>
      </c>
      <c r="AZ414" t="s">
        <v>200</v>
      </c>
      <c r="BA414" s="3"/>
      <c r="BB414" t="str">
        <f t="shared" si="20"/>
        <v>No scrap rate (No impact);</v>
      </c>
    </row>
    <row r="415" spans="1:54" x14ac:dyDescent="0.3">
      <c r="A415" t="s">
        <v>1828</v>
      </c>
      <c r="B415" t="s">
        <v>1829</v>
      </c>
      <c r="C415" t="s">
        <v>1110</v>
      </c>
      <c r="D415" t="s">
        <v>1111</v>
      </c>
      <c r="G415" t="s">
        <v>1112</v>
      </c>
      <c r="H415" t="s">
        <v>1113</v>
      </c>
      <c r="J415" t="s">
        <v>1089</v>
      </c>
      <c r="L415">
        <v>1</v>
      </c>
      <c r="M415">
        <v>6.2E-2</v>
      </c>
      <c r="N415" t="s">
        <v>198</v>
      </c>
      <c r="O415">
        <v>6.2E-2</v>
      </c>
      <c r="P415" t="s">
        <v>198</v>
      </c>
      <c r="Q415" t="s">
        <v>199</v>
      </c>
      <c r="R415" s="3"/>
      <c r="W415" t="s">
        <v>200</v>
      </c>
      <c r="X415" s="25"/>
      <c r="Y415" s="26"/>
      <c r="Z415" s="27"/>
      <c r="AA415" t="s">
        <v>25</v>
      </c>
      <c r="AB415" t="s">
        <v>201</v>
      </c>
      <c r="AC415" s="3"/>
      <c r="AH415" t="s">
        <v>202</v>
      </c>
      <c r="AK415" t="s">
        <v>203</v>
      </c>
      <c r="AP415" t="s">
        <v>200</v>
      </c>
      <c r="AR415" s="25"/>
      <c r="AT415" s="25">
        <v>0</v>
      </c>
      <c r="AU415" s="26"/>
      <c r="AV415" s="26"/>
      <c r="AW415" s="26"/>
      <c r="AX415" s="26" t="str">
        <f t="shared" si="18"/>
        <v/>
      </c>
      <c r="AY415" t="str">
        <f t="shared" si="19"/>
        <v/>
      </c>
      <c r="AZ415" t="s">
        <v>200</v>
      </c>
      <c r="BA415" s="3"/>
      <c r="BB415" t="str">
        <f t="shared" si="20"/>
        <v>No scrap rate (No impact);</v>
      </c>
    </row>
    <row r="416" spans="1:54" x14ac:dyDescent="0.3">
      <c r="A416" t="s">
        <v>1830</v>
      </c>
      <c r="B416" t="s">
        <v>1831</v>
      </c>
      <c r="C416" t="s">
        <v>1110</v>
      </c>
      <c r="D416" t="s">
        <v>1111</v>
      </c>
      <c r="G416" t="s">
        <v>1112</v>
      </c>
      <c r="H416" t="s">
        <v>1113</v>
      </c>
      <c r="J416" t="s">
        <v>1089</v>
      </c>
      <c r="L416">
        <v>1</v>
      </c>
      <c r="M416">
        <v>6.2E-2</v>
      </c>
      <c r="N416" t="s">
        <v>198</v>
      </c>
      <c r="O416">
        <v>6.2E-2</v>
      </c>
      <c r="P416" t="s">
        <v>198</v>
      </c>
      <c r="Q416" t="s">
        <v>199</v>
      </c>
      <c r="R416" s="3"/>
      <c r="W416" t="s">
        <v>200</v>
      </c>
      <c r="X416" s="25"/>
      <c r="Y416" s="26"/>
      <c r="Z416" s="27"/>
      <c r="AA416" t="s">
        <v>25</v>
      </c>
      <c r="AB416" t="s">
        <v>201</v>
      </c>
      <c r="AC416" s="3"/>
      <c r="AH416" t="s">
        <v>202</v>
      </c>
      <c r="AK416" t="s">
        <v>203</v>
      </c>
      <c r="AP416" t="s">
        <v>200</v>
      </c>
      <c r="AR416" s="25"/>
      <c r="AT416" s="25">
        <v>0</v>
      </c>
      <c r="AU416" s="26"/>
      <c r="AV416" s="26"/>
      <c r="AW416" s="26"/>
      <c r="AX416" s="26" t="str">
        <f t="shared" si="18"/>
        <v/>
      </c>
      <c r="AY416" t="str">
        <f t="shared" si="19"/>
        <v/>
      </c>
      <c r="AZ416" t="s">
        <v>200</v>
      </c>
      <c r="BA416" s="3"/>
      <c r="BB416" t="str">
        <f t="shared" si="20"/>
        <v>No scrap rate (No impact);</v>
      </c>
    </row>
    <row r="417" spans="1:54" x14ac:dyDescent="0.3">
      <c r="A417" t="s">
        <v>1832</v>
      </c>
      <c r="B417" t="s">
        <v>1833</v>
      </c>
      <c r="C417" t="s">
        <v>1110</v>
      </c>
      <c r="D417" t="s">
        <v>1111</v>
      </c>
      <c r="G417" t="s">
        <v>1633</v>
      </c>
      <c r="H417" t="s">
        <v>1634</v>
      </c>
      <c r="J417" t="s">
        <v>926</v>
      </c>
      <c r="L417">
        <v>1</v>
      </c>
      <c r="M417">
        <v>0.106</v>
      </c>
      <c r="N417" t="s">
        <v>198</v>
      </c>
      <c r="O417">
        <v>0.106</v>
      </c>
      <c r="P417" t="s">
        <v>198</v>
      </c>
      <c r="Q417" t="s">
        <v>199</v>
      </c>
      <c r="R417" s="3"/>
      <c r="W417" t="s">
        <v>200</v>
      </c>
      <c r="X417" s="25"/>
      <c r="Y417" s="26"/>
      <c r="Z417" s="27"/>
      <c r="AA417" t="s">
        <v>25</v>
      </c>
      <c r="AB417" t="s">
        <v>201</v>
      </c>
      <c r="AC417" s="3"/>
      <c r="AH417" t="s">
        <v>202</v>
      </c>
      <c r="AK417" t="s">
        <v>203</v>
      </c>
      <c r="AP417" t="s">
        <v>200</v>
      </c>
      <c r="AR417" s="25"/>
      <c r="AT417" s="25">
        <v>0</v>
      </c>
      <c r="AU417" s="26"/>
      <c r="AV417" s="26"/>
      <c r="AW417" s="26"/>
      <c r="AX417" s="26" t="str">
        <f t="shared" si="18"/>
        <v/>
      </c>
      <c r="AY417" t="str">
        <f t="shared" si="19"/>
        <v/>
      </c>
      <c r="AZ417" t="s">
        <v>200</v>
      </c>
      <c r="BA417" s="3"/>
      <c r="BB417" t="str">
        <f t="shared" si="20"/>
        <v>No scrap rate (No impact);</v>
      </c>
    </row>
    <row r="418" spans="1:54" x14ac:dyDescent="0.3">
      <c r="A418" t="s">
        <v>1834</v>
      </c>
      <c r="B418" t="s">
        <v>1835</v>
      </c>
      <c r="C418" t="s">
        <v>1110</v>
      </c>
      <c r="D418" t="s">
        <v>1111</v>
      </c>
      <c r="G418" t="s">
        <v>1655</v>
      </c>
      <c r="H418" t="s">
        <v>1656</v>
      </c>
      <c r="J418" t="s">
        <v>1089</v>
      </c>
      <c r="L418">
        <v>1</v>
      </c>
      <c r="M418">
        <v>0.03</v>
      </c>
      <c r="N418" t="s">
        <v>198</v>
      </c>
      <c r="O418">
        <v>0.03</v>
      </c>
      <c r="P418" t="s">
        <v>198</v>
      </c>
      <c r="Q418" t="s">
        <v>199</v>
      </c>
      <c r="R418" s="3"/>
      <c r="W418" t="s">
        <v>200</v>
      </c>
      <c r="X418" s="25"/>
      <c r="Y418" s="26"/>
      <c r="Z418" s="27"/>
      <c r="AA418" t="s">
        <v>25</v>
      </c>
      <c r="AB418" t="s">
        <v>201</v>
      </c>
      <c r="AC418" s="3"/>
      <c r="AH418" t="s">
        <v>202</v>
      </c>
      <c r="AK418" t="s">
        <v>203</v>
      </c>
      <c r="AP418" t="s">
        <v>200</v>
      </c>
      <c r="AR418" s="25"/>
      <c r="AT418" s="25">
        <v>0</v>
      </c>
      <c r="AU418" s="26"/>
      <c r="AV418" s="26"/>
      <c r="AW418" s="26"/>
      <c r="AX418" s="26" t="str">
        <f t="shared" si="18"/>
        <v/>
      </c>
      <c r="AY418" t="str">
        <f t="shared" si="19"/>
        <v/>
      </c>
      <c r="AZ418" t="s">
        <v>200</v>
      </c>
      <c r="BA418" s="3"/>
      <c r="BB418" t="str">
        <f t="shared" si="20"/>
        <v>No scrap rate (No impact);</v>
      </c>
    </row>
    <row r="419" spans="1:54" x14ac:dyDescent="0.3">
      <c r="A419" t="s">
        <v>1836</v>
      </c>
      <c r="B419" t="s">
        <v>1837</v>
      </c>
      <c r="C419" t="s">
        <v>1256</v>
      </c>
      <c r="D419" t="s">
        <v>1257</v>
      </c>
      <c r="G419" t="s">
        <v>725</v>
      </c>
      <c r="H419" t="s">
        <v>197</v>
      </c>
      <c r="J419" t="s">
        <v>1590</v>
      </c>
      <c r="L419">
        <v>0</v>
      </c>
      <c r="M419">
        <v>3.0000000000000001E-3</v>
      </c>
      <c r="N419" t="s">
        <v>198</v>
      </c>
      <c r="O419">
        <v>3.0000000000000001E-3</v>
      </c>
      <c r="P419" t="s">
        <v>198</v>
      </c>
      <c r="Q419" t="s">
        <v>199</v>
      </c>
      <c r="R419" s="3"/>
      <c r="W419" t="s">
        <v>200</v>
      </c>
      <c r="X419" s="25"/>
      <c r="Y419" s="26"/>
      <c r="Z419" s="27"/>
      <c r="AA419" t="s">
        <v>25</v>
      </c>
      <c r="AB419" t="s">
        <v>201</v>
      </c>
      <c r="AC419" s="3"/>
      <c r="AH419" t="s">
        <v>202</v>
      </c>
      <c r="AK419" t="s">
        <v>203</v>
      </c>
      <c r="AP419" t="s">
        <v>200</v>
      </c>
      <c r="AR419" s="25"/>
      <c r="AT419" s="25">
        <v>0</v>
      </c>
      <c r="AU419" s="26"/>
      <c r="AV419" s="26"/>
      <c r="AW419" s="26"/>
      <c r="AX419" s="26" t="str">
        <f t="shared" si="18"/>
        <v/>
      </c>
      <c r="AY419" t="str">
        <f t="shared" si="19"/>
        <v/>
      </c>
      <c r="AZ419" t="s">
        <v>200</v>
      </c>
      <c r="BA419" s="3"/>
      <c r="BB419" t="str">
        <f t="shared" si="20"/>
        <v>No scrap rate (No impact);</v>
      </c>
    </row>
    <row r="420" spans="1:54" x14ac:dyDescent="0.3">
      <c r="A420" t="s">
        <v>1838</v>
      </c>
      <c r="B420" t="s">
        <v>1839</v>
      </c>
      <c r="C420" t="s">
        <v>1256</v>
      </c>
      <c r="D420" t="s">
        <v>1257</v>
      </c>
      <c r="G420" t="s">
        <v>443</v>
      </c>
      <c r="H420" t="s">
        <v>444</v>
      </c>
      <c r="J420" t="s">
        <v>1590</v>
      </c>
      <c r="L420">
        <v>0</v>
      </c>
      <c r="M420">
        <v>3.5999999999999997E-2</v>
      </c>
      <c r="N420" t="s">
        <v>198</v>
      </c>
      <c r="O420">
        <v>3.5999999999999997E-2</v>
      </c>
      <c r="P420" t="s">
        <v>198</v>
      </c>
      <c r="Q420" t="s">
        <v>199</v>
      </c>
      <c r="R420" s="3"/>
      <c r="W420" t="s">
        <v>200</v>
      </c>
      <c r="X420" s="25"/>
      <c r="Y420" s="26"/>
      <c r="Z420" s="27"/>
      <c r="AA420" t="s">
        <v>25</v>
      </c>
      <c r="AB420" t="s">
        <v>201</v>
      </c>
      <c r="AC420" s="3"/>
      <c r="AH420" t="s">
        <v>202</v>
      </c>
      <c r="AK420" t="s">
        <v>203</v>
      </c>
      <c r="AP420" t="s">
        <v>200</v>
      </c>
      <c r="AR420" s="25"/>
      <c r="AT420" s="25">
        <v>0</v>
      </c>
      <c r="AU420" s="26"/>
      <c r="AV420" s="26"/>
      <c r="AW420" s="26"/>
      <c r="AX420" s="26" t="str">
        <f t="shared" si="18"/>
        <v/>
      </c>
      <c r="AY420" t="str">
        <f t="shared" si="19"/>
        <v/>
      </c>
      <c r="AZ420" t="s">
        <v>200</v>
      </c>
      <c r="BA420" s="3"/>
      <c r="BB420" t="str">
        <f t="shared" si="20"/>
        <v>No scrap rate (No impact);</v>
      </c>
    </row>
    <row r="421" spans="1:54" x14ac:dyDescent="0.3">
      <c r="A421" t="s">
        <v>1840</v>
      </c>
      <c r="B421" t="s">
        <v>1841</v>
      </c>
      <c r="C421" t="s">
        <v>1256</v>
      </c>
      <c r="D421" t="s">
        <v>1257</v>
      </c>
      <c r="G421" t="s">
        <v>443</v>
      </c>
      <c r="H421" t="s">
        <v>444</v>
      </c>
      <c r="J421" t="s">
        <v>1590</v>
      </c>
      <c r="L421">
        <v>0</v>
      </c>
      <c r="M421">
        <v>2E-3</v>
      </c>
      <c r="N421" t="s">
        <v>198</v>
      </c>
      <c r="O421">
        <v>2E-3</v>
      </c>
      <c r="P421" t="s">
        <v>198</v>
      </c>
      <c r="Q421" t="s">
        <v>199</v>
      </c>
      <c r="R421" s="3"/>
      <c r="W421" t="s">
        <v>200</v>
      </c>
      <c r="X421" s="25"/>
      <c r="Y421" s="26"/>
      <c r="Z421" s="27"/>
      <c r="AA421" t="s">
        <v>25</v>
      </c>
      <c r="AB421" t="s">
        <v>201</v>
      </c>
      <c r="AC421" s="3"/>
      <c r="AH421" t="s">
        <v>202</v>
      </c>
      <c r="AK421" t="s">
        <v>203</v>
      </c>
      <c r="AP421" t="s">
        <v>200</v>
      </c>
      <c r="AR421" s="25"/>
      <c r="AT421" s="25">
        <v>0</v>
      </c>
      <c r="AU421" s="26"/>
      <c r="AV421" s="26"/>
      <c r="AW421" s="26"/>
      <c r="AX421" s="26" t="str">
        <f t="shared" si="18"/>
        <v/>
      </c>
      <c r="AY421" t="str">
        <f t="shared" si="19"/>
        <v/>
      </c>
      <c r="AZ421" t="s">
        <v>200</v>
      </c>
      <c r="BA421" s="3"/>
      <c r="BB421" t="str">
        <f t="shared" si="20"/>
        <v>No scrap rate (No impact);</v>
      </c>
    </row>
    <row r="422" spans="1:54" x14ac:dyDescent="0.3">
      <c r="A422" t="s">
        <v>1842</v>
      </c>
      <c r="B422" t="s">
        <v>1843</v>
      </c>
      <c r="C422" t="s">
        <v>1110</v>
      </c>
      <c r="D422" t="s">
        <v>1111</v>
      </c>
      <c r="G422" t="s">
        <v>443</v>
      </c>
      <c r="H422" t="s">
        <v>444</v>
      </c>
      <c r="J422" t="s">
        <v>926</v>
      </c>
      <c r="L422">
        <v>0</v>
      </c>
      <c r="M422">
        <v>2.5999999999999999E-2</v>
      </c>
      <c r="N422" t="s">
        <v>198</v>
      </c>
      <c r="O422">
        <v>2.5999999999999999E-2</v>
      </c>
      <c r="P422" t="s">
        <v>198</v>
      </c>
      <c r="Q422" t="s">
        <v>199</v>
      </c>
      <c r="R422" s="3"/>
      <c r="W422" t="s">
        <v>200</v>
      </c>
      <c r="X422" s="25"/>
      <c r="Y422" s="26"/>
      <c r="Z422" s="27"/>
      <c r="AA422" t="s">
        <v>25</v>
      </c>
      <c r="AB422" t="s">
        <v>201</v>
      </c>
      <c r="AC422" s="3"/>
      <c r="AH422" t="s">
        <v>202</v>
      </c>
      <c r="AK422" t="s">
        <v>203</v>
      </c>
      <c r="AP422" t="s">
        <v>200</v>
      </c>
      <c r="AR422" s="25"/>
      <c r="AT422" s="25">
        <v>0</v>
      </c>
      <c r="AU422" s="26"/>
      <c r="AV422" s="26"/>
      <c r="AW422" s="26"/>
      <c r="AX422" s="26" t="str">
        <f t="shared" si="18"/>
        <v/>
      </c>
      <c r="AY422" t="str">
        <f t="shared" si="19"/>
        <v/>
      </c>
      <c r="AZ422" t="s">
        <v>200</v>
      </c>
      <c r="BA422" s="3"/>
      <c r="BB422" t="str">
        <f t="shared" si="20"/>
        <v>No scrap rate (No impact);</v>
      </c>
    </row>
    <row r="423" spans="1:54" x14ac:dyDescent="0.3">
      <c r="A423" t="s">
        <v>1844</v>
      </c>
      <c r="B423" t="s">
        <v>1845</v>
      </c>
      <c r="C423" t="s">
        <v>946</v>
      </c>
      <c r="D423" t="s">
        <v>947</v>
      </c>
      <c r="G423" t="s">
        <v>443</v>
      </c>
      <c r="H423" t="s">
        <v>444</v>
      </c>
      <c r="J423" t="s">
        <v>926</v>
      </c>
      <c r="L423">
        <v>0</v>
      </c>
      <c r="M423">
        <v>0.253</v>
      </c>
      <c r="N423" t="s">
        <v>198</v>
      </c>
      <c r="O423">
        <v>0.253</v>
      </c>
      <c r="P423" t="s">
        <v>198</v>
      </c>
      <c r="Q423" t="s">
        <v>199</v>
      </c>
      <c r="R423" s="3"/>
      <c r="W423" t="s">
        <v>200</v>
      </c>
      <c r="X423" s="25"/>
      <c r="Y423" s="26"/>
      <c r="Z423" s="27"/>
      <c r="AA423" t="s">
        <v>25</v>
      </c>
      <c r="AB423" t="s">
        <v>201</v>
      </c>
      <c r="AC423" s="3"/>
      <c r="AH423" t="s">
        <v>202</v>
      </c>
      <c r="AK423" t="s">
        <v>203</v>
      </c>
      <c r="AP423" t="s">
        <v>200</v>
      </c>
      <c r="AR423" s="25"/>
      <c r="AT423" s="25">
        <v>0</v>
      </c>
      <c r="AU423" s="26"/>
      <c r="AV423" s="26"/>
      <c r="AW423" s="26"/>
      <c r="AX423" s="26" t="str">
        <f t="shared" si="18"/>
        <v/>
      </c>
      <c r="AY423" t="str">
        <f t="shared" si="19"/>
        <v/>
      </c>
      <c r="AZ423" t="s">
        <v>200</v>
      </c>
      <c r="BA423" s="3"/>
      <c r="BB423" t="str">
        <f t="shared" si="20"/>
        <v>No scrap rate (No impact);</v>
      </c>
    </row>
    <row r="424" spans="1:54" x14ac:dyDescent="0.3">
      <c r="A424" t="s">
        <v>1846</v>
      </c>
      <c r="B424" t="s">
        <v>1847</v>
      </c>
      <c r="C424" t="s">
        <v>1110</v>
      </c>
      <c r="D424" t="s">
        <v>1111</v>
      </c>
      <c r="G424" t="s">
        <v>463</v>
      </c>
      <c r="H424" t="s">
        <v>464</v>
      </c>
      <c r="J424" t="s">
        <v>1089</v>
      </c>
      <c r="L424">
        <v>0</v>
      </c>
      <c r="M424">
        <v>0.02</v>
      </c>
      <c r="N424" t="s">
        <v>198</v>
      </c>
      <c r="O424">
        <v>0.02</v>
      </c>
      <c r="P424" t="s">
        <v>198</v>
      </c>
      <c r="Q424" t="s">
        <v>199</v>
      </c>
      <c r="R424" s="3"/>
      <c r="W424" t="s">
        <v>200</v>
      </c>
      <c r="X424" s="25"/>
      <c r="Y424" s="26"/>
      <c r="Z424" s="27"/>
      <c r="AA424" t="s">
        <v>25</v>
      </c>
      <c r="AB424" t="s">
        <v>201</v>
      </c>
      <c r="AC424" s="3"/>
      <c r="AH424" t="s">
        <v>202</v>
      </c>
      <c r="AK424" t="s">
        <v>203</v>
      </c>
      <c r="AP424" t="s">
        <v>200</v>
      </c>
      <c r="AR424" s="25"/>
      <c r="AT424" s="25">
        <v>0</v>
      </c>
      <c r="AU424" s="26"/>
      <c r="AV424" s="26"/>
      <c r="AW424" s="26"/>
      <c r="AX424" s="26" t="str">
        <f t="shared" si="18"/>
        <v/>
      </c>
      <c r="AY424" t="str">
        <f t="shared" si="19"/>
        <v/>
      </c>
      <c r="AZ424" t="s">
        <v>200</v>
      </c>
      <c r="BA424" s="3"/>
      <c r="BB424" t="str">
        <f t="shared" si="20"/>
        <v>No scrap rate (No impact);</v>
      </c>
    </row>
    <row r="425" spans="1:54" x14ac:dyDescent="0.3">
      <c r="A425" t="s">
        <v>1848</v>
      </c>
      <c r="B425" t="s">
        <v>1849</v>
      </c>
      <c r="C425" t="s">
        <v>1256</v>
      </c>
      <c r="D425" t="s">
        <v>1257</v>
      </c>
      <c r="G425" t="s">
        <v>463</v>
      </c>
      <c r="H425" t="s">
        <v>464</v>
      </c>
      <c r="J425" t="s">
        <v>1590</v>
      </c>
      <c r="L425">
        <v>0</v>
      </c>
      <c r="M425">
        <v>4.0000000000000001E-3</v>
      </c>
      <c r="N425" t="s">
        <v>198</v>
      </c>
      <c r="O425">
        <v>4.0000000000000001E-3</v>
      </c>
      <c r="P425" t="s">
        <v>198</v>
      </c>
      <c r="Q425" t="s">
        <v>199</v>
      </c>
      <c r="R425" s="3"/>
      <c r="W425" t="s">
        <v>200</v>
      </c>
      <c r="X425" s="25"/>
      <c r="Y425" s="26"/>
      <c r="Z425" s="27"/>
      <c r="AA425" t="s">
        <v>25</v>
      </c>
      <c r="AB425" t="s">
        <v>201</v>
      </c>
      <c r="AC425" s="3"/>
      <c r="AH425" t="s">
        <v>202</v>
      </c>
      <c r="AK425" t="s">
        <v>203</v>
      </c>
      <c r="AP425" t="s">
        <v>200</v>
      </c>
      <c r="AR425" s="25"/>
      <c r="AT425" s="25">
        <v>0</v>
      </c>
      <c r="AU425" s="26"/>
      <c r="AV425" s="26"/>
      <c r="AW425" s="26"/>
      <c r="AX425" s="26" t="str">
        <f t="shared" si="18"/>
        <v/>
      </c>
      <c r="AY425" t="str">
        <f t="shared" si="19"/>
        <v/>
      </c>
      <c r="AZ425" t="s">
        <v>200</v>
      </c>
      <c r="BA425" s="3"/>
      <c r="BB425" t="str">
        <f t="shared" si="20"/>
        <v>No scrap rate (No impact);</v>
      </c>
    </row>
    <row r="426" spans="1:54" x14ac:dyDescent="0.3">
      <c r="A426" t="s">
        <v>1850</v>
      </c>
      <c r="B426" t="s">
        <v>1851</v>
      </c>
      <c r="C426" t="s">
        <v>966</v>
      </c>
      <c r="D426" t="s">
        <v>967</v>
      </c>
      <c r="G426" t="s">
        <v>1120</v>
      </c>
      <c r="H426" t="s">
        <v>1121</v>
      </c>
      <c r="J426" t="s">
        <v>1026</v>
      </c>
      <c r="L426">
        <v>0</v>
      </c>
      <c r="M426">
        <v>6.6000000000000003E-2</v>
      </c>
      <c r="N426" t="s">
        <v>198</v>
      </c>
      <c r="O426">
        <v>6.6000000000000003E-2</v>
      </c>
      <c r="P426" t="s">
        <v>198</v>
      </c>
      <c r="Q426" t="s">
        <v>199</v>
      </c>
      <c r="R426" s="3"/>
      <c r="W426" t="s">
        <v>200</v>
      </c>
      <c r="X426" s="25"/>
      <c r="Y426" s="26"/>
      <c r="Z426" s="27"/>
      <c r="AA426" t="s">
        <v>25</v>
      </c>
      <c r="AB426" t="s">
        <v>201</v>
      </c>
      <c r="AC426" s="3"/>
      <c r="AH426" t="s">
        <v>202</v>
      </c>
      <c r="AK426" t="s">
        <v>203</v>
      </c>
      <c r="AP426" t="s">
        <v>200</v>
      </c>
      <c r="AR426" s="25"/>
      <c r="AT426" s="25">
        <v>0</v>
      </c>
      <c r="AU426" s="26"/>
      <c r="AV426" s="26"/>
      <c r="AW426" s="26"/>
      <c r="AX426" s="26" t="str">
        <f t="shared" si="18"/>
        <v/>
      </c>
      <c r="AY426" t="str">
        <f t="shared" si="19"/>
        <v/>
      </c>
      <c r="AZ426" t="s">
        <v>200</v>
      </c>
      <c r="BA426" s="3"/>
      <c r="BB426" t="str">
        <f t="shared" si="20"/>
        <v>No scrap rate (No impact);</v>
      </c>
    </row>
    <row r="427" spans="1:54" x14ac:dyDescent="0.3">
      <c r="A427" t="s">
        <v>1852</v>
      </c>
      <c r="B427" t="s">
        <v>1853</v>
      </c>
      <c r="C427" t="s">
        <v>1256</v>
      </c>
      <c r="D427" t="s">
        <v>1257</v>
      </c>
      <c r="G427" t="s">
        <v>517</v>
      </c>
      <c r="H427" t="s">
        <v>518</v>
      </c>
      <c r="J427" t="s">
        <v>1590</v>
      </c>
      <c r="L427">
        <v>0</v>
      </c>
      <c r="M427">
        <v>3.0000000000000001E-3</v>
      </c>
      <c r="N427" t="s">
        <v>198</v>
      </c>
      <c r="O427">
        <v>3.0000000000000001E-3</v>
      </c>
      <c r="P427" t="s">
        <v>198</v>
      </c>
      <c r="Q427" t="s">
        <v>199</v>
      </c>
      <c r="R427" s="3"/>
      <c r="W427" t="s">
        <v>200</v>
      </c>
      <c r="X427" s="25"/>
      <c r="Y427" s="26"/>
      <c r="Z427" s="27"/>
      <c r="AA427" t="s">
        <v>25</v>
      </c>
      <c r="AB427" t="s">
        <v>201</v>
      </c>
      <c r="AC427" s="3"/>
      <c r="AH427" t="s">
        <v>202</v>
      </c>
      <c r="AK427" t="s">
        <v>203</v>
      </c>
      <c r="AP427" t="s">
        <v>200</v>
      </c>
      <c r="AR427" s="25"/>
      <c r="AT427" s="25">
        <v>0</v>
      </c>
      <c r="AU427" s="26"/>
      <c r="AV427" s="26"/>
      <c r="AW427" s="26"/>
      <c r="AX427" s="26" t="str">
        <f t="shared" si="18"/>
        <v/>
      </c>
      <c r="AY427" t="str">
        <f t="shared" si="19"/>
        <v/>
      </c>
      <c r="AZ427" t="s">
        <v>200</v>
      </c>
      <c r="BA427" s="3"/>
      <c r="BB427" t="str">
        <f t="shared" si="20"/>
        <v>No scrap rate (No impact);</v>
      </c>
    </row>
    <row r="428" spans="1:54" x14ac:dyDescent="0.3">
      <c r="A428" t="s">
        <v>1854</v>
      </c>
      <c r="B428" t="s">
        <v>1855</v>
      </c>
      <c r="C428" t="s">
        <v>1256</v>
      </c>
      <c r="D428" t="s">
        <v>1257</v>
      </c>
      <c r="G428" t="s">
        <v>517</v>
      </c>
      <c r="H428" t="s">
        <v>518</v>
      </c>
      <c r="J428" t="s">
        <v>1590</v>
      </c>
      <c r="L428">
        <v>0</v>
      </c>
      <c r="M428">
        <v>3.0000000000000001E-3</v>
      </c>
      <c r="N428" t="s">
        <v>198</v>
      </c>
      <c r="O428">
        <v>3.0000000000000001E-3</v>
      </c>
      <c r="P428" t="s">
        <v>198</v>
      </c>
      <c r="Q428" t="s">
        <v>199</v>
      </c>
      <c r="R428" s="3"/>
      <c r="W428" t="s">
        <v>200</v>
      </c>
      <c r="X428" s="25"/>
      <c r="Y428" s="26"/>
      <c r="Z428" s="27"/>
      <c r="AA428" t="s">
        <v>25</v>
      </c>
      <c r="AB428" t="s">
        <v>201</v>
      </c>
      <c r="AC428" s="3"/>
      <c r="AH428" t="s">
        <v>202</v>
      </c>
      <c r="AK428" t="s">
        <v>203</v>
      </c>
      <c r="AP428" t="s">
        <v>200</v>
      </c>
      <c r="AR428" s="25"/>
      <c r="AT428" s="25">
        <v>0</v>
      </c>
      <c r="AU428" s="26"/>
      <c r="AV428" s="26"/>
      <c r="AW428" s="26"/>
      <c r="AX428" s="26" t="str">
        <f t="shared" si="18"/>
        <v/>
      </c>
      <c r="AY428" t="str">
        <f t="shared" si="19"/>
        <v/>
      </c>
      <c r="AZ428" t="s">
        <v>200</v>
      </c>
      <c r="BA428" s="3"/>
      <c r="BB428" t="str">
        <f t="shared" si="20"/>
        <v>No scrap rate (No impact);</v>
      </c>
    </row>
    <row r="429" spans="1:54" x14ac:dyDescent="0.3">
      <c r="A429" t="s">
        <v>1856</v>
      </c>
      <c r="B429" t="s">
        <v>1857</v>
      </c>
      <c r="C429" t="s">
        <v>1110</v>
      </c>
      <c r="D429" t="s">
        <v>1111</v>
      </c>
      <c r="G429" t="s">
        <v>1112</v>
      </c>
      <c r="H429" t="s">
        <v>1113</v>
      </c>
      <c r="J429" t="s">
        <v>1089</v>
      </c>
      <c r="L429">
        <v>1</v>
      </c>
      <c r="M429">
        <v>6.2E-2</v>
      </c>
      <c r="N429" t="s">
        <v>198</v>
      </c>
      <c r="O429">
        <v>6.2E-2</v>
      </c>
      <c r="P429" t="s">
        <v>198</v>
      </c>
      <c r="Q429" t="s">
        <v>199</v>
      </c>
      <c r="R429" s="3"/>
      <c r="W429" t="s">
        <v>200</v>
      </c>
      <c r="X429" s="25"/>
      <c r="Y429" s="26"/>
      <c r="Z429" s="27"/>
      <c r="AA429" t="s">
        <v>25</v>
      </c>
      <c r="AB429" t="s">
        <v>201</v>
      </c>
      <c r="AC429" s="3"/>
      <c r="AH429" t="s">
        <v>202</v>
      </c>
      <c r="AK429" t="s">
        <v>203</v>
      </c>
      <c r="AP429" t="s">
        <v>200</v>
      </c>
      <c r="AR429" s="25"/>
      <c r="AT429" s="25">
        <v>0</v>
      </c>
      <c r="AU429" s="26"/>
      <c r="AV429" s="26"/>
      <c r="AW429" s="26"/>
      <c r="AX429" s="26" t="str">
        <f t="shared" si="18"/>
        <v/>
      </c>
      <c r="AY429" t="str">
        <f t="shared" si="19"/>
        <v/>
      </c>
      <c r="AZ429" t="s">
        <v>200</v>
      </c>
      <c r="BA429" s="3"/>
      <c r="BB429" t="str">
        <f t="shared" si="20"/>
        <v>No scrap rate (No impact);</v>
      </c>
    </row>
    <row r="430" spans="1:54" x14ac:dyDescent="0.3">
      <c r="A430" t="s">
        <v>1858</v>
      </c>
      <c r="B430" t="s">
        <v>1859</v>
      </c>
      <c r="C430" t="s">
        <v>1256</v>
      </c>
      <c r="D430" t="s">
        <v>1257</v>
      </c>
      <c r="G430" t="s">
        <v>725</v>
      </c>
      <c r="H430" t="s">
        <v>197</v>
      </c>
      <c r="J430" t="s">
        <v>1590</v>
      </c>
      <c r="L430">
        <v>0</v>
      </c>
      <c r="M430">
        <v>4.0000000000000001E-3</v>
      </c>
      <c r="N430" t="s">
        <v>198</v>
      </c>
      <c r="O430">
        <v>4.0000000000000001E-3</v>
      </c>
      <c r="P430" t="s">
        <v>198</v>
      </c>
      <c r="Q430" t="s">
        <v>199</v>
      </c>
      <c r="R430" s="3"/>
      <c r="W430" t="s">
        <v>200</v>
      </c>
      <c r="X430" s="25"/>
      <c r="Y430" s="26"/>
      <c r="Z430" s="27"/>
      <c r="AA430" t="s">
        <v>25</v>
      </c>
      <c r="AB430" t="s">
        <v>201</v>
      </c>
      <c r="AC430" s="3"/>
      <c r="AH430" t="s">
        <v>202</v>
      </c>
      <c r="AK430" t="s">
        <v>203</v>
      </c>
      <c r="AP430" t="s">
        <v>200</v>
      </c>
      <c r="AR430" s="25"/>
      <c r="AT430" s="25">
        <v>0</v>
      </c>
      <c r="AU430" s="26"/>
      <c r="AV430" s="26"/>
      <c r="AW430" s="26"/>
      <c r="AX430" s="26" t="str">
        <f t="shared" si="18"/>
        <v/>
      </c>
      <c r="AY430" t="str">
        <f t="shared" si="19"/>
        <v/>
      </c>
      <c r="AZ430" t="s">
        <v>200</v>
      </c>
      <c r="BA430" s="3"/>
      <c r="BB430" t="str">
        <f t="shared" si="20"/>
        <v>No scrap rate (No impact);</v>
      </c>
    </row>
    <row r="431" spans="1:54" x14ac:dyDescent="0.3">
      <c r="A431" t="s">
        <v>1860</v>
      </c>
      <c r="B431" t="s">
        <v>1861</v>
      </c>
      <c r="C431" t="s">
        <v>1256</v>
      </c>
      <c r="D431" t="s">
        <v>1257</v>
      </c>
      <c r="G431" t="s">
        <v>525</v>
      </c>
      <c r="H431" t="s">
        <v>526</v>
      </c>
      <c r="J431" t="s">
        <v>1590</v>
      </c>
      <c r="L431">
        <v>0</v>
      </c>
      <c r="M431">
        <v>4.0000000000000001E-3</v>
      </c>
      <c r="N431" t="s">
        <v>198</v>
      </c>
      <c r="O431">
        <v>4.0000000000000001E-3</v>
      </c>
      <c r="P431" t="s">
        <v>198</v>
      </c>
      <c r="Q431" t="s">
        <v>199</v>
      </c>
      <c r="R431" s="3"/>
      <c r="W431" t="s">
        <v>200</v>
      </c>
      <c r="X431" s="25"/>
      <c r="Y431" s="26"/>
      <c r="Z431" s="27"/>
      <c r="AA431" t="s">
        <v>25</v>
      </c>
      <c r="AB431" t="s">
        <v>201</v>
      </c>
      <c r="AC431" s="3"/>
      <c r="AH431" t="s">
        <v>202</v>
      </c>
      <c r="AK431" t="s">
        <v>203</v>
      </c>
      <c r="AP431" t="s">
        <v>200</v>
      </c>
      <c r="AR431" s="25"/>
      <c r="AT431" s="25">
        <v>0</v>
      </c>
      <c r="AU431" s="26"/>
      <c r="AV431" s="26"/>
      <c r="AW431" s="26"/>
      <c r="AX431" s="26" t="str">
        <f t="shared" si="18"/>
        <v/>
      </c>
      <c r="AY431" t="str">
        <f t="shared" si="19"/>
        <v/>
      </c>
      <c r="AZ431" t="s">
        <v>200</v>
      </c>
      <c r="BA431" s="3"/>
      <c r="BB431" t="str">
        <f t="shared" si="20"/>
        <v>No scrap rate (No impact);</v>
      </c>
    </row>
    <row r="432" spans="1:54" x14ac:dyDescent="0.3">
      <c r="A432" t="s">
        <v>1862</v>
      </c>
      <c r="B432" t="s">
        <v>1863</v>
      </c>
      <c r="C432" t="s">
        <v>1256</v>
      </c>
      <c r="D432" t="s">
        <v>1257</v>
      </c>
      <c r="G432" t="s">
        <v>278</v>
      </c>
      <c r="H432" t="s">
        <v>279</v>
      </c>
      <c r="J432" t="s">
        <v>1590</v>
      </c>
      <c r="L432">
        <v>0</v>
      </c>
      <c r="M432">
        <v>4.0000000000000001E-3</v>
      </c>
      <c r="N432" t="s">
        <v>198</v>
      </c>
      <c r="O432">
        <v>4.0000000000000001E-3</v>
      </c>
      <c r="P432" t="s">
        <v>198</v>
      </c>
      <c r="Q432" t="s">
        <v>199</v>
      </c>
      <c r="R432" s="3"/>
      <c r="W432" t="s">
        <v>200</v>
      </c>
      <c r="X432" s="25"/>
      <c r="Y432" s="26"/>
      <c r="Z432" s="27"/>
      <c r="AA432" t="s">
        <v>25</v>
      </c>
      <c r="AB432" t="s">
        <v>201</v>
      </c>
      <c r="AC432" s="3"/>
      <c r="AH432" t="s">
        <v>202</v>
      </c>
      <c r="AK432" t="s">
        <v>203</v>
      </c>
      <c r="AP432" t="s">
        <v>200</v>
      </c>
      <c r="AR432" s="25"/>
      <c r="AT432" s="25">
        <v>0</v>
      </c>
      <c r="AU432" s="26"/>
      <c r="AV432" s="26"/>
      <c r="AW432" s="26"/>
      <c r="AX432" s="26" t="str">
        <f t="shared" si="18"/>
        <v/>
      </c>
      <c r="AY432" t="str">
        <f t="shared" si="19"/>
        <v/>
      </c>
      <c r="AZ432" t="s">
        <v>200</v>
      </c>
      <c r="BA432" s="3"/>
      <c r="BB432" t="str">
        <f t="shared" si="20"/>
        <v>No scrap rate (No impact);</v>
      </c>
    </row>
    <row r="433" spans="1:54" x14ac:dyDescent="0.3">
      <c r="A433" t="s">
        <v>1864</v>
      </c>
      <c r="B433" t="s">
        <v>1865</v>
      </c>
      <c r="C433" t="s">
        <v>1110</v>
      </c>
      <c r="D433" t="s">
        <v>1111</v>
      </c>
      <c r="G433" t="s">
        <v>529</v>
      </c>
      <c r="H433" t="s">
        <v>530</v>
      </c>
      <c r="J433" t="s">
        <v>926</v>
      </c>
      <c r="L433">
        <v>1</v>
      </c>
      <c r="M433">
        <v>0.106</v>
      </c>
      <c r="N433" t="s">
        <v>198</v>
      </c>
      <c r="O433">
        <v>0.106</v>
      </c>
      <c r="P433" t="s">
        <v>198</v>
      </c>
      <c r="Q433" t="s">
        <v>199</v>
      </c>
      <c r="R433" s="3"/>
      <c r="W433" t="s">
        <v>200</v>
      </c>
      <c r="X433" s="25"/>
      <c r="Y433" s="26"/>
      <c r="Z433" s="27"/>
      <c r="AA433" t="s">
        <v>25</v>
      </c>
      <c r="AB433" t="s">
        <v>201</v>
      </c>
      <c r="AC433" s="3"/>
      <c r="AH433" t="s">
        <v>202</v>
      </c>
      <c r="AK433" t="s">
        <v>203</v>
      </c>
      <c r="AP433" t="s">
        <v>200</v>
      </c>
      <c r="AR433" s="25"/>
      <c r="AT433" s="25">
        <v>0</v>
      </c>
      <c r="AU433" s="26"/>
      <c r="AV433" s="26"/>
      <c r="AW433" s="26"/>
      <c r="AX433" s="26" t="str">
        <f t="shared" si="18"/>
        <v/>
      </c>
      <c r="AY433" t="str">
        <f t="shared" si="19"/>
        <v/>
      </c>
      <c r="AZ433" t="s">
        <v>200</v>
      </c>
      <c r="BA433" s="3"/>
      <c r="BB433" t="str">
        <f t="shared" si="20"/>
        <v>No scrap rate (No impact);</v>
      </c>
    </row>
    <row r="434" spans="1:54" x14ac:dyDescent="0.3">
      <c r="A434" t="s">
        <v>1866</v>
      </c>
      <c r="B434" t="s">
        <v>1867</v>
      </c>
      <c r="C434" t="s">
        <v>1256</v>
      </c>
      <c r="D434" t="s">
        <v>1257</v>
      </c>
      <c r="G434" t="s">
        <v>725</v>
      </c>
      <c r="H434" t="s">
        <v>197</v>
      </c>
      <c r="J434" t="s">
        <v>1590</v>
      </c>
      <c r="L434">
        <v>0</v>
      </c>
      <c r="M434">
        <v>3.0000000000000001E-3</v>
      </c>
      <c r="N434" t="s">
        <v>198</v>
      </c>
      <c r="O434">
        <v>3.0000000000000001E-3</v>
      </c>
      <c r="P434" t="s">
        <v>198</v>
      </c>
      <c r="Q434" t="s">
        <v>199</v>
      </c>
      <c r="R434" s="3"/>
      <c r="W434" t="s">
        <v>200</v>
      </c>
      <c r="X434" s="25"/>
      <c r="Y434" s="26"/>
      <c r="Z434" s="27"/>
      <c r="AA434" t="s">
        <v>25</v>
      </c>
      <c r="AB434" t="s">
        <v>201</v>
      </c>
      <c r="AC434" s="3"/>
      <c r="AH434" t="s">
        <v>202</v>
      </c>
      <c r="AK434" t="s">
        <v>203</v>
      </c>
      <c r="AP434" t="s">
        <v>200</v>
      </c>
      <c r="AR434" s="25"/>
      <c r="AT434" s="25">
        <v>0</v>
      </c>
      <c r="AU434" s="26"/>
      <c r="AV434" s="26"/>
      <c r="AW434" s="26"/>
      <c r="AX434" s="26" t="str">
        <f t="shared" si="18"/>
        <v/>
      </c>
      <c r="AY434" t="str">
        <f t="shared" si="19"/>
        <v/>
      </c>
      <c r="AZ434" t="s">
        <v>200</v>
      </c>
      <c r="BA434" s="3"/>
      <c r="BB434" t="str">
        <f t="shared" si="20"/>
        <v>No scrap rate (No impact);</v>
      </c>
    </row>
    <row r="435" spans="1:54" x14ac:dyDescent="0.3">
      <c r="A435" t="s">
        <v>1868</v>
      </c>
      <c r="B435" t="s">
        <v>1869</v>
      </c>
      <c r="C435" t="s">
        <v>1256</v>
      </c>
      <c r="D435" t="s">
        <v>1257</v>
      </c>
      <c r="G435" t="s">
        <v>1615</v>
      </c>
      <c r="H435" t="s">
        <v>1616</v>
      </c>
      <c r="J435" t="s">
        <v>1060</v>
      </c>
      <c r="L435">
        <v>0</v>
      </c>
      <c r="M435">
        <v>1E-3</v>
      </c>
      <c r="N435" t="s">
        <v>198</v>
      </c>
      <c r="O435">
        <v>1E-3</v>
      </c>
      <c r="P435" t="s">
        <v>198</v>
      </c>
      <c r="Q435" t="s">
        <v>199</v>
      </c>
      <c r="R435" s="3"/>
      <c r="W435" t="s">
        <v>200</v>
      </c>
      <c r="X435" s="25"/>
      <c r="Y435" s="26"/>
      <c r="Z435" s="27"/>
      <c r="AA435" t="s">
        <v>25</v>
      </c>
      <c r="AB435" t="s">
        <v>201</v>
      </c>
      <c r="AC435" s="3"/>
      <c r="AH435" t="s">
        <v>202</v>
      </c>
      <c r="AK435" t="s">
        <v>203</v>
      </c>
      <c r="AP435" t="s">
        <v>200</v>
      </c>
      <c r="AR435" s="25"/>
      <c r="AT435" s="25">
        <v>0</v>
      </c>
      <c r="AU435" s="26"/>
      <c r="AV435" s="26"/>
      <c r="AW435" s="26"/>
      <c r="AX435" s="26" t="str">
        <f t="shared" si="18"/>
        <v/>
      </c>
      <c r="AY435" t="str">
        <f t="shared" si="19"/>
        <v/>
      </c>
      <c r="AZ435" t="s">
        <v>200</v>
      </c>
      <c r="BA435" s="3"/>
      <c r="BB435" t="str">
        <f t="shared" si="20"/>
        <v>No scrap rate (No impact);</v>
      </c>
    </row>
    <row r="436" spans="1:54" x14ac:dyDescent="0.3">
      <c r="A436" t="s">
        <v>1870</v>
      </c>
      <c r="B436" t="s">
        <v>1871</v>
      </c>
      <c r="C436" t="s">
        <v>1256</v>
      </c>
      <c r="D436" t="s">
        <v>1257</v>
      </c>
      <c r="G436" t="s">
        <v>1615</v>
      </c>
      <c r="H436" t="s">
        <v>1616</v>
      </c>
      <c r="J436" t="s">
        <v>1046</v>
      </c>
      <c r="L436">
        <v>0</v>
      </c>
      <c r="M436">
        <v>1E-3</v>
      </c>
      <c r="N436" t="s">
        <v>198</v>
      </c>
      <c r="O436">
        <v>1E-3</v>
      </c>
      <c r="P436" t="s">
        <v>198</v>
      </c>
      <c r="Q436" t="s">
        <v>199</v>
      </c>
      <c r="R436" s="3"/>
      <c r="W436" t="s">
        <v>200</v>
      </c>
      <c r="X436" s="25"/>
      <c r="Y436" s="26"/>
      <c r="Z436" s="27"/>
      <c r="AA436" t="s">
        <v>25</v>
      </c>
      <c r="AB436" t="s">
        <v>201</v>
      </c>
      <c r="AC436" s="3"/>
      <c r="AH436" t="s">
        <v>202</v>
      </c>
      <c r="AK436" t="s">
        <v>203</v>
      </c>
      <c r="AP436" t="s">
        <v>200</v>
      </c>
      <c r="AR436" s="25"/>
      <c r="AT436" s="25">
        <v>0</v>
      </c>
      <c r="AU436" s="26"/>
      <c r="AV436" s="26"/>
      <c r="AW436" s="26"/>
      <c r="AX436" s="26" t="str">
        <f t="shared" si="18"/>
        <v/>
      </c>
      <c r="AY436" t="str">
        <f t="shared" si="19"/>
        <v/>
      </c>
      <c r="AZ436" t="s">
        <v>200</v>
      </c>
      <c r="BA436" s="3"/>
      <c r="BB436" t="str">
        <f t="shared" si="20"/>
        <v>No scrap rate (No impact);</v>
      </c>
    </row>
    <row r="437" spans="1:54" x14ac:dyDescent="0.3">
      <c r="A437" t="s">
        <v>1872</v>
      </c>
      <c r="B437" t="s">
        <v>1873</v>
      </c>
      <c r="C437" t="s">
        <v>1256</v>
      </c>
      <c r="D437" t="s">
        <v>1257</v>
      </c>
      <c r="G437" t="s">
        <v>196</v>
      </c>
      <c r="H437" t="s">
        <v>197</v>
      </c>
      <c r="J437" t="s">
        <v>1590</v>
      </c>
      <c r="L437">
        <v>0</v>
      </c>
      <c r="M437">
        <v>3.0000000000000001E-3</v>
      </c>
      <c r="N437" t="s">
        <v>198</v>
      </c>
      <c r="O437">
        <v>3.0000000000000001E-3</v>
      </c>
      <c r="P437" t="s">
        <v>198</v>
      </c>
      <c r="Q437" t="s">
        <v>199</v>
      </c>
      <c r="R437" s="3"/>
      <c r="W437" t="s">
        <v>200</v>
      </c>
      <c r="X437" s="25"/>
      <c r="Y437" s="26"/>
      <c r="Z437" s="27"/>
      <c r="AA437" t="s">
        <v>25</v>
      </c>
      <c r="AB437" t="s">
        <v>201</v>
      </c>
      <c r="AC437" s="3"/>
      <c r="AH437" t="s">
        <v>202</v>
      </c>
      <c r="AK437" t="s">
        <v>203</v>
      </c>
      <c r="AP437" t="s">
        <v>200</v>
      </c>
      <c r="AR437" s="25"/>
      <c r="AT437" s="25">
        <v>0</v>
      </c>
      <c r="AU437" s="26"/>
      <c r="AV437" s="26"/>
      <c r="AW437" s="26"/>
      <c r="AX437" s="26" t="str">
        <f t="shared" si="18"/>
        <v/>
      </c>
      <c r="AY437" t="str">
        <f t="shared" si="19"/>
        <v/>
      </c>
      <c r="AZ437" t="s">
        <v>200</v>
      </c>
      <c r="BA437" s="3"/>
      <c r="BB437" t="str">
        <f t="shared" si="20"/>
        <v>No scrap rate (No impact);</v>
      </c>
    </row>
    <row r="438" spans="1:54" x14ac:dyDescent="0.3">
      <c r="A438" t="s">
        <v>1874</v>
      </c>
      <c r="B438" t="s">
        <v>1875</v>
      </c>
      <c r="C438" t="s">
        <v>1256</v>
      </c>
      <c r="D438" t="s">
        <v>1257</v>
      </c>
      <c r="G438" t="s">
        <v>278</v>
      </c>
      <c r="H438" t="s">
        <v>279</v>
      </c>
      <c r="J438" t="s">
        <v>1046</v>
      </c>
      <c r="L438">
        <v>0</v>
      </c>
      <c r="M438">
        <v>2E-3</v>
      </c>
      <c r="N438" t="s">
        <v>198</v>
      </c>
      <c r="O438">
        <v>2E-3</v>
      </c>
      <c r="P438" t="s">
        <v>198</v>
      </c>
      <c r="Q438" t="s">
        <v>199</v>
      </c>
      <c r="R438" s="3"/>
      <c r="W438" t="s">
        <v>200</v>
      </c>
      <c r="X438" s="25"/>
      <c r="Y438" s="26"/>
      <c r="Z438" s="27"/>
      <c r="AA438" t="s">
        <v>25</v>
      </c>
      <c r="AB438" t="s">
        <v>201</v>
      </c>
      <c r="AC438" s="3"/>
      <c r="AH438" t="s">
        <v>202</v>
      </c>
      <c r="AK438" t="s">
        <v>203</v>
      </c>
      <c r="AP438" t="s">
        <v>200</v>
      </c>
      <c r="AR438" s="25"/>
      <c r="AT438" s="25">
        <v>0</v>
      </c>
      <c r="AU438" s="26"/>
      <c r="AV438" s="26"/>
      <c r="AW438" s="26"/>
      <c r="AX438" s="26" t="str">
        <f t="shared" si="18"/>
        <v/>
      </c>
      <c r="AY438" t="str">
        <f t="shared" si="19"/>
        <v/>
      </c>
      <c r="AZ438" t="s">
        <v>200</v>
      </c>
      <c r="BA438" s="3"/>
      <c r="BB438" t="str">
        <f t="shared" si="20"/>
        <v>No scrap rate (No impact);</v>
      </c>
    </row>
    <row r="439" spans="1:54" x14ac:dyDescent="0.3">
      <c r="A439" t="s">
        <v>1876</v>
      </c>
      <c r="B439" t="s">
        <v>1877</v>
      </c>
      <c r="C439" t="s">
        <v>1256</v>
      </c>
      <c r="D439" t="s">
        <v>1257</v>
      </c>
      <c r="G439" t="s">
        <v>278</v>
      </c>
      <c r="H439" t="s">
        <v>279</v>
      </c>
      <c r="J439" t="s">
        <v>1046</v>
      </c>
      <c r="L439">
        <v>0</v>
      </c>
      <c r="M439">
        <v>2E-3</v>
      </c>
      <c r="N439" t="s">
        <v>198</v>
      </c>
      <c r="O439">
        <v>2E-3</v>
      </c>
      <c r="P439" t="s">
        <v>198</v>
      </c>
      <c r="Q439" t="s">
        <v>199</v>
      </c>
      <c r="R439" s="3"/>
      <c r="W439" t="s">
        <v>200</v>
      </c>
      <c r="X439" s="25"/>
      <c r="Y439" s="26"/>
      <c r="Z439" s="27"/>
      <c r="AA439" t="s">
        <v>25</v>
      </c>
      <c r="AB439" t="s">
        <v>201</v>
      </c>
      <c r="AC439" s="3"/>
      <c r="AH439" t="s">
        <v>202</v>
      </c>
      <c r="AK439" t="s">
        <v>203</v>
      </c>
      <c r="AP439" t="s">
        <v>200</v>
      </c>
      <c r="AR439" s="25"/>
      <c r="AT439" s="25">
        <v>0</v>
      </c>
      <c r="AU439" s="26"/>
      <c r="AV439" s="26"/>
      <c r="AW439" s="26"/>
      <c r="AX439" s="26" t="str">
        <f t="shared" si="18"/>
        <v/>
      </c>
      <c r="AY439" t="str">
        <f t="shared" si="19"/>
        <v/>
      </c>
      <c r="AZ439" t="s">
        <v>200</v>
      </c>
      <c r="BA439" s="3"/>
      <c r="BB439" t="str">
        <f t="shared" si="20"/>
        <v>No scrap rate (No impact);</v>
      </c>
    </row>
    <row r="440" spans="1:54" x14ac:dyDescent="0.3">
      <c r="A440" t="s">
        <v>1878</v>
      </c>
      <c r="B440" t="s">
        <v>1879</v>
      </c>
      <c r="C440" t="s">
        <v>1110</v>
      </c>
      <c r="D440" t="s">
        <v>1111</v>
      </c>
      <c r="G440" t="s">
        <v>1299</v>
      </c>
      <c r="H440" t="s">
        <v>1300</v>
      </c>
      <c r="J440" t="s">
        <v>1089</v>
      </c>
      <c r="L440">
        <v>0</v>
      </c>
      <c r="M440">
        <v>0.14499999999999999</v>
      </c>
      <c r="N440" t="s">
        <v>198</v>
      </c>
      <c r="O440">
        <v>0.14499999999999999</v>
      </c>
      <c r="P440" t="s">
        <v>198</v>
      </c>
      <c r="Q440" t="s">
        <v>199</v>
      </c>
      <c r="R440" s="3"/>
      <c r="W440" t="s">
        <v>200</v>
      </c>
      <c r="X440" s="25"/>
      <c r="Y440" s="26"/>
      <c r="Z440" s="27"/>
      <c r="AA440" t="s">
        <v>25</v>
      </c>
      <c r="AB440" t="s">
        <v>201</v>
      </c>
      <c r="AC440" s="3"/>
      <c r="AH440" t="s">
        <v>202</v>
      </c>
      <c r="AK440" t="s">
        <v>203</v>
      </c>
      <c r="AP440" t="s">
        <v>200</v>
      </c>
      <c r="AR440" s="25"/>
      <c r="AT440" s="25">
        <v>0</v>
      </c>
      <c r="AU440" s="26"/>
      <c r="AV440" s="26"/>
      <c r="AW440" s="26"/>
      <c r="AX440" s="26" t="str">
        <f t="shared" si="18"/>
        <v/>
      </c>
      <c r="AY440" t="str">
        <f t="shared" si="19"/>
        <v/>
      </c>
      <c r="AZ440" t="s">
        <v>200</v>
      </c>
      <c r="BA440" s="3"/>
      <c r="BB440" t="str">
        <f t="shared" si="20"/>
        <v>No scrap rate (No impact);</v>
      </c>
    </row>
    <row r="441" spans="1:54" x14ac:dyDescent="0.3">
      <c r="A441" t="s">
        <v>1880</v>
      </c>
      <c r="B441" t="s">
        <v>1881</v>
      </c>
      <c r="C441" t="s">
        <v>1256</v>
      </c>
      <c r="D441" t="s">
        <v>1257</v>
      </c>
      <c r="G441" t="s">
        <v>196</v>
      </c>
      <c r="H441" t="s">
        <v>197</v>
      </c>
      <c r="J441" t="s">
        <v>1590</v>
      </c>
      <c r="L441">
        <v>0</v>
      </c>
      <c r="M441">
        <v>1.2999999999999999E-2</v>
      </c>
      <c r="N441" t="s">
        <v>198</v>
      </c>
      <c r="O441">
        <v>1.2999999999999999E-2</v>
      </c>
      <c r="P441" t="s">
        <v>198</v>
      </c>
      <c r="Q441" t="s">
        <v>199</v>
      </c>
      <c r="R441" s="3"/>
      <c r="W441" t="s">
        <v>200</v>
      </c>
      <c r="X441" s="25"/>
      <c r="Y441" s="26"/>
      <c r="Z441" s="27"/>
      <c r="AA441" t="s">
        <v>25</v>
      </c>
      <c r="AB441" t="s">
        <v>201</v>
      </c>
      <c r="AC441" s="3"/>
      <c r="AH441" t="s">
        <v>202</v>
      </c>
      <c r="AK441" t="s">
        <v>203</v>
      </c>
      <c r="AP441" t="s">
        <v>200</v>
      </c>
      <c r="AR441" s="25"/>
      <c r="AT441" s="25">
        <v>0</v>
      </c>
      <c r="AU441" s="26"/>
      <c r="AV441" s="26"/>
      <c r="AW441" s="26"/>
      <c r="AX441" s="26" t="str">
        <f t="shared" si="18"/>
        <v/>
      </c>
      <c r="AY441" t="str">
        <f t="shared" si="19"/>
        <v/>
      </c>
      <c r="AZ441" t="s">
        <v>200</v>
      </c>
      <c r="BA441" s="3"/>
      <c r="BB441" t="str">
        <f t="shared" si="20"/>
        <v>No scrap rate (No impact);</v>
      </c>
    </row>
    <row r="442" spans="1:54" x14ac:dyDescent="0.3">
      <c r="A442" t="s">
        <v>1882</v>
      </c>
      <c r="B442" t="s">
        <v>1883</v>
      </c>
      <c r="C442" t="s">
        <v>1110</v>
      </c>
      <c r="D442" t="s">
        <v>1111</v>
      </c>
      <c r="G442" t="s">
        <v>1112</v>
      </c>
      <c r="H442" t="s">
        <v>1113</v>
      </c>
      <c r="J442" t="s">
        <v>1089</v>
      </c>
      <c r="L442">
        <v>1</v>
      </c>
      <c r="M442">
        <v>0.03</v>
      </c>
      <c r="N442" t="s">
        <v>198</v>
      </c>
      <c r="O442">
        <v>0.03</v>
      </c>
      <c r="P442" t="s">
        <v>198</v>
      </c>
      <c r="Q442" t="s">
        <v>199</v>
      </c>
      <c r="R442" s="3"/>
      <c r="W442" t="s">
        <v>200</v>
      </c>
      <c r="X442" s="25"/>
      <c r="Y442" s="26"/>
      <c r="Z442" s="27"/>
      <c r="AA442" t="s">
        <v>25</v>
      </c>
      <c r="AB442" t="s">
        <v>201</v>
      </c>
      <c r="AC442" s="3"/>
      <c r="AH442" t="s">
        <v>202</v>
      </c>
      <c r="AK442" t="s">
        <v>203</v>
      </c>
      <c r="AP442" t="s">
        <v>200</v>
      </c>
      <c r="AR442" s="25"/>
      <c r="AT442" s="25">
        <v>0</v>
      </c>
      <c r="AU442" s="26"/>
      <c r="AV442" s="26"/>
      <c r="AW442" s="26"/>
      <c r="AX442" s="26" t="str">
        <f t="shared" si="18"/>
        <v/>
      </c>
      <c r="AY442" t="str">
        <f t="shared" si="19"/>
        <v/>
      </c>
      <c r="AZ442" t="s">
        <v>200</v>
      </c>
      <c r="BA442" s="3"/>
      <c r="BB442" t="str">
        <f t="shared" si="20"/>
        <v>No scrap rate (No impact);</v>
      </c>
    </row>
    <row r="443" spans="1:54" x14ac:dyDescent="0.3">
      <c r="A443" t="s">
        <v>1884</v>
      </c>
      <c r="B443" t="s">
        <v>1885</v>
      </c>
      <c r="C443" t="s">
        <v>1256</v>
      </c>
      <c r="D443" t="s">
        <v>1257</v>
      </c>
      <c r="G443" t="s">
        <v>196</v>
      </c>
      <c r="H443" t="s">
        <v>197</v>
      </c>
      <c r="J443" t="s">
        <v>1590</v>
      </c>
      <c r="L443">
        <v>0</v>
      </c>
      <c r="M443">
        <v>3.0000000000000001E-3</v>
      </c>
      <c r="N443" t="s">
        <v>198</v>
      </c>
      <c r="O443">
        <v>3.0000000000000001E-3</v>
      </c>
      <c r="P443" t="s">
        <v>198</v>
      </c>
      <c r="Q443" t="s">
        <v>199</v>
      </c>
      <c r="R443" s="3"/>
      <c r="W443" t="s">
        <v>200</v>
      </c>
      <c r="X443" s="25"/>
      <c r="Y443" s="26"/>
      <c r="Z443" s="27"/>
      <c r="AA443" t="s">
        <v>25</v>
      </c>
      <c r="AB443" t="s">
        <v>201</v>
      </c>
      <c r="AC443" s="3"/>
      <c r="AH443" t="s">
        <v>202</v>
      </c>
      <c r="AK443" t="s">
        <v>203</v>
      </c>
      <c r="AP443" t="s">
        <v>200</v>
      </c>
      <c r="AR443" s="25"/>
      <c r="AT443" s="25">
        <v>0</v>
      </c>
      <c r="AU443" s="26"/>
      <c r="AV443" s="26"/>
      <c r="AW443" s="26"/>
      <c r="AX443" s="26" t="str">
        <f t="shared" si="18"/>
        <v/>
      </c>
      <c r="AY443" t="str">
        <f t="shared" si="19"/>
        <v/>
      </c>
      <c r="AZ443" t="s">
        <v>200</v>
      </c>
      <c r="BA443" s="3"/>
      <c r="BB443" t="str">
        <f t="shared" si="20"/>
        <v>No scrap rate (No impact);</v>
      </c>
    </row>
    <row r="444" spans="1:54" x14ac:dyDescent="0.3">
      <c r="A444" t="s">
        <v>1886</v>
      </c>
      <c r="B444" t="s">
        <v>1887</v>
      </c>
      <c r="C444" t="s">
        <v>1256</v>
      </c>
      <c r="D444" t="s">
        <v>1257</v>
      </c>
      <c r="G444" t="s">
        <v>725</v>
      </c>
      <c r="H444" t="s">
        <v>197</v>
      </c>
      <c r="J444" t="s">
        <v>1590</v>
      </c>
      <c r="L444">
        <v>0</v>
      </c>
      <c r="M444">
        <v>3.0000000000000001E-3</v>
      </c>
      <c r="N444" t="s">
        <v>198</v>
      </c>
      <c r="O444">
        <v>3.0000000000000001E-3</v>
      </c>
      <c r="P444" t="s">
        <v>198</v>
      </c>
      <c r="Q444" t="s">
        <v>199</v>
      </c>
      <c r="R444" s="3"/>
      <c r="W444" t="s">
        <v>200</v>
      </c>
      <c r="X444" s="25"/>
      <c r="Y444" s="26"/>
      <c r="Z444" s="27"/>
      <c r="AA444" t="s">
        <v>25</v>
      </c>
      <c r="AB444" t="s">
        <v>201</v>
      </c>
      <c r="AC444" s="3"/>
      <c r="AH444" t="s">
        <v>202</v>
      </c>
      <c r="AK444" t="s">
        <v>203</v>
      </c>
      <c r="AP444" t="s">
        <v>200</v>
      </c>
      <c r="AR444" s="25"/>
      <c r="AT444" s="25">
        <v>0</v>
      </c>
      <c r="AU444" s="26"/>
      <c r="AV444" s="26"/>
      <c r="AW444" s="26"/>
      <c r="AX444" s="26" t="str">
        <f t="shared" si="18"/>
        <v/>
      </c>
      <c r="AY444" t="str">
        <f t="shared" si="19"/>
        <v/>
      </c>
      <c r="AZ444" t="s">
        <v>200</v>
      </c>
      <c r="BA444" s="3"/>
      <c r="BB444" t="str">
        <f t="shared" si="20"/>
        <v>No scrap rate (No impact);</v>
      </c>
    </row>
    <row r="445" spans="1:54" x14ac:dyDescent="0.3">
      <c r="A445" t="s">
        <v>1888</v>
      </c>
      <c r="B445" t="s">
        <v>1889</v>
      </c>
      <c r="C445" t="s">
        <v>1256</v>
      </c>
      <c r="D445" t="s">
        <v>1257</v>
      </c>
      <c r="G445" t="s">
        <v>725</v>
      </c>
      <c r="H445" t="s">
        <v>197</v>
      </c>
      <c r="J445" t="s">
        <v>1590</v>
      </c>
      <c r="L445">
        <v>0</v>
      </c>
      <c r="M445">
        <v>3.0000000000000001E-3</v>
      </c>
      <c r="N445" t="s">
        <v>198</v>
      </c>
      <c r="O445">
        <v>3.0000000000000001E-3</v>
      </c>
      <c r="P445" t="s">
        <v>198</v>
      </c>
      <c r="Q445" t="s">
        <v>199</v>
      </c>
      <c r="R445" s="3"/>
      <c r="W445" t="s">
        <v>200</v>
      </c>
      <c r="X445" s="25"/>
      <c r="Y445" s="26"/>
      <c r="Z445" s="27"/>
      <c r="AA445" t="s">
        <v>25</v>
      </c>
      <c r="AB445" t="s">
        <v>201</v>
      </c>
      <c r="AC445" s="3"/>
      <c r="AH445" t="s">
        <v>202</v>
      </c>
      <c r="AK445" t="s">
        <v>203</v>
      </c>
      <c r="AP445" t="s">
        <v>200</v>
      </c>
      <c r="AR445" s="25"/>
      <c r="AT445" s="25">
        <v>0</v>
      </c>
      <c r="AU445" s="26"/>
      <c r="AV445" s="26"/>
      <c r="AW445" s="26"/>
      <c r="AX445" s="26" t="str">
        <f t="shared" si="18"/>
        <v/>
      </c>
      <c r="AY445" t="str">
        <f t="shared" si="19"/>
        <v/>
      </c>
      <c r="AZ445" t="s">
        <v>200</v>
      </c>
      <c r="BA445" s="3"/>
      <c r="BB445" t="str">
        <f t="shared" si="20"/>
        <v>No scrap rate (No impact);</v>
      </c>
    </row>
    <row r="446" spans="1:54" x14ac:dyDescent="0.3">
      <c r="A446" t="s">
        <v>1890</v>
      </c>
      <c r="B446" t="s">
        <v>1891</v>
      </c>
      <c r="C446" t="s">
        <v>946</v>
      </c>
      <c r="D446" t="s">
        <v>947</v>
      </c>
      <c r="G446" t="s">
        <v>493</v>
      </c>
      <c r="H446" t="s">
        <v>494</v>
      </c>
      <c r="L446">
        <v>0</v>
      </c>
      <c r="M446">
        <v>0.1</v>
      </c>
      <c r="N446" t="s">
        <v>198</v>
      </c>
      <c r="O446">
        <v>0.1</v>
      </c>
      <c r="P446" t="s">
        <v>198</v>
      </c>
      <c r="Q446" t="s">
        <v>199</v>
      </c>
      <c r="R446" s="3"/>
      <c r="W446" t="s">
        <v>200</v>
      </c>
      <c r="X446" s="25"/>
      <c r="Y446" s="26"/>
      <c r="Z446" s="27"/>
      <c r="AA446" t="s">
        <v>25</v>
      </c>
      <c r="AB446" t="s">
        <v>201</v>
      </c>
      <c r="AC446" s="3"/>
      <c r="AH446" t="s">
        <v>202</v>
      </c>
      <c r="AK446" t="s">
        <v>203</v>
      </c>
      <c r="AP446" t="s">
        <v>200</v>
      </c>
      <c r="AR446" s="25"/>
      <c r="AT446" s="25">
        <v>0</v>
      </c>
      <c r="AU446" s="26"/>
      <c r="AV446" s="26"/>
      <c r="AW446" s="26"/>
      <c r="AX446" s="26" t="str">
        <f t="shared" si="18"/>
        <v/>
      </c>
      <c r="AY446" t="str">
        <f t="shared" si="19"/>
        <v/>
      </c>
      <c r="AZ446" t="s">
        <v>200</v>
      </c>
      <c r="BA446" s="3"/>
      <c r="BB446" t="str">
        <f t="shared" si="20"/>
        <v>No scrap rate (No impact);No raw material available (High);</v>
      </c>
    </row>
    <row r="447" spans="1:54" x14ac:dyDescent="0.3">
      <c r="A447" t="s">
        <v>1892</v>
      </c>
      <c r="B447" t="s">
        <v>1893</v>
      </c>
      <c r="C447" t="s">
        <v>1110</v>
      </c>
      <c r="D447" t="s">
        <v>1111</v>
      </c>
      <c r="G447" t="s">
        <v>493</v>
      </c>
      <c r="H447" t="s">
        <v>494</v>
      </c>
      <c r="J447" t="s">
        <v>1089</v>
      </c>
      <c r="L447">
        <v>0</v>
      </c>
      <c r="M447">
        <v>2.5999999999999999E-2</v>
      </c>
      <c r="N447" t="s">
        <v>198</v>
      </c>
      <c r="O447">
        <v>2.5999999999999999E-2</v>
      </c>
      <c r="P447" t="s">
        <v>198</v>
      </c>
      <c r="Q447" t="s">
        <v>199</v>
      </c>
      <c r="R447" s="3"/>
      <c r="W447" t="s">
        <v>200</v>
      </c>
      <c r="X447" s="25"/>
      <c r="Y447" s="26"/>
      <c r="Z447" s="27"/>
      <c r="AA447" t="s">
        <v>25</v>
      </c>
      <c r="AB447" t="s">
        <v>201</v>
      </c>
      <c r="AC447" s="3"/>
      <c r="AH447" t="s">
        <v>202</v>
      </c>
      <c r="AK447" t="s">
        <v>203</v>
      </c>
      <c r="AP447" t="s">
        <v>200</v>
      </c>
      <c r="AR447" s="25"/>
      <c r="AT447" s="25">
        <v>0</v>
      </c>
      <c r="AU447" s="26"/>
      <c r="AV447" s="26"/>
      <c r="AW447" s="26"/>
      <c r="AX447" s="26" t="str">
        <f t="shared" si="18"/>
        <v/>
      </c>
      <c r="AY447" t="str">
        <f t="shared" si="19"/>
        <v/>
      </c>
      <c r="AZ447" t="s">
        <v>200</v>
      </c>
      <c r="BA447" s="3"/>
      <c r="BB447" t="str">
        <f t="shared" si="20"/>
        <v>No scrap rate (No impact);</v>
      </c>
    </row>
    <row r="448" spans="1:54" x14ac:dyDescent="0.3">
      <c r="A448" t="s">
        <v>1894</v>
      </c>
      <c r="B448" t="s">
        <v>1895</v>
      </c>
      <c r="C448" t="s">
        <v>1110</v>
      </c>
      <c r="D448" t="s">
        <v>1111</v>
      </c>
      <c r="G448" t="s">
        <v>493</v>
      </c>
      <c r="H448" t="s">
        <v>494</v>
      </c>
      <c r="J448" t="s">
        <v>1089</v>
      </c>
      <c r="L448">
        <v>0</v>
      </c>
      <c r="M448">
        <v>2.5999999999999999E-2</v>
      </c>
      <c r="N448" t="s">
        <v>198</v>
      </c>
      <c r="O448">
        <v>2.5999999999999999E-2</v>
      </c>
      <c r="P448" t="s">
        <v>198</v>
      </c>
      <c r="Q448" t="s">
        <v>199</v>
      </c>
      <c r="R448" s="3"/>
      <c r="W448" t="s">
        <v>200</v>
      </c>
      <c r="X448" s="25"/>
      <c r="Y448" s="26"/>
      <c r="Z448" s="27"/>
      <c r="AA448" t="s">
        <v>25</v>
      </c>
      <c r="AB448" t="s">
        <v>201</v>
      </c>
      <c r="AC448" s="3"/>
      <c r="AH448" t="s">
        <v>202</v>
      </c>
      <c r="AK448" t="s">
        <v>203</v>
      </c>
      <c r="AP448" t="s">
        <v>200</v>
      </c>
      <c r="AR448" s="25"/>
      <c r="AT448" s="25">
        <v>0</v>
      </c>
      <c r="AU448" s="26"/>
      <c r="AV448" s="26"/>
      <c r="AW448" s="26"/>
      <c r="AX448" s="26" t="str">
        <f t="shared" si="18"/>
        <v/>
      </c>
      <c r="AY448" t="str">
        <f t="shared" si="19"/>
        <v/>
      </c>
      <c r="AZ448" t="s">
        <v>200</v>
      </c>
      <c r="BA448" s="3"/>
      <c r="BB448" t="str">
        <f t="shared" si="20"/>
        <v>No scrap rate (No impact);</v>
      </c>
    </row>
    <row r="449" spans="1:54" x14ac:dyDescent="0.3">
      <c r="A449" t="s">
        <v>1896</v>
      </c>
      <c r="B449" t="s">
        <v>1897</v>
      </c>
      <c r="C449" t="s">
        <v>1110</v>
      </c>
      <c r="D449" t="s">
        <v>1111</v>
      </c>
      <c r="G449" t="s">
        <v>493</v>
      </c>
      <c r="H449" t="s">
        <v>494</v>
      </c>
      <c r="J449" t="s">
        <v>1089</v>
      </c>
      <c r="L449">
        <v>0</v>
      </c>
      <c r="M449">
        <v>9.1999999999999998E-2</v>
      </c>
      <c r="N449" t="s">
        <v>198</v>
      </c>
      <c r="O449">
        <v>9.1999999999999998E-2</v>
      </c>
      <c r="P449" t="s">
        <v>198</v>
      </c>
      <c r="Q449" t="s">
        <v>199</v>
      </c>
      <c r="R449" s="3"/>
      <c r="W449" t="s">
        <v>200</v>
      </c>
      <c r="X449" s="25"/>
      <c r="Y449" s="26"/>
      <c r="Z449" s="27"/>
      <c r="AA449" t="s">
        <v>25</v>
      </c>
      <c r="AB449" t="s">
        <v>201</v>
      </c>
      <c r="AC449" s="3"/>
      <c r="AH449" t="s">
        <v>202</v>
      </c>
      <c r="AK449" t="s">
        <v>203</v>
      </c>
      <c r="AP449" t="s">
        <v>200</v>
      </c>
      <c r="AR449" s="25"/>
      <c r="AT449" s="25">
        <v>0</v>
      </c>
      <c r="AU449" s="26"/>
      <c r="AV449" s="26"/>
      <c r="AW449" s="26"/>
      <c r="AX449" s="26" t="str">
        <f t="shared" si="18"/>
        <v/>
      </c>
      <c r="AY449" t="str">
        <f t="shared" si="19"/>
        <v/>
      </c>
      <c r="AZ449" t="s">
        <v>200</v>
      </c>
      <c r="BA449" s="3"/>
      <c r="BB449" t="str">
        <f t="shared" si="20"/>
        <v>No scrap rate (No impact);</v>
      </c>
    </row>
    <row r="450" spans="1:54" x14ac:dyDescent="0.3">
      <c r="A450" t="s">
        <v>1898</v>
      </c>
      <c r="B450" t="s">
        <v>1899</v>
      </c>
      <c r="C450" t="s">
        <v>946</v>
      </c>
      <c r="D450" t="s">
        <v>947</v>
      </c>
      <c r="G450" t="s">
        <v>493</v>
      </c>
      <c r="H450" t="s">
        <v>494</v>
      </c>
      <c r="J450" t="s">
        <v>926</v>
      </c>
      <c r="L450">
        <v>0</v>
      </c>
      <c r="M450">
        <v>0.1</v>
      </c>
      <c r="N450" t="s">
        <v>198</v>
      </c>
      <c r="O450">
        <v>0.1</v>
      </c>
      <c r="P450" t="s">
        <v>198</v>
      </c>
      <c r="Q450" t="s">
        <v>199</v>
      </c>
      <c r="R450" s="3"/>
      <c r="W450" t="s">
        <v>200</v>
      </c>
      <c r="X450" s="25"/>
      <c r="Y450" s="26"/>
      <c r="Z450" s="27"/>
      <c r="AA450" t="s">
        <v>25</v>
      </c>
      <c r="AB450" t="s">
        <v>201</v>
      </c>
      <c r="AC450" s="3"/>
      <c r="AH450" t="s">
        <v>202</v>
      </c>
      <c r="AK450" t="s">
        <v>203</v>
      </c>
      <c r="AP450" t="s">
        <v>200</v>
      </c>
      <c r="AR450" s="25"/>
      <c r="AT450" s="25">
        <v>0</v>
      </c>
      <c r="AU450" s="26"/>
      <c r="AV450" s="26"/>
      <c r="AW450" s="26"/>
      <c r="AX450" s="26" t="str">
        <f t="shared" si="18"/>
        <v/>
      </c>
      <c r="AY450" t="str">
        <f t="shared" si="19"/>
        <v/>
      </c>
      <c r="AZ450" t="s">
        <v>200</v>
      </c>
      <c r="BA450" s="3"/>
      <c r="BB450" t="str">
        <f t="shared" si="20"/>
        <v>No scrap rate (No impact);</v>
      </c>
    </row>
    <row r="451" spans="1:54" x14ac:dyDescent="0.3">
      <c r="A451" t="s">
        <v>1900</v>
      </c>
      <c r="B451" t="s">
        <v>1901</v>
      </c>
      <c r="C451" t="s">
        <v>946</v>
      </c>
      <c r="D451" t="s">
        <v>947</v>
      </c>
      <c r="G451" t="s">
        <v>493</v>
      </c>
      <c r="H451" t="s">
        <v>494</v>
      </c>
      <c r="J451" t="s">
        <v>926</v>
      </c>
      <c r="L451">
        <v>0</v>
      </c>
      <c r="M451">
        <v>0.1</v>
      </c>
      <c r="N451" t="s">
        <v>198</v>
      </c>
      <c r="O451">
        <v>0.1</v>
      </c>
      <c r="P451" t="s">
        <v>198</v>
      </c>
      <c r="Q451" t="s">
        <v>199</v>
      </c>
      <c r="R451" s="3"/>
      <c r="W451" t="s">
        <v>200</v>
      </c>
      <c r="X451" s="25"/>
      <c r="Y451" s="26"/>
      <c r="Z451" s="27"/>
      <c r="AA451" t="s">
        <v>25</v>
      </c>
      <c r="AB451" t="s">
        <v>201</v>
      </c>
      <c r="AC451" s="3"/>
      <c r="AH451" t="s">
        <v>202</v>
      </c>
      <c r="AK451" t="s">
        <v>203</v>
      </c>
      <c r="AP451" t="s">
        <v>200</v>
      </c>
      <c r="AR451" s="25"/>
      <c r="AT451" s="25">
        <v>0</v>
      </c>
      <c r="AU451" s="26"/>
      <c r="AV451" s="26"/>
      <c r="AW451" s="26"/>
      <c r="AX451" s="26" t="str">
        <f t="shared" ref="AX451:AX514" si="21">IF(COUNT(AU451,AV451,AW451)=0,"",ROUND(AVERAGE(AU451,AV451,AW451),3))</f>
        <v/>
      </c>
      <c r="AY451" t="str">
        <f t="shared" ref="AY451:AY514" si="22">IF(AO451="","",ROUND(AO451*IF(M451="",0,M451)*(1+IF(AR451="",0,AR451)),5))</f>
        <v/>
      </c>
      <c r="AZ451" t="s">
        <v>200</v>
      </c>
      <c r="BA451" s="3"/>
      <c r="BB451" t="str">
        <f t="shared" ref="BB451:BB514" si="23">IF(AND(A451&lt;&gt;"",G451=""),"Supplier code empty (High);","")&amp;IF(AND(X451&lt;&gt;"",OR(X451&gt;1,X451&lt;0)),"Incorrect PDS value (High);",IF(AND(X451&lt;&gt;"",X451&gt;0.5),"High PDS value (Medium);",""))&amp;IF(AND(Y451&lt;&gt;"",OR(Y451&gt;5,Y451&lt;1)),"Incorrect DQR value (High);",IF(AND(Y451&lt;&gt;"",Y451&gt;4),"Incorrect DQR value (Medium);",IF(AND(Y451&lt;&gt;"",Y451&gt;3),"Incorrect DQR value (Low);","")))&amp;IF(AND(V451&lt;&gt;"",OR(V451&lt;=0,V451&gt;100)),"Unusual PCF value might be wrong (High);","")&amp;IF(AND(AT451&lt;&gt;"",OR(AT451&gt;1,AT451&lt;0)),"Incorrect PDS value (High);",IF(AND(AT451&lt;&gt;"",AT451&gt;0.5),"High PDS value (Medium);",""))&amp;IF(AND(AX451&lt;&gt;"",OR(AX451&gt;5,AX451&lt;1)),"Incorrect DQR value (High);",IF(AND(AX451&lt;&gt;"",AX451&gt;4),"Incorrect DQR value (Medium);",IF(AND(AX451&lt;&gt;"",AX451&gt;3),"Incorrect DQR value (Low);","")))&amp;IF(AND(AR451&lt;&gt;"",OR(AR451&gt;1,AR451&lt;0)),"Incorrect scrap rate (High);",IF(AND(A451&lt;&gt;"",AR451=0),"No scrap rate (No impact);",""))&amp;IF(AND(A451&lt;&gt;"",I451="",J451="",K451=""),"No raw material available (High);","")&amp;""</f>
        <v>No scrap rate (No impact);</v>
      </c>
    </row>
    <row r="452" spans="1:54" x14ac:dyDescent="0.3">
      <c r="A452" t="s">
        <v>1902</v>
      </c>
      <c r="B452" t="s">
        <v>1903</v>
      </c>
      <c r="C452" t="s">
        <v>1256</v>
      </c>
      <c r="D452" t="s">
        <v>1257</v>
      </c>
      <c r="G452" t="s">
        <v>1731</v>
      </c>
      <c r="H452" t="s">
        <v>1732</v>
      </c>
      <c r="J452" t="s">
        <v>1060</v>
      </c>
      <c r="L452">
        <v>0</v>
      </c>
      <c r="M452">
        <v>5.0000000000000001E-3</v>
      </c>
      <c r="N452" t="s">
        <v>198</v>
      </c>
      <c r="O452">
        <v>5.0000000000000001E-3</v>
      </c>
      <c r="P452" t="s">
        <v>198</v>
      </c>
      <c r="Q452" t="s">
        <v>199</v>
      </c>
      <c r="R452" s="3"/>
      <c r="W452" t="s">
        <v>200</v>
      </c>
      <c r="X452" s="25"/>
      <c r="Y452" s="26"/>
      <c r="Z452" s="27"/>
      <c r="AA452" t="s">
        <v>25</v>
      </c>
      <c r="AB452" t="s">
        <v>201</v>
      </c>
      <c r="AC452" s="3"/>
      <c r="AH452" t="s">
        <v>202</v>
      </c>
      <c r="AK452" t="s">
        <v>203</v>
      </c>
      <c r="AP452" t="s">
        <v>200</v>
      </c>
      <c r="AR452" s="25"/>
      <c r="AT452" s="25">
        <v>0</v>
      </c>
      <c r="AU452" s="26"/>
      <c r="AV452" s="26"/>
      <c r="AW452" s="26"/>
      <c r="AX452" s="26" t="str">
        <f t="shared" si="21"/>
        <v/>
      </c>
      <c r="AY452" t="str">
        <f t="shared" si="22"/>
        <v/>
      </c>
      <c r="AZ452" t="s">
        <v>200</v>
      </c>
      <c r="BA452" s="3"/>
      <c r="BB452" t="str">
        <f t="shared" si="23"/>
        <v>No scrap rate (No impact);</v>
      </c>
    </row>
    <row r="453" spans="1:54" x14ac:dyDescent="0.3">
      <c r="A453" t="s">
        <v>1904</v>
      </c>
      <c r="B453" t="s">
        <v>1905</v>
      </c>
      <c r="C453" t="s">
        <v>1256</v>
      </c>
      <c r="D453" t="s">
        <v>1257</v>
      </c>
      <c r="G453" t="s">
        <v>725</v>
      </c>
      <c r="H453" t="s">
        <v>197</v>
      </c>
      <c r="J453" t="s">
        <v>1590</v>
      </c>
      <c r="L453">
        <v>0</v>
      </c>
      <c r="M453">
        <v>3.0000000000000001E-3</v>
      </c>
      <c r="N453" t="s">
        <v>198</v>
      </c>
      <c r="O453">
        <v>3.0000000000000001E-3</v>
      </c>
      <c r="P453" t="s">
        <v>198</v>
      </c>
      <c r="Q453" t="s">
        <v>199</v>
      </c>
      <c r="R453" s="3"/>
      <c r="W453" t="s">
        <v>200</v>
      </c>
      <c r="X453" s="25"/>
      <c r="Y453" s="26"/>
      <c r="Z453" s="27"/>
      <c r="AA453" t="s">
        <v>25</v>
      </c>
      <c r="AB453" t="s">
        <v>201</v>
      </c>
      <c r="AC453" s="3"/>
      <c r="AH453" t="s">
        <v>202</v>
      </c>
      <c r="AK453" t="s">
        <v>203</v>
      </c>
      <c r="AP453" t="s">
        <v>200</v>
      </c>
      <c r="AR453" s="25"/>
      <c r="AT453" s="25">
        <v>0</v>
      </c>
      <c r="AU453" s="26"/>
      <c r="AV453" s="26"/>
      <c r="AW453" s="26"/>
      <c r="AX453" s="26" t="str">
        <f t="shared" si="21"/>
        <v/>
      </c>
      <c r="AY453" t="str">
        <f t="shared" si="22"/>
        <v/>
      </c>
      <c r="AZ453" t="s">
        <v>200</v>
      </c>
      <c r="BA453" s="3"/>
      <c r="BB453" t="str">
        <f t="shared" si="23"/>
        <v>No scrap rate (No impact);</v>
      </c>
    </row>
    <row r="454" spans="1:54" x14ac:dyDescent="0.3">
      <c r="A454" t="s">
        <v>1906</v>
      </c>
      <c r="B454" t="s">
        <v>1907</v>
      </c>
      <c r="C454" t="s">
        <v>946</v>
      </c>
      <c r="D454" t="s">
        <v>947</v>
      </c>
      <c r="G454" t="s">
        <v>493</v>
      </c>
      <c r="H454" t="s">
        <v>494</v>
      </c>
      <c r="J454" t="s">
        <v>926</v>
      </c>
      <c r="L454">
        <v>0</v>
      </c>
      <c r="M454">
        <v>1.9E-2</v>
      </c>
      <c r="N454" t="s">
        <v>198</v>
      </c>
      <c r="O454">
        <v>1.9E-2</v>
      </c>
      <c r="P454" t="s">
        <v>198</v>
      </c>
      <c r="Q454" t="s">
        <v>199</v>
      </c>
      <c r="R454" s="3"/>
      <c r="W454" t="s">
        <v>200</v>
      </c>
      <c r="X454" s="25"/>
      <c r="Y454" s="26"/>
      <c r="Z454" s="27"/>
      <c r="AA454" t="s">
        <v>25</v>
      </c>
      <c r="AB454" t="s">
        <v>201</v>
      </c>
      <c r="AC454" s="3"/>
      <c r="AH454" t="s">
        <v>202</v>
      </c>
      <c r="AK454" t="s">
        <v>203</v>
      </c>
      <c r="AP454" t="s">
        <v>200</v>
      </c>
      <c r="AR454" s="25"/>
      <c r="AT454" s="25">
        <v>0</v>
      </c>
      <c r="AU454" s="26"/>
      <c r="AV454" s="26"/>
      <c r="AW454" s="26"/>
      <c r="AX454" s="26" t="str">
        <f t="shared" si="21"/>
        <v/>
      </c>
      <c r="AY454" t="str">
        <f t="shared" si="22"/>
        <v/>
      </c>
      <c r="AZ454" t="s">
        <v>200</v>
      </c>
      <c r="BA454" s="3"/>
      <c r="BB454" t="str">
        <f t="shared" si="23"/>
        <v>No scrap rate (No impact);</v>
      </c>
    </row>
    <row r="455" spans="1:54" x14ac:dyDescent="0.3">
      <c r="A455" t="s">
        <v>1908</v>
      </c>
      <c r="B455" t="s">
        <v>1909</v>
      </c>
      <c r="C455" t="s">
        <v>946</v>
      </c>
      <c r="D455" t="s">
        <v>947</v>
      </c>
      <c r="G455" t="s">
        <v>493</v>
      </c>
      <c r="H455" t="s">
        <v>494</v>
      </c>
      <c r="J455" t="s">
        <v>926</v>
      </c>
      <c r="L455">
        <v>0</v>
      </c>
      <c r="M455">
        <v>0.374</v>
      </c>
      <c r="N455" t="s">
        <v>198</v>
      </c>
      <c r="O455">
        <v>0.1</v>
      </c>
      <c r="P455" t="s">
        <v>198</v>
      </c>
      <c r="Q455" t="s">
        <v>199</v>
      </c>
      <c r="R455" s="3"/>
      <c r="W455" t="s">
        <v>200</v>
      </c>
      <c r="X455" s="25"/>
      <c r="Y455" s="26"/>
      <c r="Z455" s="27"/>
      <c r="AA455" t="s">
        <v>25</v>
      </c>
      <c r="AB455" t="s">
        <v>201</v>
      </c>
      <c r="AC455" s="3"/>
      <c r="AH455" t="s">
        <v>202</v>
      </c>
      <c r="AK455" t="s">
        <v>203</v>
      </c>
      <c r="AP455" t="s">
        <v>200</v>
      </c>
      <c r="AR455" s="25"/>
      <c r="AT455" s="25">
        <v>0</v>
      </c>
      <c r="AU455" s="26"/>
      <c r="AV455" s="26"/>
      <c r="AW455" s="26"/>
      <c r="AX455" s="26" t="str">
        <f t="shared" si="21"/>
        <v/>
      </c>
      <c r="AY455" t="str">
        <f t="shared" si="22"/>
        <v/>
      </c>
      <c r="AZ455" t="s">
        <v>200</v>
      </c>
      <c r="BA455" s="3"/>
      <c r="BB455" t="str">
        <f t="shared" si="23"/>
        <v>No scrap rate (No impact);</v>
      </c>
    </row>
    <row r="456" spans="1:54" x14ac:dyDescent="0.3">
      <c r="A456" t="s">
        <v>1910</v>
      </c>
      <c r="B456" t="s">
        <v>1911</v>
      </c>
      <c r="C456" t="s">
        <v>966</v>
      </c>
      <c r="D456" t="s">
        <v>967</v>
      </c>
      <c r="G456" t="s">
        <v>1299</v>
      </c>
      <c r="H456" t="s">
        <v>1300</v>
      </c>
      <c r="J456" t="s">
        <v>1046</v>
      </c>
      <c r="L456">
        <v>0</v>
      </c>
      <c r="M456">
        <v>3.0000000000000001E-3</v>
      </c>
      <c r="N456" t="s">
        <v>198</v>
      </c>
      <c r="O456">
        <v>3.0000000000000001E-3</v>
      </c>
      <c r="P456" t="s">
        <v>198</v>
      </c>
      <c r="Q456" t="s">
        <v>199</v>
      </c>
      <c r="R456" s="3"/>
      <c r="W456" t="s">
        <v>200</v>
      </c>
      <c r="X456" s="25"/>
      <c r="Y456" s="26"/>
      <c r="Z456" s="27"/>
      <c r="AA456" t="s">
        <v>25</v>
      </c>
      <c r="AB456" t="s">
        <v>201</v>
      </c>
      <c r="AC456" s="3"/>
      <c r="AH456" t="s">
        <v>202</v>
      </c>
      <c r="AK456" t="s">
        <v>203</v>
      </c>
      <c r="AP456" t="s">
        <v>200</v>
      </c>
      <c r="AR456" s="25"/>
      <c r="AT456" s="25">
        <v>0</v>
      </c>
      <c r="AU456" s="26"/>
      <c r="AV456" s="26"/>
      <c r="AW456" s="26"/>
      <c r="AX456" s="26" t="str">
        <f t="shared" si="21"/>
        <v/>
      </c>
      <c r="AY456" t="str">
        <f t="shared" si="22"/>
        <v/>
      </c>
      <c r="AZ456" t="s">
        <v>200</v>
      </c>
      <c r="BA456" s="3"/>
      <c r="BB456" t="str">
        <f t="shared" si="23"/>
        <v>No scrap rate (No impact);</v>
      </c>
    </row>
    <row r="457" spans="1:54" x14ac:dyDescent="0.3">
      <c r="A457" t="s">
        <v>1912</v>
      </c>
      <c r="B457" t="s">
        <v>1913</v>
      </c>
      <c r="C457" t="s">
        <v>918</v>
      </c>
      <c r="D457" t="s">
        <v>919</v>
      </c>
      <c r="G457" t="s">
        <v>1299</v>
      </c>
      <c r="H457" t="s">
        <v>1300</v>
      </c>
      <c r="J457" t="s">
        <v>1046</v>
      </c>
      <c r="L457">
        <v>0</v>
      </c>
      <c r="M457">
        <v>0.06</v>
      </c>
      <c r="N457" t="s">
        <v>198</v>
      </c>
      <c r="O457">
        <v>0.06</v>
      </c>
      <c r="P457" t="s">
        <v>198</v>
      </c>
      <c r="Q457" t="s">
        <v>199</v>
      </c>
      <c r="R457" s="3"/>
      <c r="W457" t="s">
        <v>200</v>
      </c>
      <c r="X457" s="25"/>
      <c r="Y457" s="26"/>
      <c r="Z457" s="27"/>
      <c r="AA457" t="s">
        <v>25</v>
      </c>
      <c r="AB457" t="s">
        <v>201</v>
      </c>
      <c r="AC457" s="3"/>
      <c r="AH457" t="s">
        <v>202</v>
      </c>
      <c r="AK457" t="s">
        <v>203</v>
      </c>
      <c r="AP457" t="s">
        <v>200</v>
      </c>
      <c r="AR457" s="25"/>
      <c r="AT457" s="25">
        <v>0</v>
      </c>
      <c r="AU457" s="26"/>
      <c r="AV457" s="26"/>
      <c r="AW457" s="26"/>
      <c r="AX457" s="26" t="str">
        <f t="shared" si="21"/>
        <v/>
      </c>
      <c r="AY457" t="str">
        <f t="shared" si="22"/>
        <v/>
      </c>
      <c r="AZ457" t="s">
        <v>200</v>
      </c>
      <c r="BA457" s="3"/>
      <c r="BB457" t="str">
        <f t="shared" si="23"/>
        <v>No scrap rate (No impact);</v>
      </c>
    </row>
    <row r="458" spans="1:54" x14ac:dyDescent="0.3">
      <c r="A458" t="s">
        <v>1914</v>
      </c>
      <c r="B458" t="s">
        <v>1915</v>
      </c>
      <c r="C458" t="s">
        <v>1256</v>
      </c>
      <c r="D458" t="s">
        <v>1257</v>
      </c>
      <c r="G458" t="s">
        <v>1299</v>
      </c>
      <c r="H458" t="s">
        <v>1300</v>
      </c>
      <c r="J458" t="s">
        <v>1590</v>
      </c>
      <c r="L458">
        <v>0</v>
      </c>
      <c r="M458">
        <v>1.2999999999999999E-2</v>
      </c>
      <c r="N458" t="s">
        <v>198</v>
      </c>
      <c r="O458">
        <v>1.2999999999999999E-2</v>
      </c>
      <c r="P458" t="s">
        <v>198</v>
      </c>
      <c r="Q458" t="s">
        <v>199</v>
      </c>
      <c r="R458" s="3"/>
      <c r="W458" t="s">
        <v>200</v>
      </c>
      <c r="X458" s="25"/>
      <c r="Y458" s="26"/>
      <c r="Z458" s="27"/>
      <c r="AA458" t="s">
        <v>25</v>
      </c>
      <c r="AB458" t="s">
        <v>201</v>
      </c>
      <c r="AC458" s="3"/>
      <c r="AH458" t="s">
        <v>202</v>
      </c>
      <c r="AK458" t="s">
        <v>203</v>
      </c>
      <c r="AP458" t="s">
        <v>200</v>
      </c>
      <c r="AR458" s="25"/>
      <c r="AT458" s="25">
        <v>0</v>
      </c>
      <c r="AU458" s="26"/>
      <c r="AV458" s="26"/>
      <c r="AW458" s="26"/>
      <c r="AX458" s="26" t="str">
        <f t="shared" si="21"/>
        <v/>
      </c>
      <c r="AY458" t="str">
        <f t="shared" si="22"/>
        <v/>
      </c>
      <c r="AZ458" t="s">
        <v>200</v>
      </c>
      <c r="BA458" s="3"/>
      <c r="BB458" t="str">
        <f t="shared" si="23"/>
        <v>No scrap rate (No impact);</v>
      </c>
    </row>
    <row r="459" spans="1:54" x14ac:dyDescent="0.3">
      <c r="A459" t="s">
        <v>1916</v>
      </c>
      <c r="B459" t="s">
        <v>1917</v>
      </c>
      <c r="C459" t="s">
        <v>1256</v>
      </c>
      <c r="D459" t="s">
        <v>1257</v>
      </c>
      <c r="G459" t="s">
        <v>725</v>
      </c>
      <c r="H459" t="s">
        <v>197</v>
      </c>
      <c r="J459" t="s">
        <v>1590</v>
      </c>
      <c r="L459">
        <v>0</v>
      </c>
      <c r="M459">
        <v>3.0000000000000001E-3</v>
      </c>
      <c r="N459" t="s">
        <v>198</v>
      </c>
      <c r="O459">
        <v>3.0000000000000001E-3</v>
      </c>
      <c r="P459" t="s">
        <v>198</v>
      </c>
      <c r="Q459" t="s">
        <v>199</v>
      </c>
      <c r="R459" s="3"/>
      <c r="W459" t="s">
        <v>200</v>
      </c>
      <c r="X459" s="25"/>
      <c r="Y459" s="26"/>
      <c r="Z459" s="27"/>
      <c r="AA459" t="s">
        <v>25</v>
      </c>
      <c r="AB459" t="s">
        <v>201</v>
      </c>
      <c r="AC459" s="3"/>
      <c r="AH459" t="s">
        <v>202</v>
      </c>
      <c r="AK459" t="s">
        <v>203</v>
      </c>
      <c r="AP459" t="s">
        <v>200</v>
      </c>
      <c r="AR459" s="25"/>
      <c r="AT459" s="25">
        <v>0</v>
      </c>
      <c r="AU459" s="26"/>
      <c r="AV459" s="26"/>
      <c r="AW459" s="26"/>
      <c r="AX459" s="26" t="str">
        <f t="shared" si="21"/>
        <v/>
      </c>
      <c r="AY459" t="str">
        <f t="shared" si="22"/>
        <v/>
      </c>
      <c r="AZ459" t="s">
        <v>200</v>
      </c>
      <c r="BA459" s="3"/>
      <c r="BB459" t="str">
        <f t="shared" si="23"/>
        <v>No scrap rate (No impact);</v>
      </c>
    </row>
    <row r="460" spans="1:54" x14ac:dyDescent="0.3">
      <c r="A460" t="s">
        <v>1918</v>
      </c>
      <c r="B460" t="s">
        <v>1919</v>
      </c>
      <c r="C460" t="s">
        <v>1256</v>
      </c>
      <c r="D460" t="s">
        <v>1257</v>
      </c>
      <c r="G460" t="s">
        <v>903</v>
      </c>
      <c r="H460" t="s">
        <v>361</v>
      </c>
      <c r="J460" t="s">
        <v>1046</v>
      </c>
      <c r="L460">
        <v>0</v>
      </c>
      <c r="M460">
        <v>2E-3</v>
      </c>
      <c r="N460" t="s">
        <v>198</v>
      </c>
      <c r="O460">
        <v>2E-3</v>
      </c>
      <c r="P460" t="s">
        <v>198</v>
      </c>
      <c r="Q460" t="s">
        <v>199</v>
      </c>
      <c r="R460" s="3"/>
      <c r="W460" t="s">
        <v>200</v>
      </c>
      <c r="X460" s="25"/>
      <c r="Y460" s="26"/>
      <c r="Z460" s="27"/>
      <c r="AA460" t="s">
        <v>25</v>
      </c>
      <c r="AB460" t="s">
        <v>201</v>
      </c>
      <c r="AC460" s="3"/>
      <c r="AH460" t="s">
        <v>202</v>
      </c>
      <c r="AK460" t="s">
        <v>203</v>
      </c>
      <c r="AP460" t="s">
        <v>200</v>
      </c>
      <c r="AR460" s="25"/>
      <c r="AT460" s="25">
        <v>0</v>
      </c>
      <c r="AU460" s="26"/>
      <c r="AV460" s="26"/>
      <c r="AW460" s="26"/>
      <c r="AX460" s="26" t="str">
        <f t="shared" si="21"/>
        <v/>
      </c>
      <c r="AY460" t="str">
        <f t="shared" si="22"/>
        <v/>
      </c>
      <c r="AZ460" t="s">
        <v>200</v>
      </c>
      <c r="BA460" s="3"/>
      <c r="BB460" t="str">
        <f t="shared" si="23"/>
        <v>No scrap rate (No impact);</v>
      </c>
    </row>
    <row r="461" spans="1:54" x14ac:dyDescent="0.3">
      <c r="A461" t="s">
        <v>1920</v>
      </c>
      <c r="B461" t="s">
        <v>1921</v>
      </c>
      <c r="C461" t="s">
        <v>1256</v>
      </c>
      <c r="D461" t="s">
        <v>1257</v>
      </c>
      <c r="G461" t="s">
        <v>903</v>
      </c>
      <c r="H461" t="s">
        <v>361</v>
      </c>
      <c r="J461" t="s">
        <v>1046</v>
      </c>
      <c r="L461">
        <v>0</v>
      </c>
      <c r="M461">
        <v>0</v>
      </c>
      <c r="N461" t="s">
        <v>198</v>
      </c>
      <c r="O461">
        <v>0</v>
      </c>
      <c r="P461" t="s">
        <v>198</v>
      </c>
      <c r="Q461" t="s">
        <v>199</v>
      </c>
      <c r="R461" s="3"/>
      <c r="W461" t="s">
        <v>200</v>
      </c>
      <c r="X461" s="25"/>
      <c r="Y461" s="26"/>
      <c r="Z461" s="27"/>
      <c r="AA461" t="s">
        <v>25</v>
      </c>
      <c r="AB461" t="s">
        <v>201</v>
      </c>
      <c r="AC461" s="3"/>
      <c r="AH461" t="s">
        <v>202</v>
      </c>
      <c r="AK461" t="s">
        <v>203</v>
      </c>
      <c r="AP461" t="s">
        <v>200</v>
      </c>
      <c r="AR461" s="25"/>
      <c r="AT461" s="25">
        <v>0</v>
      </c>
      <c r="AU461" s="26"/>
      <c r="AV461" s="26"/>
      <c r="AW461" s="26"/>
      <c r="AX461" s="26" t="str">
        <f t="shared" si="21"/>
        <v/>
      </c>
      <c r="AY461" t="str">
        <f t="shared" si="22"/>
        <v/>
      </c>
      <c r="AZ461" t="s">
        <v>200</v>
      </c>
      <c r="BA461" s="3"/>
      <c r="BB461" t="str">
        <f t="shared" si="23"/>
        <v>No scrap rate (No impact);</v>
      </c>
    </row>
    <row r="462" spans="1:54" x14ac:dyDescent="0.3">
      <c r="A462" t="s">
        <v>1922</v>
      </c>
      <c r="B462" t="s">
        <v>1923</v>
      </c>
      <c r="C462" t="s">
        <v>1256</v>
      </c>
      <c r="D462" t="s">
        <v>1257</v>
      </c>
      <c r="G462" t="s">
        <v>903</v>
      </c>
      <c r="H462" t="s">
        <v>361</v>
      </c>
      <c r="J462" t="s">
        <v>1046</v>
      </c>
      <c r="L462">
        <v>0</v>
      </c>
      <c r="M462">
        <v>5.0000000000000001E-3</v>
      </c>
      <c r="N462" t="s">
        <v>198</v>
      </c>
      <c r="O462">
        <v>5.0000000000000001E-3</v>
      </c>
      <c r="P462" t="s">
        <v>198</v>
      </c>
      <c r="Q462" t="s">
        <v>199</v>
      </c>
      <c r="R462" s="3"/>
      <c r="W462" t="s">
        <v>200</v>
      </c>
      <c r="X462" s="25"/>
      <c r="Y462" s="26"/>
      <c r="Z462" s="27"/>
      <c r="AA462" t="s">
        <v>25</v>
      </c>
      <c r="AB462" t="s">
        <v>201</v>
      </c>
      <c r="AC462" s="3"/>
      <c r="AH462" t="s">
        <v>202</v>
      </c>
      <c r="AK462" t="s">
        <v>203</v>
      </c>
      <c r="AP462" t="s">
        <v>200</v>
      </c>
      <c r="AR462" s="25"/>
      <c r="AT462" s="25">
        <v>0</v>
      </c>
      <c r="AU462" s="26"/>
      <c r="AV462" s="26"/>
      <c r="AW462" s="26"/>
      <c r="AX462" s="26" t="str">
        <f t="shared" si="21"/>
        <v/>
      </c>
      <c r="AY462" t="str">
        <f t="shared" si="22"/>
        <v/>
      </c>
      <c r="AZ462" t="s">
        <v>200</v>
      </c>
      <c r="BA462" s="3"/>
      <c r="BB462" t="str">
        <f t="shared" si="23"/>
        <v>No scrap rate (No impact);</v>
      </c>
    </row>
    <row r="463" spans="1:54" x14ac:dyDescent="0.3">
      <c r="A463" t="s">
        <v>1924</v>
      </c>
      <c r="B463" t="s">
        <v>1925</v>
      </c>
      <c r="C463" t="s">
        <v>1110</v>
      </c>
      <c r="D463" t="s">
        <v>1111</v>
      </c>
      <c r="G463" t="s">
        <v>903</v>
      </c>
      <c r="H463" t="s">
        <v>361</v>
      </c>
      <c r="J463" t="s">
        <v>1089</v>
      </c>
      <c r="L463">
        <v>0</v>
      </c>
      <c r="M463">
        <v>2.5000000000000001E-2</v>
      </c>
      <c r="N463" t="s">
        <v>198</v>
      </c>
      <c r="O463">
        <v>2.5000000000000001E-2</v>
      </c>
      <c r="P463" t="s">
        <v>198</v>
      </c>
      <c r="Q463" t="s">
        <v>199</v>
      </c>
      <c r="R463" s="3"/>
      <c r="W463" t="s">
        <v>200</v>
      </c>
      <c r="X463" s="25"/>
      <c r="Y463" s="26"/>
      <c r="Z463" s="27"/>
      <c r="AA463" t="s">
        <v>25</v>
      </c>
      <c r="AB463" t="s">
        <v>201</v>
      </c>
      <c r="AC463" s="3"/>
      <c r="AH463" t="s">
        <v>202</v>
      </c>
      <c r="AK463" t="s">
        <v>203</v>
      </c>
      <c r="AP463" t="s">
        <v>200</v>
      </c>
      <c r="AR463" s="25"/>
      <c r="AT463" s="25">
        <v>0</v>
      </c>
      <c r="AU463" s="26"/>
      <c r="AV463" s="26"/>
      <c r="AW463" s="26"/>
      <c r="AX463" s="26" t="str">
        <f t="shared" si="21"/>
        <v/>
      </c>
      <c r="AY463" t="str">
        <f t="shared" si="22"/>
        <v/>
      </c>
      <c r="AZ463" t="s">
        <v>200</v>
      </c>
      <c r="BA463" s="3"/>
      <c r="BB463" t="str">
        <f t="shared" si="23"/>
        <v>No scrap rate (No impact);</v>
      </c>
    </row>
    <row r="464" spans="1:54" x14ac:dyDescent="0.3">
      <c r="A464" t="s">
        <v>1926</v>
      </c>
      <c r="B464" t="s">
        <v>1927</v>
      </c>
      <c r="C464" t="s">
        <v>1256</v>
      </c>
      <c r="D464" t="s">
        <v>1257</v>
      </c>
      <c r="G464" t="s">
        <v>903</v>
      </c>
      <c r="H464" t="s">
        <v>361</v>
      </c>
      <c r="J464" t="s">
        <v>1590</v>
      </c>
      <c r="L464">
        <v>0</v>
      </c>
      <c r="M464">
        <v>2E-3</v>
      </c>
      <c r="N464" t="s">
        <v>198</v>
      </c>
      <c r="O464">
        <v>2E-3</v>
      </c>
      <c r="P464" t="s">
        <v>198</v>
      </c>
      <c r="Q464" t="s">
        <v>199</v>
      </c>
      <c r="R464" s="3"/>
      <c r="W464" t="s">
        <v>200</v>
      </c>
      <c r="X464" s="25"/>
      <c r="Y464" s="26"/>
      <c r="Z464" s="27"/>
      <c r="AA464" t="s">
        <v>25</v>
      </c>
      <c r="AB464" t="s">
        <v>201</v>
      </c>
      <c r="AC464" s="3"/>
      <c r="AH464" t="s">
        <v>202</v>
      </c>
      <c r="AK464" t="s">
        <v>203</v>
      </c>
      <c r="AP464" t="s">
        <v>200</v>
      </c>
      <c r="AR464" s="25"/>
      <c r="AT464" s="25">
        <v>0</v>
      </c>
      <c r="AU464" s="26"/>
      <c r="AV464" s="26"/>
      <c r="AW464" s="26"/>
      <c r="AX464" s="26" t="str">
        <f t="shared" si="21"/>
        <v/>
      </c>
      <c r="AY464" t="str">
        <f t="shared" si="22"/>
        <v/>
      </c>
      <c r="AZ464" t="s">
        <v>200</v>
      </c>
      <c r="BA464" s="3"/>
      <c r="BB464" t="str">
        <f t="shared" si="23"/>
        <v>No scrap rate (No impact);</v>
      </c>
    </row>
    <row r="465" spans="1:54" x14ac:dyDescent="0.3">
      <c r="A465" t="s">
        <v>1928</v>
      </c>
      <c r="B465" t="s">
        <v>1929</v>
      </c>
      <c r="C465" t="s">
        <v>1256</v>
      </c>
      <c r="D465" t="s">
        <v>1257</v>
      </c>
      <c r="G465" t="s">
        <v>725</v>
      </c>
      <c r="H465" t="s">
        <v>197</v>
      </c>
      <c r="J465" t="s">
        <v>1590</v>
      </c>
      <c r="L465">
        <v>0</v>
      </c>
      <c r="M465">
        <v>3.0000000000000001E-3</v>
      </c>
      <c r="N465" t="s">
        <v>198</v>
      </c>
      <c r="O465">
        <v>3.0000000000000001E-3</v>
      </c>
      <c r="P465" t="s">
        <v>198</v>
      </c>
      <c r="Q465" t="s">
        <v>199</v>
      </c>
      <c r="R465" s="3"/>
      <c r="W465" t="s">
        <v>200</v>
      </c>
      <c r="X465" s="25"/>
      <c r="Y465" s="26"/>
      <c r="Z465" s="27"/>
      <c r="AA465" t="s">
        <v>25</v>
      </c>
      <c r="AB465" t="s">
        <v>201</v>
      </c>
      <c r="AC465" s="3"/>
      <c r="AH465" t="s">
        <v>202</v>
      </c>
      <c r="AK465" t="s">
        <v>203</v>
      </c>
      <c r="AP465" t="s">
        <v>200</v>
      </c>
      <c r="AR465" s="25"/>
      <c r="AT465" s="25">
        <v>0</v>
      </c>
      <c r="AU465" s="26"/>
      <c r="AV465" s="26"/>
      <c r="AW465" s="26"/>
      <c r="AX465" s="26" t="str">
        <f t="shared" si="21"/>
        <v/>
      </c>
      <c r="AY465" t="str">
        <f t="shared" si="22"/>
        <v/>
      </c>
      <c r="AZ465" t="s">
        <v>200</v>
      </c>
      <c r="BA465" s="3"/>
      <c r="BB465" t="str">
        <f t="shared" si="23"/>
        <v>No scrap rate (No impact);</v>
      </c>
    </row>
    <row r="466" spans="1:54" x14ac:dyDescent="0.3">
      <c r="A466" t="s">
        <v>1930</v>
      </c>
      <c r="B466" t="s">
        <v>1931</v>
      </c>
      <c r="C466" t="s">
        <v>1110</v>
      </c>
      <c r="D466" t="s">
        <v>1111</v>
      </c>
      <c r="G466" t="s">
        <v>1310</v>
      </c>
      <c r="H466" t="s">
        <v>1311</v>
      </c>
      <c r="J466" t="s">
        <v>1089</v>
      </c>
      <c r="L466">
        <v>0</v>
      </c>
      <c r="M466">
        <v>0.03</v>
      </c>
      <c r="N466" t="s">
        <v>198</v>
      </c>
      <c r="O466">
        <v>0.03</v>
      </c>
      <c r="P466" t="s">
        <v>198</v>
      </c>
      <c r="Q466" t="s">
        <v>199</v>
      </c>
      <c r="R466" s="3"/>
      <c r="W466" t="s">
        <v>200</v>
      </c>
      <c r="X466" s="25"/>
      <c r="Y466" s="26"/>
      <c r="Z466" s="27"/>
      <c r="AA466" t="s">
        <v>25</v>
      </c>
      <c r="AB466" t="s">
        <v>201</v>
      </c>
      <c r="AC466" s="3"/>
      <c r="AH466" t="s">
        <v>202</v>
      </c>
      <c r="AK466" t="s">
        <v>203</v>
      </c>
      <c r="AP466" t="s">
        <v>200</v>
      </c>
      <c r="AR466" s="25"/>
      <c r="AT466" s="25">
        <v>0</v>
      </c>
      <c r="AU466" s="26"/>
      <c r="AV466" s="26"/>
      <c r="AW466" s="26"/>
      <c r="AX466" s="26" t="str">
        <f t="shared" si="21"/>
        <v/>
      </c>
      <c r="AY466" t="str">
        <f t="shared" si="22"/>
        <v/>
      </c>
      <c r="AZ466" t="s">
        <v>200</v>
      </c>
      <c r="BA466" s="3"/>
      <c r="BB466" t="str">
        <f t="shared" si="23"/>
        <v>No scrap rate (No impact);</v>
      </c>
    </row>
    <row r="467" spans="1:54" x14ac:dyDescent="0.3">
      <c r="A467" t="s">
        <v>1932</v>
      </c>
      <c r="B467" t="s">
        <v>1933</v>
      </c>
      <c r="C467" t="s">
        <v>1256</v>
      </c>
      <c r="D467" t="s">
        <v>1257</v>
      </c>
      <c r="G467" t="s">
        <v>1310</v>
      </c>
      <c r="H467" t="s">
        <v>1311</v>
      </c>
      <c r="J467" t="s">
        <v>1590</v>
      </c>
      <c r="L467">
        <v>0</v>
      </c>
      <c r="M467">
        <v>4.0000000000000001E-3</v>
      </c>
      <c r="N467" t="s">
        <v>198</v>
      </c>
      <c r="O467">
        <v>4.0000000000000001E-3</v>
      </c>
      <c r="P467" t="s">
        <v>198</v>
      </c>
      <c r="Q467" t="s">
        <v>199</v>
      </c>
      <c r="R467" s="3"/>
      <c r="W467" t="s">
        <v>200</v>
      </c>
      <c r="X467" s="25"/>
      <c r="Y467" s="26"/>
      <c r="Z467" s="27"/>
      <c r="AA467" t="s">
        <v>25</v>
      </c>
      <c r="AB467" t="s">
        <v>201</v>
      </c>
      <c r="AC467" s="3"/>
      <c r="AH467" t="s">
        <v>202</v>
      </c>
      <c r="AK467" t="s">
        <v>203</v>
      </c>
      <c r="AP467" t="s">
        <v>200</v>
      </c>
      <c r="AR467" s="25"/>
      <c r="AT467" s="25">
        <v>0</v>
      </c>
      <c r="AU467" s="26"/>
      <c r="AV467" s="26"/>
      <c r="AW467" s="26"/>
      <c r="AX467" s="26" t="str">
        <f t="shared" si="21"/>
        <v/>
      </c>
      <c r="AY467" t="str">
        <f t="shared" si="22"/>
        <v/>
      </c>
      <c r="AZ467" t="s">
        <v>200</v>
      </c>
      <c r="BA467" s="3"/>
      <c r="BB467" t="str">
        <f t="shared" si="23"/>
        <v>No scrap rate (No impact);</v>
      </c>
    </row>
    <row r="468" spans="1:54" x14ac:dyDescent="0.3">
      <c r="A468" t="s">
        <v>1934</v>
      </c>
      <c r="B468" t="s">
        <v>1935</v>
      </c>
      <c r="C468" t="s">
        <v>1110</v>
      </c>
      <c r="D468" t="s">
        <v>1111</v>
      </c>
      <c r="G468" t="s">
        <v>1655</v>
      </c>
      <c r="H468" t="s">
        <v>1656</v>
      </c>
      <c r="J468" t="s">
        <v>1089</v>
      </c>
      <c r="L468">
        <v>0</v>
      </c>
      <c r="M468">
        <v>3.5000000000000003E-2</v>
      </c>
      <c r="N468" t="s">
        <v>198</v>
      </c>
      <c r="O468">
        <v>3.5000000000000003E-2</v>
      </c>
      <c r="P468" t="s">
        <v>198</v>
      </c>
      <c r="Q468" t="s">
        <v>199</v>
      </c>
      <c r="R468" s="3"/>
      <c r="W468" t="s">
        <v>200</v>
      </c>
      <c r="X468" s="25"/>
      <c r="Y468" s="26"/>
      <c r="Z468" s="27"/>
      <c r="AA468" t="s">
        <v>25</v>
      </c>
      <c r="AB468" t="s">
        <v>201</v>
      </c>
      <c r="AC468" s="3"/>
      <c r="AH468" t="s">
        <v>202</v>
      </c>
      <c r="AK468" t="s">
        <v>203</v>
      </c>
      <c r="AP468" t="s">
        <v>200</v>
      </c>
      <c r="AR468" s="25"/>
      <c r="AT468" s="25">
        <v>0</v>
      </c>
      <c r="AU468" s="26"/>
      <c r="AV468" s="26"/>
      <c r="AW468" s="26"/>
      <c r="AX468" s="26" t="str">
        <f t="shared" si="21"/>
        <v/>
      </c>
      <c r="AY468" t="str">
        <f t="shared" si="22"/>
        <v/>
      </c>
      <c r="AZ468" t="s">
        <v>200</v>
      </c>
      <c r="BA468" s="3"/>
      <c r="BB468" t="str">
        <f t="shared" si="23"/>
        <v>No scrap rate (No impact);</v>
      </c>
    </row>
    <row r="469" spans="1:54" x14ac:dyDescent="0.3">
      <c r="A469" t="s">
        <v>1936</v>
      </c>
      <c r="B469" t="s">
        <v>1937</v>
      </c>
      <c r="C469" t="s">
        <v>1256</v>
      </c>
      <c r="D469" t="s">
        <v>1257</v>
      </c>
      <c r="G469" t="s">
        <v>1938</v>
      </c>
      <c r="H469" t="s">
        <v>1939</v>
      </c>
      <c r="L469">
        <v>0</v>
      </c>
      <c r="M469">
        <v>0</v>
      </c>
      <c r="N469" t="s">
        <v>198</v>
      </c>
      <c r="O469">
        <v>0</v>
      </c>
      <c r="P469" t="s">
        <v>198</v>
      </c>
      <c r="Q469" t="s">
        <v>199</v>
      </c>
      <c r="R469" s="3"/>
      <c r="W469" t="s">
        <v>200</v>
      </c>
      <c r="X469" s="25"/>
      <c r="Y469" s="26"/>
      <c r="Z469" s="27"/>
      <c r="AA469" t="s">
        <v>25</v>
      </c>
      <c r="AB469" t="s">
        <v>201</v>
      </c>
      <c r="AC469" s="3"/>
      <c r="AH469" t="s">
        <v>202</v>
      </c>
      <c r="AK469" t="s">
        <v>203</v>
      </c>
      <c r="AP469" t="s">
        <v>200</v>
      </c>
      <c r="AR469" s="25"/>
      <c r="AT469" s="25">
        <v>0</v>
      </c>
      <c r="AU469" s="26"/>
      <c r="AV469" s="26"/>
      <c r="AW469" s="26"/>
      <c r="AX469" s="26" t="str">
        <f t="shared" si="21"/>
        <v/>
      </c>
      <c r="AY469" t="str">
        <f t="shared" si="22"/>
        <v/>
      </c>
      <c r="AZ469" t="s">
        <v>200</v>
      </c>
      <c r="BA469" s="3"/>
      <c r="BB469" t="str">
        <f t="shared" si="23"/>
        <v>No scrap rate (No impact);No raw material available (High);</v>
      </c>
    </row>
    <row r="470" spans="1:54" x14ac:dyDescent="0.3">
      <c r="A470" t="s">
        <v>1940</v>
      </c>
      <c r="B470" t="s">
        <v>1941</v>
      </c>
      <c r="C470" t="s">
        <v>1256</v>
      </c>
      <c r="D470" t="s">
        <v>1257</v>
      </c>
      <c r="G470" t="s">
        <v>1938</v>
      </c>
      <c r="H470" t="s">
        <v>1939</v>
      </c>
      <c r="J470" t="s">
        <v>1046</v>
      </c>
      <c r="L470">
        <v>0</v>
      </c>
      <c r="M470">
        <v>2E-3</v>
      </c>
      <c r="N470" t="s">
        <v>198</v>
      </c>
      <c r="O470">
        <v>2E-3</v>
      </c>
      <c r="P470" t="s">
        <v>198</v>
      </c>
      <c r="Q470" t="s">
        <v>199</v>
      </c>
      <c r="R470" s="3"/>
      <c r="W470" t="s">
        <v>200</v>
      </c>
      <c r="X470" s="25"/>
      <c r="Y470" s="26"/>
      <c r="Z470" s="27"/>
      <c r="AA470" t="s">
        <v>25</v>
      </c>
      <c r="AB470" t="s">
        <v>201</v>
      </c>
      <c r="AC470" s="3"/>
      <c r="AH470" t="s">
        <v>202</v>
      </c>
      <c r="AK470" t="s">
        <v>203</v>
      </c>
      <c r="AP470" t="s">
        <v>200</v>
      </c>
      <c r="AR470" s="25"/>
      <c r="AT470" s="25">
        <v>0</v>
      </c>
      <c r="AU470" s="26"/>
      <c r="AV470" s="26"/>
      <c r="AW470" s="26"/>
      <c r="AX470" s="26" t="str">
        <f t="shared" si="21"/>
        <v/>
      </c>
      <c r="AY470" t="str">
        <f t="shared" si="22"/>
        <v/>
      </c>
      <c r="AZ470" t="s">
        <v>200</v>
      </c>
      <c r="BA470" s="3"/>
      <c r="BB470" t="str">
        <f t="shared" si="23"/>
        <v>No scrap rate (No impact);</v>
      </c>
    </row>
    <row r="471" spans="1:54" x14ac:dyDescent="0.3">
      <c r="A471" t="s">
        <v>1942</v>
      </c>
      <c r="B471" t="s">
        <v>1943</v>
      </c>
      <c r="C471" t="s">
        <v>1256</v>
      </c>
      <c r="D471" t="s">
        <v>1257</v>
      </c>
      <c r="G471" t="s">
        <v>1615</v>
      </c>
      <c r="H471" t="s">
        <v>1616</v>
      </c>
      <c r="J471" t="s">
        <v>1060</v>
      </c>
      <c r="L471">
        <v>0</v>
      </c>
      <c r="M471">
        <v>1E-3</v>
      </c>
      <c r="N471" t="s">
        <v>198</v>
      </c>
      <c r="O471">
        <v>1E-3</v>
      </c>
      <c r="P471" t="s">
        <v>198</v>
      </c>
      <c r="Q471" t="s">
        <v>199</v>
      </c>
      <c r="R471" s="3"/>
      <c r="W471" t="s">
        <v>200</v>
      </c>
      <c r="X471" s="25"/>
      <c r="Y471" s="26"/>
      <c r="Z471" s="27"/>
      <c r="AA471" t="s">
        <v>25</v>
      </c>
      <c r="AB471" t="s">
        <v>201</v>
      </c>
      <c r="AC471" s="3"/>
      <c r="AH471" t="s">
        <v>202</v>
      </c>
      <c r="AK471" t="s">
        <v>203</v>
      </c>
      <c r="AP471" t="s">
        <v>200</v>
      </c>
      <c r="AR471" s="25"/>
      <c r="AT471" s="25">
        <v>0</v>
      </c>
      <c r="AU471" s="26"/>
      <c r="AV471" s="26"/>
      <c r="AW471" s="26"/>
      <c r="AX471" s="26" t="str">
        <f t="shared" si="21"/>
        <v/>
      </c>
      <c r="AY471" t="str">
        <f t="shared" si="22"/>
        <v/>
      </c>
      <c r="AZ471" t="s">
        <v>200</v>
      </c>
      <c r="BA471" s="3"/>
      <c r="BB471" t="str">
        <f t="shared" si="23"/>
        <v>No scrap rate (No impact);</v>
      </c>
    </row>
    <row r="472" spans="1:54" x14ac:dyDescent="0.3">
      <c r="A472" t="s">
        <v>1944</v>
      </c>
      <c r="B472" t="s">
        <v>1945</v>
      </c>
      <c r="C472" t="s">
        <v>1256</v>
      </c>
      <c r="D472" t="s">
        <v>1257</v>
      </c>
      <c r="G472" t="s">
        <v>1615</v>
      </c>
      <c r="H472" t="s">
        <v>1616</v>
      </c>
      <c r="J472" t="s">
        <v>1046</v>
      </c>
      <c r="L472">
        <v>0</v>
      </c>
      <c r="M472">
        <v>1E-3</v>
      </c>
      <c r="N472" t="s">
        <v>198</v>
      </c>
      <c r="O472">
        <v>1E-3</v>
      </c>
      <c r="P472" t="s">
        <v>198</v>
      </c>
      <c r="Q472" t="s">
        <v>199</v>
      </c>
      <c r="R472" s="3"/>
      <c r="W472" t="s">
        <v>200</v>
      </c>
      <c r="X472" s="25"/>
      <c r="Y472" s="26"/>
      <c r="Z472" s="27"/>
      <c r="AA472" t="s">
        <v>25</v>
      </c>
      <c r="AB472" t="s">
        <v>201</v>
      </c>
      <c r="AC472" s="3"/>
      <c r="AH472" t="s">
        <v>202</v>
      </c>
      <c r="AK472" t="s">
        <v>203</v>
      </c>
      <c r="AP472" t="s">
        <v>200</v>
      </c>
      <c r="AR472" s="25"/>
      <c r="AT472" s="25">
        <v>0</v>
      </c>
      <c r="AU472" s="26"/>
      <c r="AV472" s="26"/>
      <c r="AW472" s="26"/>
      <c r="AX472" s="26" t="str">
        <f t="shared" si="21"/>
        <v/>
      </c>
      <c r="AY472" t="str">
        <f t="shared" si="22"/>
        <v/>
      </c>
      <c r="AZ472" t="s">
        <v>200</v>
      </c>
      <c r="BA472" s="3"/>
      <c r="BB472" t="str">
        <f t="shared" si="23"/>
        <v>No scrap rate (No impact);</v>
      </c>
    </row>
    <row r="473" spans="1:54" x14ac:dyDescent="0.3">
      <c r="A473" t="s">
        <v>1946</v>
      </c>
      <c r="B473" t="s">
        <v>1947</v>
      </c>
      <c r="C473" t="s">
        <v>1256</v>
      </c>
      <c r="D473" t="s">
        <v>1257</v>
      </c>
      <c r="G473" t="s">
        <v>725</v>
      </c>
      <c r="H473" t="s">
        <v>197</v>
      </c>
      <c r="J473" t="s">
        <v>1590</v>
      </c>
      <c r="L473">
        <v>0</v>
      </c>
      <c r="M473">
        <v>3.0000000000000001E-3</v>
      </c>
      <c r="N473" t="s">
        <v>198</v>
      </c>
      <c r="O473">
        <v>3.0000000000000001E-3</v>
      </c>
      <c r="P473" t="s">
        <v>198</v>
      </c>
      <c r="Q473" t="s">
        <v>199</v>
      </c>
      <c r="R473" s="3"/>
      <c r="W473" t="s">
        <v>200</v>
      </c>
      <c r="X473" s="25"/>
      <c r="Y473" s="26"/>
      <c r="Z473" s="27"/>
      <c r="AA473" t="s">
        <v>25</v>
      </c>
      <c r="AB473" t="s">
        <v>201</v>
      </c>
      <c r="AC473" s="3"/>
      <c r="AH473" t="s">
        <v>202</v>
      </c>
      <c r="AK473" t="s">
        <v>203</v>
      </c>
      <c r="AP473" t="s">
        <v>200</v>
      </c>
      <c r="AR473" s="25"/>
      <c r="AT473" s="25">
        <v>0</v>
      </c>
      <c r="AU473" s="26"/>
      <c r="AV473" s="26"/>
      <c r="AW473" s="26"/>
      <c r="AX473" s="26" t="str">
        <f t="shared" si="21"/>
        <v/>
      </c>
      <c r="AY473" t="str">
        <f t="shared" si="22"/>
        <v/>
      </c>
      <c r="AZ473" t="s">
        <v>200</v>
      </c>
      <c r="BA473" s="3"/>
      <c r="BB473" t="str">
        <f t="shared" si="23"/>
        <v>No scrap rate (No impact);</v>
      </c>
    </row>
    <row r="474" spans="1:54" x14ac:dyDescent="0.3">
      <c r="A474" t="s">
        <v>1948</v>
      </c>
      <c r="B474" t="s">
        <v>1949</v>
      </c>
      <c r="C474" t="s">
        <v>1256</v>
      </c>
      <c r="D474" t="s">
        <v>1257</v>
      </c>
      <c r="J474" t="s">
        <v>1046</v>
      </c>
      <c r="L474">
        <v>0</v>
      </c>
      <c r="M474">
        <v>2E-3</v>
      </c>
      <c r="N474" t="s">
        <v>198</v>
      </c>
      <c r="O474">
        <v>2E-3</v>
      </c>
      <c r="P474" t="s">
        <v>198</v>
      </c>
      <c r="Q474" t="s">
        <v>199</v>
      </c>
      <c r="R474" s="3"/>
      <c r="W474" t="s">
        <v>200</v>
      </c>
      <c r="X474" s="25"/>
      <c r="Y474" s="26"/>
      <c r="Z474" s="27"/>
      <c r="AA474" t="s">
        <v>25</v>
      </c>
      <c r="AB474" t="s">
        <v>201</v>
      </c>
      <c r="AC474" s="3"/>
      <c r="AH474" t="s">
        <v>202</v>
      </c>
      <c r="AK474" t="s">
        <v>203</v>
      </c>
      <c r="AP474" t="s">
        <v>200</v>
      </c>
      <c r="AR474" s="25"/>
      <c r="AT474" s="25">
        <v>0</v>
      </c>
      <c r="AU474" s="26"/>
      <c r="AV474" s="26"/>
      <c r="AW474" s="26"/>
      <c r="AX474" s="26" t="str">
        <f t="shared" si="21"/>
        <v/>
      </c>
      <c r="AY474" t="str">
        <f t="shared" si="22"/>
        <v/>
      </c>
      <c r="AZ474" t="s">
        <v>200</v>
      </c>
      <c r="BA474" s="3"/>
      <c r="BB474" t="str">
        <f t="shared" si="23"/>
        <v>Supplier code empty (High);No scrap rate (No impact);</v>
      </c>
    </row>
    <row r="475" spans="1:54" x14ac:dyDescent="0.3">
      <c r="A475" t="s">
        <v>1950</v>
      </c>
      <c r="B475" t="s">
        <v>1951</v>
      </c>
      <c r="C475" t="s">
        <v>1110</v>
      </c>
      <c r="D475" t="s">
        <v>1111</v>
      </c>
      <c r="G475" t="s">
        <v>507</v>
      </c>
      <c r="H475" t="s">
        <v>508</v>
      </c>
      <c r="L475">
        <v>0</v>
      </c>
      <c r="M475">
        <v>0.01</v>
      </c>
      <c r="N475" t="s">
        <v>198</v>
      </c>
      <c r="O475">
        <v>0</v>
      </c>
      <c r="P475" t="s">
        <v>198</v>
      </c>
      <c r="Q475" t="s">
        <v>199</v>
      </c>
      <c r="R475" s="3"/>
      <c r="W475" t="s">
        <v>200</v>
      </c>
      <c r="X475" s="25"/>
      <c r="Y475" s="26"/>
      <c r="Z475" s="27"/>
      <c r="AA475" t="s">
        <v>25</v>
      </c>
      <c r="AB475" t="s">
        <v>201</v>
      </c>
      <c r="AC475" s="3"/>
      <c r="AH475" t="s">
        <v>202</v>
      </c>
      <c r="AK475" t="s">
        <v>203</v>
      </c>
      <c r="AP475" t="s">
        <v>200</v>
      </c>
      <c r="AR475" s="25"/>
      <c r="AT475" s="25">
        <v>0</v>
      </c>
      <c r="AU475" s="26"/>
      <c r="AV475" s="26"/>
      <c r="AW475" s="26"/>
      <c r="AX475" s="26" t="str">
        <f t="shared" si="21"/>
        <v/>
      </c>
      <c r="AY475" t="str">
        <f t="shared" si="22"/>
        <v/>
      </c>
      <c r="AZ475" t="s">
        <v>200</v>
      </c>
      <c r="BA475" s="3"/>
      <c r="BB475" t="str">
        <f t="shared" si="23"/>
        <v>No scrap rate (No impact);No raw material available (High);</v>
      </c>
    </row>
    <row r="476" spans="1:54" x14ac:dyDescent="0.3">
      <c r="A476" t="s">
        <v>1952</v>
      </c>
      <c r="B476" t="s">
        <v>1953</v>
      </c>
      <c r="C476" t="s">
        <v>966</v>
      </c>
      <c r="D476" t="s">
        <v>967</v>
      </c>
      <c r="G476" t="s">
        <v>507</v>
      </c>
      <c r="H476" t="s">
        <v>508</v>
      </c>
      <c r="J476" t="s">
        <v>1954</v>
      </c>
      <c r="L476">
        <v>1</v>
      </c>
      <c r="M476">
        <v>4.0000000000000001E-3</v>
      </c>
      <c r="N476" t="s">
        <v>198</v>
      </c>
      <c r="O476">
        <v>4.0000000000000001E-3</v>
      </c>
      <c r="P476" t="s">
        <v>198</v>
      </c>
      <c r="Q476" t="s">
        <v>199</v>
      </c>
      <c r="R476" s="3"/>
      <c r="W476" t="s">
        <v>200</v>
      </c>
      <c r="X476" s="25"/>
      <c r="Y476" s="26"/>
      <c r="Z476" s="27"/>
      <c r="AA476" t="s">
        <v>25</v>
      </c>
      <c r="AB476" t="s">
        <v>201</v>
      </c>
      <c r="AC476" s="3"/>
      <c r="AH476" t="s">
        <v>202</v>
      </c>
      <c r="AK476" t="s">
        <v>203</v>
      </c>
      <c r="AP476" t="s">
        <v>200</v>
      </c>
      <c r="AR476" s="25"/>
      <c r="AT476" s="25">
        <v>0</v>
      </c>
      <c r="AU476" s="26"/>
      <c r="AV476" s="26"/>
      <c r="AW476" s="26"/>
      <c r="AX476" s="26" t="str">
        <f t="shared" si="21"/>
        <v/>
      </c>
      <c r="AY476" t="str">
        <f t="shared" si="22"/>
        <v/>
      </c>
      <c r="AZ476" t="s">
        <v>200</v>
      </c>
      <c r="BA476" s="3"/>
      <c r="BB476" t="str">
        <f t="shared" si="23"/>
        <v>No scrap rate (No impact);</v>
      </c>
    </row>
    <row r="477" spans="1:54" x14ac:dyDescent="0.3">
      <c r="A477" t="s">
        <v>1955</v>
      </c>
      <c r="B477" t="s">
        <v>1956</v>
      </c>
      <c r="C477" t="s">
        <v>946</v>
      </c>
      <c r="D477" t="s">
        <v>947</v>
      </c>
      <c r="G477" t="s">
        <v>507</v>
      </c>
      <c r="H477" t="s">
        <v>508</v>
      </c>
      <c r="J477" t="s">
        <v>926</v>
      </c>
      <c r="L477">
        <v>0</v>
      </c>
      <c r="M477">
        <v>0.253</v>
      </c>
      <c r="N477" t="s">
        <v>198</v>
      </c>
      <c r="O477">
        <v>0.253</v>
      </c>
      <c r="P477" t="s">
        <v>198</v>
      </c>
      <c r="Q477" t="s">
        <v>199</v>
      </c>
      <c r="R477" s="3"/>
      <c r="W477" t="s">
        <v>200</v>
      </c>
      <c r="X477" s="25"/>
      <c r="Y477" s="26"/>
      <c r="Z477" s="27"/>
      <c r="AA477" t="s">
        <v>25</v>
      </c>
      <c r="AB477" t="s">
        <v>201</v>
      </c>
      <c r="AC477" s="3"/>
      <c r="AH477" t="s">
        <v>202</v>
      </c>
      <c r="AK477" t="s">
        <v>203</v>
      </c>
      <c r="AP477" t="s">
        <v>200</v>
      </c>
      <c r="AR477" s="25"/>
      <c r="AT477" s="25">
        <v>0</v>
      </c>
      <c r="AU477" s="26"/>
      <c r="AV477" s="26"/>
      <c r="AW477" s="26"/>
      <c r="AX477" s="26" t="str">
        <f t="shared" si="21"/>
        <v/>
      </c>
      <c r="AY477" t="str">
        <f t="shared" si="22"/>
        <v/>
      </c>
      <c r="AZ477" t="s">
        <v>200</v>
      </c>
      <c r="BA477" s="3"/>
      <c r="BB477" t="str">
        <f t="shared" si="23"/>
        <v>No scrap rate (No impact);</v>
      </c>
    </row>
    <row r="478" spans="1:54" x14ac:dyDescent="0.3">
      <c r="A478" t="s">
        <v>1957</v>
      </c>
      <c r="B478" t="s">
        <v>1958</v>
      </c>
      <c r="C478" t="s">
        <v>1256</v>
      </c>
      <c r="D478" t="s">
        <v>1257</v>
      </c>
      <c r="G478" t="s">
        <v>507</v>
      </c>
      <c r="H478" t="s">
        <v>508</v>
      </c>
      <c r="J478" t="s">
        <v>1590</v>
      </c>
      <c r="L478">
        <v>0</v>
      </c>
      <c r="M478">
        <v>4.0000000000000001E-3</v>
      </c>
      <c r="N478" t="s">
        <v>198</v>
      </c>
      <c r="O478">
        <v>4.0000000000000001E-3</v>
      </c>
      <c r="P478" t="s">
        <v>198</v>
      </c>
      <c r="Q478" t="s">
        <v>199</v>
      </c>
      <c r="R478" s="3"/>
      <c r="W478" t="s">
        <v>200</v>
      </c>
      <c r="X478" s="25"/>
      <c r="Y478" s="26"/>
      <c r="Z478" s="27"/>
      <c r="AA478" t="s">
        <v>25</v>
      </c>
      <c r="AB478" t="s">
        <v>201</v>
      </c>
      <c r="AC478" s="3"/>
      <c r="AH478" t="s">
        <v>202</v>
      </c>
      <c r="AK478" t="s">
        <v>203</v>
      </c>
      <c r="AP478" t="s">
        <v>200</v>
      </c>
      <c r="AR478" s="25"/>
      <c r="AT478" s="25">
        <v>0</v>
      </c>
      <c r="AU478" s="26"/>
      <c r="AV478" s="26"/>
      <c r="AW478" s="26"/>
      <c r="AX478" s="26" t="str">
        <f t="shared" si="21"/>
        <v/>
      </c>
      <c r="AY478" t="str">
        <f t="shared" si="22"/>
        <v/>
      </c>
      <c r="AZ478" t="s">
        <v>200</v>
      </c>
      <c r="BA478" s="3"/>
      <c r="BB478" t="str">
        <f t="shared" si="23"/>
        <v>No scrap rate (No impact);</v>
      </c>
    </row>
    <row r="479" spans="1:54" x14ac:dyDescent="0.3">
      <c r="A479" t="s">
        <v>1959</v>
      </c>
      <c r="B479" t="s">
        <v>1960</v>
      </c>
      <c r="C479" t="s">
        <v>1110</v>
      </c>
      <c r="D479" t="s">
        <v>1111</v>
      </c>
      <c r="G479" t="s">
        <v>507</v>
      </c>
      <c r="H479" t="s">
        <v>508</v>
      </c>
      <c r="L479">
        <v>0</v>
      </c>
      <c r="M479">
        <v>8.9999999999999993E-3</v>
      </c>
      <c r="N479" t="s">
        <v>198</v>
      </c>
      <c r="O479">
        <v>8.9999999999999993E-3</v>
      </c>
      <c r="P479" t="s">
        <v>198</v>
      </c>
      <c r="Q479" t="s">
        <v>199</v>
      </c>
      <c r="R479" s="3"/>
      <c r="W479" t="s">
        <v>200</v>
      </c>
      <c r="X479" s="25"/>
      <c r="Y479" s="26"/>
      <c r="Z479" s="27"/>
      <c r="AA479" t="s">
        <v>25</v>
      </c>
      <c r="AB479" t="s">
        <v>201</v>
      </c>
      <c r="AC479" s="3"/>
      <c r="AH479" t="s">
        <v>202</v>
      </c>
      <c r="AK479" t="s">
        <v>203</v>
      </c>
      <c r="AP479" t="s">
        <v>200</v>
      </c>
      <c r="AR479" s="25"/>
      <c r="AT479" s="25">
        <v>0</v>
      </c>
      <c r="AU479" s="26"/>
      <c r="AV479" s="26"/>
      <c r="AW479" s="26"/>
      <c r="AX479" s="26" t="str">
        <f t="shared" si="21"/>
        <v/>
      </c>
      <c r="AY479" t="str">
        <f t="shared" si="22"/>
        <v/>
      </c>
      <c r="AZ479" t="s">
        <v>200</v>
      </c>
      <c r="BA479" s="3"/>
      <c r="BB479" t="str">
        <f t="shared" si="23"/>
        <v>No scrap rate (No impact);No raw material available (High);</v>
      </c>
    </row>
    <row r="480" spans="1:54" x14ac:dyDescent="0.3">
      <c r="A480" t="s">
        <v>1961</v>
      </c>
      <c r="B480" t="s">
        <v>1962</v>
      </c>
      <c r="C480" t="s">
        <v>1110</v>
      </c>
      <c r="D480" t="s">
        <v>1111</v>
      </c>
      <c r="G480" t="s">
        <v>507</v>
      </c>
      <c r="H480" t="s">
        <v>508</v>
      </c>
      <c r="J480" t="s">
        <v>1089</v>
      </c>
      <c r="L480">
        <v>0</v>
      </c>
      <c r="M480">
        <v>3.9E-2</v>
      </c>
      <c r="N480" t="s">
        <v>198</v>
      </c>
      <c r="O480">
        <v>3.9E-2</v>
      </c>
      <c r="P480" t="s">
        <v>198</v>
      </c>
      <c r="Q480" t="s">
        <v>199</v>
      </c>
      <c r="R480" s="3"/>
      <c r="W480" t="s">
        <v>200</v>
      </c>
      <c r="X480" s="25"/>
      <c r="Y480" s="26"/>
      <c r="Z480" s="27"/>
      <c r="AA480" t="s">
        <v>25</v>
      </c>
      <c r="AB480" t="s">
        <v>201</v>
      </c>
      <c r="AC480" s="3"/>
      <c r="AH480" t="s">
        <v>202</v>
      </c>
      <c r="AK480" t="s">
        <v>203</v>
      </c>
      <c r="AP480" t="s">
        <v>200</v>
      </c>
      <c r="AR480" s="25"/>
      <c r="AT480" s="25">
        <v>0</v>
      </c>
      <c r="AU480" s="26"/>
      <c r="AV480" s="26"/>
      <c r="AW480" s="26"/>
      <c r="AX480" s="26" t="str">
        <f t="shared" si="21"/>
        <v/>
      </c>
      <c r="AY480" t="str">
        <f t="shared" si="22"/>
        <v/>
      </c>
      <c r="AZ480" t="s">
        <v>200</v>
      </c>
      <c r="BA480" s="3"/>
      <c r="BB480" t="str">
        <f t="shared" si="23"/>
        <v>No scrap rate (No impact);</v>
      </c>
    </row>
    <row r="481" spans="1:54" x14ac:dyDescent="0.3">
      <c r="A481" t="s">
        <v>1963</v>
      </c>
      <c r="B481" t="s">
        <v>1964</v>
      </c>
      <c r="C481" t="s">
        <v>1256</v>
      </c>
      <c r="D481" t="s">
        <v>1257</v>
      </c>
      <c r="G481" t="s">
        <v>507</v>
      </c>
      <c r="H481" t="s">
        <v>508</v>
      </c>
      <c r="J481" t="s">
        <v>1590</v>
      </c>
      <c r="L481">
        <v>0</v>
      </c>
      <c r="M481">
        <v>4.0000000000000001E-3</v>
      </c>
      <c r="N481" t="s">
        <v>198</v>
      </c>
      <c r="O481">
        <v>4.0000000000000001E-3</v>
      </c>
      <c r="P481" t="s">
        <v>198</v>
      </c>
      <c r="Q481" t="s">
        <v>199</v>
      </c>
      <c r="R481" s="3"/>
      <c r="W481" t="s">
        <v>200</v>
      </c>
      <c r="X481" s="25"/>
      <c r="Y481" s="26"/>
      <c r="Z481" s="27"/>
      <c r="AA481" t="s">
        <v>25</v>
      </c>
      <c r="AB481" t="s">
        <v>201</v>
      </c>
      <c r="AC481" s="3"/>
      <c r="AH481" t="s">
        <v>202</v>
      </c>
      <c r="AK481" t="s">
        <v>203</v>
      </c>
      <c r="AP481" t="s">
        <v>200</v>
      </c>
      <c r="AR481" s="25"/>
      <c r="AT481" s="25">
        <v>0</v>
      </c>
      <c r="AU481" s="26"/>
      <c r="AV481" s="26"/>
      <c r="AW481" s="26"/>
      <c r="AX481" s="26" t="str">
        <f t="shared" si="21"/>
        <v/>
      </c>
      <c r="AY481" t="str">
        <f t="shared" si="22"/>
        <v/>
      </c>
      <c r="AZ481" t="s">
        <v>200</v>
      </c>
      <c r="BA481" s="3"/>
      <c r="BB481" t="str">
        <f t="shared" si="23"/>
        <v>No scrap rate (No impact);</v>
      </c>
    </row>
    <row r="482" spans="1:54" x14ac:dyDescent="0.3">
      <c r="A482" t="s">
        <v>1965</v>
      </c>
      <c r="B482" t="s">
        <v>1966</v>
      </c>
      <c r="C482" t="s">
        <v>1110</v>
      </c>
      <c r="D482" t="s">
        <v>1111</v>
      </c>
      <c r="G482" t="s">
        <v>368</v>
      </c>
      <c r="H482" t="s">
        <v>369</v>
      </c>
      <c r="J482" t="s">
        <v>1089</v>
      </c>
      <c r="L482">
        <v>0</v>
      </c>
      <c r="M482">
        <v>0.03</v>
      </c>
      <c r="N482" t="s">
        <v>198</v>
      </c>
      <c r="O482">
        <v>0.03</v>
      </c>
      <c r="P482" t="s">
        <v>198</v>
      </c>
      <c r="Q482" t="s">
        <v>199</v>
      </c>
      <c r="R482" s="3"/>
      <c r="W482" t="s">
        <v>200</v>
      </c>
      <c r="X482" s="25"/>
      <c r="Y482" s="26"/>
      <c r="Z482" s="27"/>
      <c r="AA482" t="s">
        <v>25</v>
      </c>
      <c r="AB482" t="s">
        <v>201</v>
      </c>
      <c r="AC482" s="3"/>
      <c r="AH482" t="s">
        <v>202</v>
      </c>
      <c r="AK482" t="s">
        <v>203</v>
      </c>
      <c r="AP482" t="s">
        <v>200</v>
      </c>
      <c r="AR482" s="25"/>
      <c r="AT482" s="25">
        <v>0</v>
      </c>
      <c r="AU482" s="26"/>
      <c r="AV482" s="26"/>
      <c r="AW482" s="26"/>
      <c r="AX482" s="26" t="str">
        <f t="shared" si="21"/>
        <v/>
      </c>
      <c r="AY482" t="str">
        <f t="shared" si="22"/>
        <v/>
      </c>
      <c r="AZ482" t="s">
        <v>200</v>
      </c>
      <c r="BA482" s="3"/>
      <c r="BB482" t="str">
        <f t="shared" si="23"/>
        <v>No scrap rate (No impact);</v>
      </c>
    </row>
    <row r="483" spans="1:54" x14ac:dyDescent="0.3">
      <c r="A483" t="s">
        <v>1967</v>
      </c>
      <c r="B483" t="s">
        <v>1968</v>
      </c>
      <c r="C483" t="s">
        <v>1256</v>
      </c>
      <c r="D483" t="s">
        <v>1257</v>
      </c>
      <c r="G483" t="s">
        <v>368</v>
      </c>
      <c r="H483" t="s">
        <v>369</v>
      </c>
      <c r="J483" t="s">
        <v>1590</v>
      </c>
      <c r="L483">
        <v>0</v>
      </c>
      <c r="M483">
        <v>1E-3</v>
      </c>
      <c r="N483" t="s">
        <v>198</v>
      </c>
      <c r="O483">
        <v>1E-3</v>
      </c>
      <c r="P483" t="s">
        <v>198</v>
      </c>
      <c r="Q483" t="s">
        <v>199</v>
      </c>
      <c r="R483" s="3"/>
      <c r="W483" t="s">
        <v>200</v>
      </c>
      <c r="X483" s="25"/>
      <c r="Y483" s="26"/>
      <c r="Z483" s="27"/>
      <c r="AA483" t="s">
        <v>25</v>
      </c>
      <c r="AB483" t="s">
        <v>201</v>
      </c>
      <c r="AC483" s="3"/>
      <c r="AH483" t="s">
        <v>202</v>
      </c>
      <c r="AK483" t="s">
        <v>203</v>
      </c>
      <c r="AP483" t="s">
        <v>200</v>
      </c>
      <c r="AR483" s="25"/>
      <c r="AT483" s="25">
        <v>0</v>
      </c>
      <c r="AU483" s="26"/>
      <c r="AV483" s="26"/>
      <c r="AW483" s="26"/>
      <c r="AX483" s="26" t="str">
        <f t="shared" si="21"/>
        <v/>
      </c>
      <c r="AY483" t="str">
        <f t="shared" si="22"/>
        <v/>
      </c>
      <c r="AZ483" t="s">
        <v>200</v>
      </c>
      <c r="BA483" s="3"/>
      <c r="BB483" t="str">
        <f t="shared" si="23"/>
        <v>No scrap rate (No impact);</v>
      </c>
    </row>
    <row r="484" spans="1:54" x14ac:dyDescent="0.3">
      <c r="A484" t="s">
        <v>1969</v>
      </c>
      <c r="B484" t="s">
        <v>1970</v>
      </c>
      <c r="C484" t="s">
        <v>1110</v>
      </c>
      <c r="D484" t="s">
        <v>1111</v>
      </c>
      <c r="G484" t="s">
        <v>368</v>
      </c>
      <c r="H484" t="s">
        <v>369</v>
      </c>
      <c r="J484" t="s">
        <v>1089</v>
      </c>
      <c r="L484">
        <v>0</v>
      </c>
      <c r="M484">
        <v>4.2000000000000003E-2</v>
      </c>
      <c r="N484" t="s">
        <v>198</v>
      </c>
      <c r="O484">
        <v>4.2000000000000003E-2</v>
      </c>
      <c r="P484" t="s">
        <v>198</v>
      </c>
      <c r="Q484" t="s">
        <v>199</v>
      </c>
      <c r="R484" s="3"/>
      <c r="W484" t="s">
        <v>200</v>
      </c>
      <c r="X484" s="25"/>
      <c r="Y484" s="26"/>
      <c r="Z484" s="27"/>
      <c r="AA484" t="s">
        <v>25</v>
      </c>
      <c r="AB484" t="s">
        <v>201</v>
      </c>
      <c r="AC484" s="3"/>
      <c r="AH484" t="s">
        <v>202</v>
      </c>
      <c r="AK484" t="s">
        <v>203</v>
      </c>
      <c r="AP484" t="s">
        <v>200</v>
      </c>
      <c r="AR484" s="25"/>
      <c r="AT484" s="25">
        <v>0</v>
      </c>
      <c r="AU484" s="26"/>
      <c r="AV484" s="26"/>
      <c r="AW484" s="26"/>
      <c r="AX484" s="26" t="str">
        <f t="shared" si="21"/>
        <v/>
      </c>
      <c r="AY484" t="str">
        <f t="shared" si="22"/>
        <v/>
      </c>
      <c r="AZ484" t="s">
        <v>200</v>
      </c>
      <c r="BA484" s="3"/>
      <c r="BB484" t="str">
        <f t="shared" si="23"/>
        <v>No scrap rate (No impact);</v>
      </c>
    </row>
    <row r="485" spans="1:54" x14ac:dyDescent="0.3">
      <c r="A485" t="s">
        <v>1971</v>
      </c>
      <c r="B485" t="s">
        <v>1972</v>
      </c>
      <c r="C485" t="s">
        <v>1256</v>
      </c>
      <c r="D485" t="s">
        <v>1257</v>
      </c>
      <c r="G485" t="s">
        <v>368</v>
      </c>
      <c r="H485" t="s">
        <v>369</v>
      </c>
      <c r="J485" t="s">
        <v>1590</v>
      </c>
      <c r="L485">
        <v>0</v>
      </c>
      <c r="M485">
        <v>1E-3</v>
      </c>
      <c r="N485" t="s">
        <v>198</v>
      </c>
      <c r="O485">
        <v>1E-3</v>
      </c>
      <c r="P485" t="s">
        <v>198</v>
      </c>
      <c r="Q485" t="s">
        <v>199</v>
      </c>
      <c r="R485" s="3"/>
      <c r="W485" t="s">
        <v>200</v>
      </c>
      <c r="X485" s="25"/>
      <c r="Y485" s="26"/>
      <c r="Z485" s="27"/>
      <c r="AA485" t="s">
        <v>25</v>
      </c>
      <c r="AB485" t="s">
        <v>201</v>
      </c>
      <c r="AC485" s="3"/>
      <c r="AH485" t="s">
        <v>202</v>
      </c>
      <c r="AK485" t="s">
        <v>203</v>
      </c>
      <c r="AP485" t="s">
        <v>200</v>
      </c>
      <c r="AR485" s="25"/>
      <c r="AT485" s="25">
        <v>0</v>
      </c>
      <c r="AU485" s="26"/>
      <c r="AV485" s="26"/>
      <c r="AW485" s="26"/>
      <c r="AX485" s="26" t="str">
        <f t="shared" si="21"/>
        <v/>
      </c>
      <c r="AY485" t="str">
        <f t="shared" si="22"/>
        <v/>
      </c>
      <c r="AZ485" t="s">
        <v>200</v>
      </c>
      <c r="BA485" s="3"/>
      <c r="BB485" t="str">
        <f t="shared" si="23"/>
        <v>No scrap rate (No impact);</v>
      </c>
    </row>
    <row r="486" spans="1:54" x14ac:dyDescent="0.3">
      <c r="A486" t="s">
        <v>1973</v>
      </c>
      <c r="B486" t="s">
        <v>1974</v>
      </c>
      <c r="C486" t="s">
        <v>1256</v>
      </c>
      <c r="D486" t="s">
        <v>1257</v>
      </c>
      <c r="G486" t="s">
        <v>1615</v>
      </c>
      <c r="H486" t="s">
        <v>1616</v>
      </c>
      <c r="J486" t="s">
        <v>1060</v>
      </c>
      <c r="L486">
        <v>0</v>
      </c>
      <c r="M486">
        <v>1E-3</v>
      </c>
      <c r="N486" t="s">
        <v>198</v>
      </c>
      <c r="O486">
        <v>1E-3</v>
      </c>
      <c r="P486" t="s">
        <v>198</v>
      </c>
      <c r="Q486" t="s">
        <v>199</v>
      </c>
      <c r="R486" s="3"/>
      <c r="W486" t="s">
        <v>200</v>
      </c>
      <c r="X486" s="25"/>
      <c r="Y486" s="26"/>
      <c r="Z486" s="27"/>
      <c r="AA486" t="s">
        <v>25</v>
      </c>
      <c r="AB486" t="s">
        <v>201</v>
      </c>
      <c r="AC486" s="3"/>
      <c r="AH486" t="s">
        <v>202</v>
      </c>
      <c r="AK486" t="s">
        <v>203</v>
      </c>
      <c r="AP486" t="s">
        <v>200</v>
      </c>
      <c r="AR486" s="25"/>
      <c r="AT486" s="25">
        <v>0</v>
      </c>
      <c r="AU486" s="26"/>
      <c r="AV486" s="26"/>
      <c r="AW486" s="26"/>
      <c r="AX486" s="26" t="str">
        <f t="shared" si="21"/>
        <v/>
      </c>
      <c r="AY486" t="str">
        <f t="shared" si="22"/>
        <v/>
      </c>
      <c r="AZ486" t="s">
        <v>200</v>
      </c>
      <c r="BA486" s="3"/>
      <c r="BB486" t="str">
        <f t="shared" si="23"/>
        <v>No scrap rate (No impact);</v>
      </c>
    </row>
    <row r="487" spans="1:54" x14ac:dyDescent="0.3">
      <c r="A487" t="s">
        <v>1975</v>
      </c>
      <c r="B487" t="s">
        <v>1976</v>
      </c>
      <c r="C487" t="s">
        <v>1256</v>
      </c>
      <c r="D487" t="s">
        <v>1257</v>
      </c>
      <c r="G487" t="s">
        <v>1615</v>
      </c>
      <c r="H487" t="s">
        <v>1616</v>
      </c>
      <c r="J487" t="s">
        <v>1046</v>
      </c>
      <c r="L487">
        <v>0</v>
      </c>
      <c r="M487">
        <v>1E-3</v>
      </c>
      <c r="N487" t="s">
        <v>198</v>
      </c>
      <c r="O487">
        <v>1E-3</v>
      </c>
      <c r="P487" t="s">
        <v>198</v>
      </c>
      <c r="Q487" t="s">
        <v>199</v>
      </c>
      <c r="R487" s="3"/>
      <c r="W487" t="s">
        <v>200</v>
      </c>
      <c r="X487" s="25"/>
      <c r="Y487" s="26"/>
      <c r="Z487" s="27"/>
      <c r="AA487" t="s">
        <v>25</v>
      </c>
      <c r="AB487" t="s">
        <v>201</v>
      </c>
      <c r="AC487" s="3"/>
      <c r="AH487" t="s">
        <v>202</v>
      </c>
      <c r="AK487" t="s">
        <v>203</v>
      </c>
      <c r="AP487" t="s">
        <v>200</v>
      </c>
      <c r="AR487" s="25"/>
      <c r="AT487" s="25">
        <v>0</v>
      </c>
      <c r="AU487" s="26"/>
      <c r="AV487" s="26"/>
      <c r="AW487" s="26"/>
      <c r="AX487" s="26" t="str">
        <f t="shared" si="21"/>
        <v/>
      </c>
      <c r="AY487" t="str">
        <f t="shared" si="22"/>
        <v/>
      </c>
      <c r="AZ487" t="s">
        <v>200</v>
      </c>
      <c r="BA487" s="3"/>
      <c r="BB487" t="str">
        <f t="shared" si="23"/>
        <v>No scrap rate (No impact);</v>
      </c>
    </row>
    <row r="488" spans="1:54" x14ac:dyDescent="0.3">
      <c r="A488" t="s">
        <v>1977</v>
      </c>
      <c r="B488" t="s">
        <v>1978</v>
      </c>
      <c r="C488" t="s">
        <v>1256</v>
      </c>
      <c r="D488" t="s">
        <v>1257</v>
      </c>
      <c r="G488" t="s">
        <v>196</v>
      </c>
      <c r="H488" t="s">
        <v>197</v>
      </c>
      <c r="J488" t="s">
        <v>1590</v>
      </c>
      <c r="L488">
        <v>0</v>
      </c>
      <c r="M488">
        <v>3.0000000000000001E-3</v>
      </c>
      <c r="N488" t="s">
        <v>198</v>
      </c>
      <c r="O488">
        <v>3.0000000000000001E-3</v>
      </c>
      <c r="P488" t="s">
        <v>198</v>
      </c>
      <c r="Q488" t="s">
        <v>199</v>
      </c>
      <c r="R488" s="3"/>
      <c r="W488" t="s">
        <v>200</v>
      </c>
      <c r="X488" s="25"/>
      <c r="Y488" s="26"/>
      <c r="Z488" s="27"/>
      <c r="AA488" t="s">
        <v>25</v>
      </c>
      <c r="AB488" t="s">
        <v>201</v>
      </c>
      <c r="AC488" s="3"/>
      <c r="AH488" t="s">
        <v>202</v>
      </c>
      <c r="AK488" t="s">
        <v>203</v>
      </c>
      <c r="AP488" t="s">
        <v>200</v>
      </c>
      <c r="AR488" s="25"/>
      <c r="AT488" s="25">
        <v>0</v>
      </c>
      <c r="AU488" s="26"/>
      <c r="AV488" s="26"/>
      <c r="AW488" s="26"/>
      <c r="AX488" s="26" t="str">
        <f t="shared" si="21"/>
        <v/>
      </c>
      <c r="AY488" t="str">
        <f t="shared" si="22"/>
        <v/>
      </c>
      <c r="AZ488" t="s">
        <v>200</v>
      </c>
      <c r="BA488" s="3"/>
      <c r="BB488" t="str">
        <f t="shared" si="23"/>
        <v>No scrap rate (No impact);</v>
      </c>
    </row>
    <row r="489" spans="1:54" x14ac:dyDescent="0.3">
      <c r="A489" t="s">
        <v>1979</v>
      </c>
      <c r="B489" t="s">
        <v>1980</v>
      </c>
      <c r="C489" t="s">
        <v>1256</v>
      </c>
      <c r="D489" t="s">
        <v>1257</v>
      </c>
      <c r="G489" t="s">
        <v>1615</v>
      </c>
      <c r="H489" t="s">
        <v>1616</v>
      </c>
      <c r="J489" t="s">
        <v>1060</v>
      </c>
      <c r="L489">
        <v>0</v>
      </c>
      <c r="M489">
        <v>1E-3</v>
      </c>
      <c r="N489" t="s">
        <v>198</v>
      </c>
      <c r="O489">
        <v>1E-3</v>
      </c>
      <c r="P489" t="s">
        <v>198</v>
      </c>
      <c r="Q489" t="s">
        <v>199</v>
      </c>
      <c r="R489" s="3"/>
      <c r="W489" t="s">
        <v>200</v>
      </c>
      <c r="X489" s="25"/>
      <c r="Y489" s="26"/>
      <c r="Z489" s="27"/>
      <c r="AA489" t="s">
        <v>25</v>
      </c>
      <c r="AB489" t="s">
        <v>201</v>
      </c>
      <c r="AC489" s="3"/>
      <c r="AH489" t="s">
        <v>202</v>
      </c>
      <c r="AK489" t="s">
        <v>203</v>
      </c>
      <c r="AP489" t="s">
        <v>200</v>
      </c>
      <c r="AR489" s="25"/>
      <c r="AT489" s="25">
        <v>0</v>
      </c>
      <c r="AU489" s="26"/>
      <c r="AV489" s="26"/>
      <c r="AW489" s="26"/>
      <c r="AX489" s="26" t="str">
        <f t="shared" si="21"/>
        <v/>
      </c>
      <c r="AY489" t="str">
        <f t="shared" si="22"/>
        <v/>
      </c>
      <c r="AZ489" t="s">
        <v>200</v>
      </c>
      <c r="BA489" s="3"/>
      <c r="BB489" t="str">
        <f t="shared" si="23"/>
        <v>No scrap rate (No impact);</v>
      </c>
    </row>
    <row r="490" spans="1:54" x14ac:dyDescent="0.3">
      <c r="A490" t="s">
        <v>1981</v>
      </c>
      <c r="B490" t="s">
        <v>1982</v>
      </c>
      <c r="C490" t="s">
        <v>1256</v>
      </c>
      <c r="D490" t="s">
        <v>1257</v>
      </c>
      <c r="G490" t="s">
        <v>1615</v>
      </c>
      <c r="H490" t="s">
        <v>1616</v>
      </c>
      <c r="J490" t="s">
        <v>1046</v>
      </c>
      <c r="L490">
        <v>0</v>
      </c>
      <c r="M490">
        <v>1E-3</v>
      </c>
      <c r="N490" t="s">
        <v>198</v>
      </c>
      <c r="O490">
        <v>1E-3</v>
      </c>
      <c r="P490" t="s">
        <v>198</v>
      </c>
      <c r="Q490" t="s">
        <v>199</v>
      </c>
      <c r="R490" s="3"/>
      <c r="W490" t="s">
        <v>200</v>
      </c>
      <c r="X490" s="25"/>
      <c r="Y490" s="26"/>
      <c r="Z490" s="27"/>
      <c r="AA490" t="s">
        <v>25</v>
      </c>
      <c r="AB490" t="s">
        <v>201</v>
      </c>
      <c r="AC490" s="3"/>
      <c r="AH490" t="s">
        <v>202</v>
      </c>
      <c r="AK490" t="s">
        <v>203</v>
      </c>
      <c r="AP490" t="s">
        <v>200</v>
      </c>
      <c r="AR490" s="25"/>
      <c r="AT490" s="25">
        <v>0</v>
      </c>
      <c r="AU490" s="26"/>
      <c r="AV490" s="26"/>
      <c r="AW490" s="26"/>
      <c r="AX490" s="26" t="str">
        <f t="shared" si="21"/>
        <v/>
      </c>
      <c r="AY490" t="str">
        <f t="shared" si="22"/>
        <v/>
      </c>
      <c r="AZ490" t="s">
        <v>200</v>
      </c>
      <c r="BA490" s="3"/>
      <c r="BB490" t="str">
        <f t="shared" si="23"/>
        <v>No scrap rate (No impact);</v>
      </c>
    </row>
    <row r="491" spans="1:54" x14ac:dyDescent="0.3">
      <c r="A491" t="s">
        <v>1983</v>
      </c>
      <c r="B491" t="s">
        <v>1984</v>
      </c>
      <c r="C491" t="s">
        <v>1256</v>
      </c>
      <c r="D491" t="s">
        <v>1257</v>
      </c>
      <c r="G491" t="s">
        <v>196</v>
      </c>
      <c r="H491" t="s">
        <v>197</v>
      </c>
      <c r="J491" t="s">
        <v>1590</v>
      </c>
      <c r="L491">
        <v>0</v>
      </c>
      <c r="M491">
        <v>3.0000000000000001E-3</v>
      </c>
      <c r="N491" t="s">
        <v>198</v>
      </c>
      <c r="O491">
        <v>3.0000000000000001E-3</v>
      </c>
      <c r="P491" t="s">
        <v>198</v>
      </c>
      <c r="Q491" t="s">
        <v>199</v>
      </c>
      <c r="R491" s="3"/>
      <c r="W491" t="s">
        <v>200</v>
      </c>
      <c r="X491" s="25"/>
      <c r="Y491" s="26"/>
      <c r="Z491" s="27"/>
      <c r="AA491" t="s">
        <v>25</v>
      </c>
      <c r="AB491" t="s">
        <v>201</v>
      </c>
      <c r="AC491" s="3"/>
      <c r="AH491" t="s">
        <v>202</v>
      </c>
      <c r="AK491" t="s">
        <v>203</v>
      </c>
      <c r="AP491" t="s">
        <v>200</v>
      </c>
      <c r="AR491" s="25"/>
      <c r="AT491" s="25">
        <v>0</v>
      </c>
      <c r="AU491" s="26"/>
      <c r="AV491" s="26"/>
      <c r="AW491" s="26"/>
      <c r="AX491" s="26" t="str">
        <f t="shared" si="21"/>
        <v/>
      </c>
      <c r="AY491" t="str">
        <f t="shared" si="22"/>
        <v/>
      </c>
      <c r="AZ491" t="s">
        <v>200</v>
      </c>
      <c r="BA491" s="3"/>
      <c r="BB491" t="str">
        <f t="shared" si="23"/>
        <v>No scrap rate (No impact);</v>
      </c>
    </row>
    <row r="492" spans="1:54" x14ac:dyDescent="0.3">
      <c r="A492" t="s">
        <v>1985</v>
      </c>
      <c r="B492" t="s">
        <v>1986</v>
      </c>
      <c r="C492" t="s">
        <v>1256</v>
      </c>
      <c r="D492" t="s">
        <v>1257</v>
      </c>
      <c r="G492" t="s">
        <v>1615</v>
      </c>
      <c r="H492" t="s">
        <v>1616</v>
      </c>
      <c r="J492" t="s">
        <v>1060</v>
      </c>
      <c r="L492">
        <v>0</v>
      </c>
      <c r="M492">
        <v>1E-3</v>
      </c>
      <c r="N492" t="s">
        <v>198</v>
      </c>
      <c r="O492">
        <v>1E-3</v>
      </c>
      <c r="P492" t="s">
        <v>198</v>
      </c>
      <c r="Q492" t="s">
        <v>199</v>
      </c>
      <c r="R492" s="3"/>
      <c r="W492" t="s">
        <v>200</v>
      </c>
      <c r="X492" s="25"/>
      <c r="Y492" s="26"/>
      <c r="Z492" s="27"/>
      <c r="AA492" t="s">
        <v>25</v>
      </c>
      <c r="AB492" t="s">
        <v>201</v>
      </c>
      <c r="AC492" s="3"/>
      <c r="AH492" t="s">
        <v>202</v>
      </c>
      <c r="AK492" t="s">
        <v>203</v>
      </c>
      <c r="AP492" t="s">
        <v>200</v>
      </c>
      <c r="AR492" s="25"/>
      <c r="AT492" s="25">
        <v>0</v>
      </c>
      <c r="AU492" s="26"/>
      <c r="AV492" s="26"/>
      <c r="AW492" s="26"/>
      <c r="AX492" s="26" t="str">
        <f t="shared" si="21"/>
        <v/>
      </c>
      <c r="AY492" t="str">
        <f t="shared" si="22"/>
        <v/>
      </c>
      <c r="AZ492" t="s">
        <v>200</v>
      </c>
      <c r="BA492" s="3"/>
      <c r="BB492" t="str">
        <f t="shared" si="23"/>
        <v>No scrap rate (No impact);</v>
      </c>
    </row>
    <row r="493" spans="1:54" x14ac:dyDescent="0.3">
      <c r="A493" t="s">
        <v>1987</v>
      </c>
      <c r="B493" t="s">
        <v>1988</v>
      </c>
      <c r="C493" t="s">
        <v>1256</v>
      </c>
      <c r="D493" t="s">
        <v>1257</v>
      </c>
      <c r="G493" t="s">
        <v>1615</v>
      </c>
      <c r="H493" t="s">
        <v>1616</v>
      </c>
      <c r="J493" t="s">
        <v>1046</v>
      </c>
      <c r="L493">
        <v>0</v>
      </c>
      <c r="M493">
        <v>1E-3</v>
      </c>
      <c r="N493" t="s">
        <v>198</v>
      </c>
      <c r="O493">
        <v>1E-3</v>
      </c>
      <c r="P493" t="s">
        <v>198</v>
      </c>
      <c r="Q493" t="s">
        <v>199</v>
      </c>
      <c r="R493" s="3"/>
      <c r="W493" t="s">
        <v>200</v>
      </c>
      <c r="X493" s="25"/>
      <c r="Y493" s="26"/>
      <c r="Z493" s="27"/>
      <c r="AA493" t="s">
        <v>25</v>
      </c>
      <c r="AB493" t="s">
        <v>201</v>
      </c>
      <c r="AC493" s="3"/>
      <c r="AH493" t="s">
        <v>202</v>
      </c>
      <c r="AK493" t="s">
        <v>203</v>
      </c>
      <c r="AP493" t="s">
        <v>200</v>
      </c>
      <c r="AR493" s="25"/>
      <c r="AT493" s="25">
        <v>0</v>
      </c>
      <c r="AU493" s="26"/>
      <c r="AV493" s="26"/>
      <c r="AW493" s="26"/>
      <c r="AX493" s="26" t="str">
        <f t="shared" si="21"/>
        <v/>
      </c>
      <c r="AY493" t="str">
        <f t="shared" si="22"/>
        <v/>
      </c>
      <c r="AZ493" t="s">
        <v>200</v>
      </c>
      <c r="BA493" s="3"/>
      <c r="BB493" t="str">
        <f t="shared" si="23"/>
        <v>No scrap rate (No impact);</v>
      </c>
    </row>
    <row r="494" spans="1:54" x14ac:dyDescent="0.3">
      <c r="A494" t="s">
        <v>1989</v>
      </c>
      <c r="B494" t="s">
        <v>1990</v>
      </c>
      <c r="C494" t="s">
        <v>1256</v>
      </c>
      <c r="D494" t="s">
        <v>1257</v>
      </c>
      <c r="G494" t="s">
        <v>196</v>
      </c>
      <c r="H494" t="s">
        <v>197</v>
      </c>
      <c r="J494" t="s">
        <v>1590</v>
      </c>
      <c r="L494">
        <v>0</v>
      </c>
      <c r="M494">
        <v>3.0000000000000001E-3</v>
      </c>
      <c r="N494" t="s">
        <v>198</v>
      </c>
      <c r="O494">
        <v>3.0000000000000001E-3</v>
      </c>
      <c r="P494" t="s">
        <v>198</v>
      </c>
      <c r="Q494" t="s">
        <v>199</v>
      </c>
      <c r="R494" s="3"/>
      <c r="W494" t="s">
        <v>200</v>
      </c>
      <c r="X494" s="25"/>
      <c r="Y494" s="26"/>
      <c r="Z494" s="27"/>
      <c r="AA494" t="s">
        <v>25</v>
      </c>
      <c r="AB494" t="s">
        <v>201</v>
      </c>
      <c r="AC494" s="3"/>
      <c r="AH494" t="s">
        <v>202</v>
      </c>
      <c r="AK494" t="s">
        <v>203</v>
      </c>
      <c r="AP494" t="s">
        <v>200</v>
      </c>
      <c r="AR494" s="25"/>
      <c r="AT494" s="25">
        <v>0</v>
      </c>
      <c r="AU494" s="26"/>
      <c r="AV494" s="26"/>
      <c r="AW494" s="26"/>
      <c r="AX494" s="26" t="str">
        <f t="shared" si="21"/>
        <v/>
      </c>
      <c r="AY494" t="str">
        <f t="shared" si="22"/>
        <v/>
      </c>
      <c r="AZ494" t="s">
        <v>200</v>
      </c>
      <c r="BA494" s="3"/>
      <c r="BB494" t="str">
        <f t="shared" si="23"/>
        <v>No scrap rate (No impact);</v>
      </c>
    </row>
    <row r="495" spans="1:54" x14ac:dyDescent="0.3">
      <c r="A495" t="s">
        <v>1991</v>
      </c>
      <c r="B495" t="s">
        <v>1992</v>
      </c>
      <c r="C495" t="s">
        <v>1256</v>
      </c>
      <c r="D495" t="s">
        <v>1257</v>
      </c>
      <c r="G495" t="s">
        <v>1615</v>
      </c>
      <c r="H495" t="s">
        <v>1616</v>
      </c>
      <c r="J495" t="s">
        <v>1060</v>
      </c>
      <c r="L495">
        <v>0</v>
      </c>
      <c r="M495">
        <v>1E-3</v>
      </c>
      <c r="N495" t="s">
        <v>198</v>
      </c>
      <c r="O495">
        <v>1E-3</v>
      </c>
      <c r="P495" t="s">
        <v>198</v>
      </c>
      <c r="Q495" t="s">
        <v>199</v>
      </c>
      <c r="R495" s="3"/>
      <c r="W495" t="s">
        <v>200</v>
      </c>
      <c r="X495" s="25"/>
      <c r="Y495" s="26"/>
      <c r="Z495" s="27"/>
      <c r="AA495" t="s">
        <v>25</v>
      </c>
      <c r="AB495" t="s">
        <v>201</v>
      </c>
      <c r="AC495" s="3"/>
      <c r="AH495" t="s">
        <v>202</v>
      </c>
      <c r="AK495" t="s">
        <v>203</v>
      </c>
      <c r="AP495" t="s">
        <v>200</v>
      </c>
      <c r="AR495" s="25"/>
      <c r="AT495" s="25">
        <v>0</v>
      </c>
      <c r="AU495" s="26"/>
      <c r="AV495" s="26"/>
      <c r="AW495" s="26"/>
      <c r="AX495" s="26" t="str">
        <f t="shared" si="21"/>
        <v/>
      </c>
      <c r="AY495" t="str">
        <f t="shared" si="22"/>
        <v/>
      </c>
      <c r="AZ495" t="s">
        <v>200</v>
      </c>
      <c r="BA495" s="3"/>
      <c r="BB495" t="str">
        <f t="shared" si="23"/>
        <v>No scrap rate (No impact);</v>
      </c>
    </row>
    <row r="496" spans="1:54" x14ac:dyDescent="0.3">
      <c r="A496" t="s">
        <v>1993</v>
      </c>
      <c r="B496" t="s">
        <v>1994</v>
      </c>
      <c r="C496" t="s">
        <v>1256</v>
      </c>
      <c r="D496" t="s">
        <v>1257</v>
      </c>
      <c r="G496" t="s">
        <v>1615</v>
      </c>
      <c r="H496" t="s">
        <v>1616</v>
      </c>
      <c r="J496" t="s">
        <v>1046</v>
      </c>
      <c r="L496">
        <v>0</v>
      </c>
      <c r="M496">
        <v>1E-3</v>
      </c>
      <c r="N496" t="s">
        <v>198</v>
      </c>
      <c r="O496">
        <v>1E-3</v>
      </c>
      <c r="P496" t="s">
        <v>198</v>
      </c>
      <c r="Q496" t="s">
        <v>199</v>
      </c>
      <c r="R496" s="3"/>
      <c r="W496" t="s">
        <v>200</v>
      </c>
      <c r="X496" s="25"/>
      <c r="Y496" s="26"/>
      <c r="Z496" s="27"/>
      <c r="AA496" t="s">
        <v>25</v>
      </c>
      <c r="AB496" t="s">
        <v>201</v>
      </c>
      <c r="AC496" s="3"/>
      <c r="AH496" t="s">
        <v>202</v>
      </c>
      <c r="AK496" t="s">
        <v>203</v>
      </c>
      <c r="AP496" t="s">
        <v>200</v>
      </c>
      <c r="AR496" s="25"/>
      <c r="AT496" s="25">
        <v>0</v>
      </c>
      <c r="AU496" s="26"/>
      <c r="AV496" s="26"/>
      <c r="AW496" s="26"/>
      <c r="AX496" s="26" t="str">
        <f t="shared" si="21"/>
        <v/>
      </c>
      <c r="AY496" t="str">
        <f t="shared" si="22"/>
        <v/>
      </c>
      <c r="AZ496" t="s">
        <v>200</v>
      </c>
      <c r="BA496" s="3"/>
      <c r="BB496" t="str">
        <f t="shared" si="23"/>
        <v>No scrap rate (No impact);</v>
      </c>
    </row>
    <row r="497" spans="1:54" x14ac:dyDescent="0.3">
      <c r="A497" t="s">
        <v>1995</v>
      </c>
      <c r="B497" t="s">
        <v>1996</v>
      </c>
      <c r="C497" t="s">
        <v>1256</v>
      </c>
      <c r="D497" t="s">
        <v>1257</v>
      </c>
      <c r="G497" t="s">
        <v>196</v>
      </c>
      <c r="H497" t="s">
        <v>197</v>
      </c>
      <c r="J497" t="s">
        <v>1590</v>
      </c>
      <c r="L497">
        <v>0</v>
      </c>
      <c r="M497">
        <v>3.0000000000000001E-3</v>
      </c>
      <c r="N497" t="s">
        <v>198</v>
      </c>
      <c r="O497">
        <v>3.0000000000000001E-3</v>
      </c>
      <c r="P497" t="s">
        <v>198</v>
      </c>
      <c r="Q497" t="s">
        <v>199</v>
      </c>
      <c r="R497" s="3"/>
      <c r="W497" t="s">
        <v>200</v>
      </c>
      <c r="X497" s="25"/>
      <c r="Y497" s="26"/>
      <c r="Z497" s="27"/>
      <c r="AA497" t="s">
        <v>25</v>
      </c>
      <c r="AB497" t="s">
        <v>201</v>
      </c>
      <c r="AC497" s="3"/>
      <c r="AH497" t="s">
        <v>202</v>
      </c>
      <c r="AK497" t="s">
        <v>203</v>
      </c>
      <c r="AP497" t="s">
        <v>200</v>
      </c>
      <c r="AR497" s="25"/>
      <c r="AT497" s="25">
        <v>0</v>
      </c>
      <c r="AU497" s="26"/>
      <c r="AV497" s="26"/>
      <c r="AW497" s="26"/>
      <c r="AX497" s="26" t="str">
        <f t="shared" si="21"/>
        <v/>
      </c>
      <c r="AY497" t="str">
        <f t="shared" si="22"/>
        <v/>
      </c>
      <c r="AZ497" t="s">
        <v>200</v>
      </c>
      <c r="BA497" s="3"/>
      <c r="BB497" t="str">
        <f t="shared" si="23"/>
        <v>No scrap rate (No impact);</v>
      </c>
    </row>
    <row r="498" spans="1:54" x14ac:dyDescent="0.3">
      <c r="A498" t="s">
        <v>1997</v>
      </c>
      <c r="B498" t="s">
        <v>1998</v>
      </c>
      <c r="C498" t="s">
        <v>1256</v>
      </c>
      <c r="D498" t="s">
        <v>1257</v>
      </c>
      <c r="G498" t="s">
        <v>1615</v>
      </c>
      <c r="H498" t="s">
        <v>1616</v>
      </c>
      <c r="J498" t="s">
        <v>1060</v>
      </c>
      <c r="L498">
        <v>0</v>
      </c>
      <c r="M498">
        <v>1E-3</v>
      </c>
      <c r="N498" t="s">
        <v>198</v>
      </c>
      <c r="O498">
        <v>1E-3</v>
      </c>
      <c r="P498" t="s">
        <v>198</v>
      </c>
      <c r="Q498" t="s">
        <v>199</v>
      </c>
      <c r="R498" s="3"/>
      <c r="W498" t="s">
        <v>200</v>
      </c>
      <c r="X498" s="25"/>
      <c r="Y498" s="26"/>
      <c r="Z498" s="27"/>
      <c r="AA498" t="s">
        <v>25</v>
      </c>
      <c r="AB498" t="s">
        <v>201</v>
      </c>
      <c r="AC498" s="3"/>
      <c r="AH498" t="s">
        <v>202</v>
      </c>
      <c r="AK498" t="s">
        <v>203</v>
      </c>
      <c r="AP498" t="s">
        <v>200</v>
      </c>
      <c r="AR498" s="25"/>
      <c r="AT498" s="25">
        <v>0</v>
      </c>
      <c r="AU498" s="26"/>
      <c r="AV498" s="26"/>
      <c r="AW498" s="26"/>
      <c r="AX498" s="26" t="str">
        <f t="shared" si="21"/>
        <v/>
      </c>
      <c r="AY498" t="str">
        <f t="shared" si="22"/>
        <v/>
      </c>
      <c r="AZ498" t="s">
        <v>200</v>
      </c>
      <c r="BA498" s="3"/>
      <c r="BB498" t="str">
        <f t="shared" si="23"/>
        <v>No scrap rate (No impact);</v>
      </c>
    </row>
    <row r="499" spans="1:54" x14ac:dyDescent="0.3">
      <c r="A499" t="s">
        <v>1999</v>
      </c>
      <c r="B499" t="s">
        <v>2000</v>
      </c>
      <c r="C499" t="s">
        <v>1256</v>
      </c>
      <c r="D499" t="s">
        <v>1257</v>
      </c>
      <c r="G499" t="s">
        <v>1615</v>
      </c>
      <c r="H499" t="s">
        <v>1616</v>
      </c>
      <c r="J499" t="s">
        <v>1046</v>
      </c>
      <c r="L499">
        <v>0</v>
      </c>
      <c r="M499">
        <v>1E-3</v>
      </c>
      <c r="N499" t="s">
        <v>198</v>
      </c>
      <c r="O499">
        <v>1E-3</v>
      </c>
      <c r="P499" t="s">
        <v>198</v>
      </c>
      <c r="Q499" t="s">
        <v>199</v>
      </c>
      <c r="R499" s="3"/>
      <c r="W499" t="s">
        <v>200</v>
      </c>
      <c r="X499" s="25"/>
      <c r="Y499" s="26"/>
      <c r="Z499" s="27"/>
      <c r="AA499" t="s">
        <v>25</v>
      </c>
      <c r="AB499" t="s">
        <v>201</v>
      </c>
      <c r="AC499" s="3"/>
      <c r="AH499" t="s">
        <v>202</v>
      </c>
      <c r="AK499" t="s">
        <v>203</v>
      </c>
      <c r="AP499" t="s">
        <v>200</v>
      </c>
      <c r="AR499" s="25"/>
      <c r="AT499" s="25">
        <v>0</v>
      </c>
      <c r="AU499" s="26"/>
      <c r="AV499" s="26"/>
      <c r="AW499" s="26"/>
      <c r="AX499" s="26" t="str">
        <f t="shared" si="21"/>
        <v/>
      </c>
      <c r="AY499" t="str">
        <f t="shared" si="22"/>
        <v/>
      </c>
      <c r="AZ499" t="s">
        <v>200</v>
      </c>
      <c r="BA499" s="3"/>
      <c r="BB499" t="str">
        <f t="shared" si="23"/>
        <v>No scrap rate (No impact);</v>
      </c>
    </row>
    <row r="500" spans="1:54" x14ac:dyDescent="0.3">
      <c r="A500" t="s">
        <v>2001</v>
      </c>
      <c r="B500" t="s">
        <v>2002</v>
      </c>
      <c r="C500" t="s">
        <v>1256</v>
      </c>
      <c r="D500" t="s">
        <v>1257</v>
      </c>
      <c r="G500" t="s">
        <v>196</v>
      </c>
      <c r="H500" t="s">
        <v>197</v>
      </c>
      <c r="J500" t="s">
        <v>1590</v>
      </c>
      <c r="L500">
        <v>0</v>
      </c>
      <c r="M500">
        <v>3.0000000000000001E-3</v>
      </c>
      <c r="N500" t="s">
        <v>198</v>
      </c>
      <c r="O500">
        <v>3.0000000000000001E-3</v>
      </c>
      <c r="P500" t="s">
        <v>198</v>
      </c>
      <c r="Q500" t="s">
        <v>199</v>
      </c>
      <c r="R500" s="3"/>
      <c r="W500" t="s">
        <v>200</v>
      </c>
      <c r="X500" s="25"/>
      <c r="Y500" s="26"/>
      <c r="Z500" s="27"/>
      <c r="AA500" t="s">
        <v>25</v>
      </c>
      <c r="AB500" t="s">
        <v>201</v>
      </c>
      <c r="AC500" s="3"/>
      <c r="AH500" t="s">
        <v>202</v>
      </c>
      <c r="AK500" t="s">
        <v>203</v>
      </c>
      <c r="AP500" t="s">
        <v>200</v>
      </c>
      <c r="AR500" s="25"/>
      <c r="AT500" s="25">
        <v>0</v>
      </c>
      <c r="AU500" s="26"/>
      <c r="AV500" s="26"/>
      <c r="AW500" s="26"/>
      <c r="AX500" s="26" t="str">
        <f t="shared" si="21"/>
        <v/>
      </c>
      <c r="AY500" t="str">
        <f t="shared" si="22"/>
        <v/>
      </c>
      <c r="AZ500" t="s">
        <v>200</v>
      </c>
      <c r="BA500" s="3"/>
      <c r="BB500" t="str">
        <f t="shared" si="23"/>
        <v>No scrap rate (No impact);</v>
      </c>
    </row>
    <row r="501" spans="1:54" x14ac:dyDescent="0.3">
      <c r="A501" t="s">
        <v>2003</v>
      </c>
      <c r="B501" t="s">
        <v>2004</v>
      </c>
      <c r="C501" t="s">
        <v>1110</v>
      </c>
      <c r="D501" t="s">
        <v>1111</v>
      </c>
      <c r="G501" t="s">
        <v>288</v>
      </c>
      <c r="H501" t="s">
        <v>289</v>
      </c>
      <c r="J501" t="s">
        <v>1089</v>
      </c>
      <c r="L501">
        <v>0</v>
      </c>
      <c r="M501">
        <v>0.435</v>
      </c>
      <c r="N501" t="s">
        <v>198</v>
      </c>
      <c r="O501">
        <v>0.435</v>
      </c>
      <c r="P501" t="s">
        <v>198</v>
      </c>
      <c r="Q501" t="s">
        <v>199</v>
      </c>
      <c r="R501" s="3"/>
      <c r="W501" t="s">
        <v>200</v>
      </c>
      <c r="X501" s="25"/>
      <c r="Y501" s="26"/>
      <c r="Z501" s="27"/>
      <c r="AA501" t="s">
        <v>25</v>
      </c>
      <c r="AB501" t="s">
        <v>201</v>
      </c>
      <c r="AC501" s="3"/>
      <c r="AH501" t="s">
        <v>202</v>
      </c>
      <c r="AK501" t="s">
        <v>203</v>
      </c>
      <c r="AP501" t="s">
        <v>200</v>
      </c>
      <c r="AR501" s="25"/>
      <c r="AT501" s="25">
        <v>0</v>
      </c>
      <c r="AU501" s="26"/>
      <c r="AV501" s="26"/>
      <c r="AW501" s="26"/>
      <c r="AX501" s="26" t="str">
        <f t="shared" si="21"/>
        <v/>
      </c>
      <c r="AY501" t="str">
        <f t="shared" si="22"/>
        <v/>
      </c>
      <c r="AZ501" t="s">
        <v>200</v>
      </c>
      <c r="BA501" s="3"/>
      <c r="BB501" t="str">
        <f t="shared" si="23"/>
        <v>No scrap rate (No impact);</v>
      </c>
    </row>
    <row r="502" spans="1:54" x14ac:dyDescent="0.3">
      <c r="A502" t="s">
        <v>2005</v>
      </c>
      <c r="B502" t="s">
        <v>2006</v>
      </c>
      <c r="C502" t="s">
        <v>1110</v>
      </c>
      <c r="D502" t="s">
        <v>1111</v>
      </c>
      <c r="G502" t="s">
        <v>368</v>
      </c>
      <c r="H502" t="s">
        <v>369</v>
      </c>
      <c r="J502" t="s">
        <v>1089</v>
      </c>
      <c r="L502">
        <v>0</v>
      </c>
      <c r="M502">
        <v>6.0999999999999999E-2</v>
      </c>
      <c r="N502" t="s">
        <v>198</v>
      </c>
      <c r="O502">
        <v>6.0999999999999999E-2</v>
      </c>
      <c r="P502" t="s">
        <v>198</v>
      </c>
      <c r="Q502" t="s">
        <v>199</v>
      </c>
      <c r="R502" s="3"/>
      <c r="W502" t="s">
        <v>200</v>
      </c>
      <c r="X502" s="25"/>
      <c r="Y502" s="26"/>
      <c r="Z502" s="27"/>
      <c r="AA502" t="s">
        <v>25</v>
      </c>
      <c r="AB502" t="s">
        <v>201</v>
      </c>
      <c r="AC502" s="3"/>
      <c r="AH502" t="s">
        <v>202</v>
      </c>
      <c r="AK502" t="s">
        <v>203</v>
      </c>
      <c r="AP502" t="s">
        <v>200</v>
      </c>
      <c r="AR502" s="25"/>
      <c r="AT502" s="25">
        <v>0</v>
      </c>
      <c r="AU502" s="26"/>
      <c r="AV502" s="26"/>
      <c r="AW502" s="26"/>
      <c r="AX502" s="26" t="str">
        <f t="shared" si="21"/>
        <v/>
      </c>
      <c r="AY502" t="str">
        <f t="shared" si="22"/>
        <v/>
      </c>
      <c r="AZ502" t="s">
        <v>200</v>
      </c>
      <c r="BA502" s="3"/>
      <c r="BB502" t="str">
        <f t="shared" si="23"/>
        <v>No scrap rate (No impact);</v>
      </c>
    </row>
    <row r="503" spans="1:54" x14ac:dyDescent="0.3">
      <c r="A503" t="s">
        <v>2007</v>
      </c>
      <c r="B503" t="s">
        <v>2008</v>
      </c>
      <c r="C503" t="s">
        <v>1256</v>
      </c>
      <c r="D503" t="s">
        <v>1257</v>
      </c>
      <c r="G503" t="s">
        <v>368</v>
      </c>
      <c r="H503" t="s">
        <v>369</v>
      </c>
      <c r="J503" t="s">
        <v>1590</v>
      </c>
      <c r="L503">
        <v>0</v>
      </c>
      <c r="M503">
        <v>1E-3</v>
      </c>
      <c r="N503" t="s">
        <v>198</v>
      </c>
      <c r="O503">
        <v>1E-3</v>
      </c>
      <c r="P503" t="s">
        <v>198</v>
      </c>
      <c r="Q503" t="s">
        <v>199</v>
      </c>
      <c r="R503" s="3"/>
      <c r="W503" t="s">
        <v>200</v>
      </c>
      <c r="X503" s="25"/>
      <c r="Y503" s="26"/>
      <c r="Z503" s="27"/>
      <c r="AA503" t="s">
        <v>25</v>
      </c>
      <c r="AB503" t="s">
        <v>201</v>
      </c>
      <c r="AC503" s="3"/>
      <c r="AH503" t="s">
        <v>202</v>
      </c>
      <c r="AK503" t="s">
        <v>203</v>
      </c>
      <c r="AP503" t="s">
        <v>200</v>
      </c>
      <c r="AR503" s="25"/>
      <c r="AT503" s="25">
        <v>0</v>
      </c>
      <c r="AU503" s="26"/>
      <c r="AV503" s="26"/>
      <c r="AW503" s="26"/>
      <c r="AX503" s="26" t="str">
        <f t="shared" si="21"/>
        <v/>
      </c>
      <c r="AY503" t="str">
        <f t="shared" si="22"/>
        <v/>
      </c>
      <c r="AZ503" t="s">
        <v>200</v>
      </c>
      <c r="BA503" s="3"/>
      <c r="BB503" t="str">
        <f t="shared" si="23"/>
        <v>No scrap rate (No impact);</v>
      </c>
    </row>
    <row r="504" spans="1:54" x14ac:dyDescent="0.3">
      <c r="A504" t="s">
        <v>2009</v>
      </c>
      <c r="B504" t="s">
        <v>2010</v>
      </c>
      <c r="C504" t="s">
        <v>1110</v>
      </c>
      <c r="D504" t="s">
        <v>1111</v>
      </c>
      <c r="G504" t="s">
        <v>368</v>
      </c>
      <c r="H504" t="s">
        <v>369</v>
      </c>
      <c r="J504" t="s">
        <v>1089</v>
      </c>
      <c r="L504">
        <v>0</v>
      </c>
      <c r="M504">
        <v>6.0999999999999999E-2</v>
      </c>
      <c r="N504" t="s">
        <v>198</v>
      </c>
      <c r="O504">
        <v>6.0999999999999999E-2</v>
      </c>
      <c r="P504" t="s">
        <v>198</v>
      </c>
      <c r="Q504" t="s">
        <v>199</v>
      </c>
      <c r="R504" s="3"/>
      <c r="W504" t="s">
        <v>200</v>
      </c>
      <c r="X504" s="25"/>
      <c r="Y504" s="26"/>
      <c r="Z504" s="27"/>
      <c r="AA504" t="s">
        <v>25</v>
      </c>
      <c r="AB504" t="s">
        <v>201</v>
      </c>
      <c r="AC504" s="3"/>
      <c r="AH504" t="s">
        <v>202</v>
      </c>
      <c r="AK504" t="s">
        <v>203</v>
      </c>
      <c r="AP504" t="s">
        <v>200</v>
      </c>
      <c r="AR504" s="25"/>
      <c r="AT504" s="25">
        <v>0</v>
      </c>
      <c r="AU504" s="26"/>
      <c r="AV504" s="26"/>
      <c r="AW504" s="26"/>
      <c r="AX504" s="26" t="str">
        <f t="shared" si="21"/>
        <v/>
      </c>
      <c r="AY504" t="str">
        <f t="shared" si="22"/>
        <v/>
      </c>
      <c r="AZ504" t="s">
        <v>200</v>
      </c>
      <c r="BA504" s="3"/>
      <c r="BB504" t="str">
        <f t="shared" si="23"/>
        <v>No scrap rate (No impact);</v>
      </c>
    </row>
    <row r="505" spans="1:54" x14ac:dyDescent="0.3">
      <c r="A505" t="s">
        <v>2011</v>
      </c>
      <c r="B505" t="s">
        <v>2012</v>
      </c>
      <c r="C505" t="s">
        <v>1256</v>
      </c>
      <c r="D505" t="s">
        <v>1257</v>
      </c>
      <c r="G505" t="s">
        <v>368</v>
      </c>
      <c r="H505" t="s">
        <v>369</v>
      </c>
      <c r="J505" t="s">
        <v>1590</v>
      </c>
      <c r="L505">
        <v>0</v>
      </c>
      <c r="M505">
        <v>1E-3</v>
      </c>
      <c r="N505" t="s">
        <v>198</v>
      </c>
      <c r="O505">
        <v>1E-3</v>
      </c>
      <c r="P505" t="s">
        <v>198</v>
      </c>
      <c r="Q505" t="s">
        <v>199</v>
      </c>
      <c r="R505" s="3"/>
      <c r="W505" t="s">
        <v>200</v>
      </c>
      <c r="X505" s="25"/>
      <c r="Y505" s="26"/>
      <c r="Z505" s="27"/>
      <c r="AA505" t="s">
        <v>25</v>
      </c>
      <c r="AB505" t="s">
        <v>201</v>
      </c>
      <c r="AC505" s="3"/>
      <c r="AH505" t="s">
        <v>202</v>
      </c>
      <c r="AK505" t="s">
        <v>203</v>
      </c>
      <c r="AP505" t="s">
        <v>200</v>
      </c>
      <c r="AR505" s="25"/>
      <c r="AT505" s="25">
        <v>0</v>
      </c>
      <c r="AU505" s="26"/>
      <c r="AV505" s="26"/>
      <c r="AW505" s="26"/>
      <c r="AX505" s="26" t="str">
        <f t="shared" si="21"/>
        <v/>
      </c>
      <c r="AY505" t="str">
        <f t="shared" si="22"/>
        <v/>
      </c>
      <c r="AZ505" t="s">
        <v>200</v>
      </c>
      <c r="BA505" s="3"/>
      <c r="BB505" t="str">
        <f t="shared" si="23"/>
        <v>No scrap rate (No impact);</v>
      </c>
    </row>
    <row r="506" spans="1:54" x14ac:dyDescent="0.3">
      <c r="A506" t="s">
        <v>2013</v>
      </c>
      <c r="B506" t="s">
        <v>2014</v>
      </c>
      <c r="C506" t="s">
        <v>1110</v>
      </c>
      <c r="D506" t="s">
        <v>1111</v>
      </c>
      <c r="G506" t="s">
        <v>1686</v>
      </c>
      <c r="H506" t="s">
        <v>1687</v>
      </c>
      <c r="J506" t="s">
        <v>1089</v>
      </c>
      <c r="L506">
        <v>0</v>
      </c>
      <c r="M506">
        <v>4.3999999999999997E-2</v>
      </c>
      <c r="N506" t="s">
        <v>198</v>
      </c>
      <c r="O506">
        <v>4.3999999999999997E-2</v>
      </c>
      <c r="P506" t="s">
        <v>198</v>
      </c>
      <c r="Q506" t="s">
        <v>199</v>
      </c>
      <c r="R506" s="3"/>
      <c r="W506" t="s">
        <v>200</v>
      </c>
      <c r="X506" s="25"/>
      <c r="Y506" s="26"/>
      <c r="Z506" s="27"/>
      <c r="AA506" t="s">
        <v>25</v>
      </c>
      <c r="AB506" t="s">
        <v>201</v>
      </c>
      <c r="AC506" s="3"/>
      <c r="AH506" t="s">
        <v>202</v>
      </c>
      <c r="AK506" t="s">
        <v>203</v>
      </c>
      <c r="AP506" t="s">
        <v>200</v>
      </c>
      <c r="AR506" s="25"/>
      <c r="AT506" s="25">
        <v>0</v>
      </c>
      <c r="AU506" s="26"/>
      <c r="AV506" s="26"/>
      <c r="AW506" s="26"/>
      <c r="AX506" s="26" t="str">
        <f t="shared" si="21"/>
        <v/>
      </c>
      <c r="AY506" t="str">
        <f t="shared" si="22"/>
        <v/>
      </c>
      <c r="AZ506" t="s">
        <v>200</v>
      </c>
      <c r="BA506" s="3"/>
      <c r="BB506" t="str">
        <f t="shared" si="23"/>
        <v>No scrap rate (No impact);</v>
      </c>
    </row>
    <row r="507" spans="1:54" x14ac:dyDescent="0.3">
      <c r="A507" t="s">
        <v>2015</v>
      </c>
      <c r="B507" t="s">
        <v>2016</v>
      </c>
      <c r="C507" t="s">
        <v>1256</v>
      </c>
      <c r="D507" t="s">
        <v>1257</v>
      </c>
      <c r="G507" t="s">
        <v>433</v>
      </c>
      <c r="H507" t="s">
        <v>434</v>
      </c>
      <c r="J507" t="s">
        <v>1590</v>
      </c>
      <c r="L507">
        <v>0</v>
      </c>
      <c r="M507">
        <v>4.0000000000000001E-3</v>
      </c>
      <c r="N507" t="s">
        <v>198</v>
      </c>
      <c r="O507">
        <v>4.0000000000000001E-3</v>
      </c>
      <c r="P507" t="s">
        <v>198</v>
      </c>
      <c r="Q507" t="s">
        <v>199</v>
      </c>
      <c r="R507" s="3"/>
      <c r="W507" t="s">
        <v>200</v>
      </c>
      <c r="X507" s="25"/>
      <c r="Y507" s="26"/>
      <c r="Z507" s="27"/>
      <c r="AA507" t="s">
        <v>25</v>
      </c>
      <c r="AB507" t="s">
        <v>201</v>
      </c>
      <c r="AC507" s="3"/>
      <c r="AH507" t="s">
        <v>202</v>
      </c>
      <c r="AK507" t="s">
        <v>203</v>
      </c>
      <c r="AP507" t="s">
        <v>200</v>
      </c>
      <c r="AR507" s="25"/>
      <c r="AT507" s="25">
        <v>0</v>
      </c>
      <c r="AU507" s="26"/>
      <c r="AV507" s="26"/>
      <c r="AW507" s="26"/>
      <c r="AX507" s="26" t="str">
        <f t="shared" si="21"/>
        <v/>
      </c>
      <c r="AY507" t="str">
        <f t="shared" si="22"/>
        <v/>
      </c>
      <c r="AZ507" t="s">
        <v>200</v>
      </c>
      <c r="BA507" s="3"/>
      <c r="BB507" t="str">
        <f t="shared" si="23"/>
        <v>No scrap rate (No impact);</v>
      </c>
    </row>
    <row r="508" spans="1:54" x14ac:dyDescent="0.3">
      <c r="A508" t="s">
        <v>2017</v>
      </c>
      <c r="B508" t="s">
        <v>2018</v>
      </c>
      <c r="C508" t="s">
        <v>946</v>
      </c>
      <c r="D508" t="s">
        <v>947</v>
      </c>
      <c r="G508" t="s">
        <v>933</v>
      </c>
      <c r="H508" t="s">
        <v>934</v>
      </c>
      <c r="J508" t="s">
        <v>1046</v>
      </c>
      <c r="L508">
        <v>0</v>
      </c>
      <c r="M508">
        <v>2E-3</v>
      </c>
      <c r="N508" t="s">
        <v>198</v>
      </c>
      <c r="O508">
        <v>2E-3</v>
      </c>
      <c r="P508" t="s">
        <v>198</v>
      </c>
      <c r="Q508" t="s">
        <v>199</v>
      </c>
      <c r="R508" s="3"/>
      <c r="W508" t="s">
        <v>200</v>
      </c>
      <c r="X508" s="25"/>
      <c r="Y508" s="26"/>
      <c r="Z508" s="27"/>
      <c r="AA508" t="s">
        <v>25</v>
      </c>
      <c r="AB508" t="s">
        <v>201</v>
      </c>
      <c r="AC508" s="3"/>
      <c r="AH508" t="s">
        <v>202</v>
      </c>
      <c r="AK508" t="s">
        <v>203</v>
      </c>
      <c r="AP508" t="s">
        <v>200</v>
      </c>
      <c r="AR508" s="25"/>
      <c r="AT508" s="25">
        <v>0</v>
      </c>
      <c r="AU508" s="26"/>
      <c r="AV508" s="26"/>
      <c r="AW508" s="26"/>
      <c r="AX508" s="26" t="str">
        <f t="shared" si="21"/>
        <v/>
      </c>
      <c r="AY508" t="str">
        <f t="shared" si="22"/>
        <v/>
      </c>
      <c r="AZ508" t="s">
        <v>200</v>
      </c>
      <c r="BA508" s="3"/>
      <c r="BB508" t="str">
        <f t="shared" si="23"/>
        <v>No scrap rate (No impact);</v>
      </c>
    </row>
    <row r="509" spans="1:54" x14ac:dyDescent="0.3">
      <c r="A509" t="s">
        <v>2019</v>
      </c>
      <c r="B509" t="s">
        <v>2020</v>
      </c>
      <c r="C509" t="s">
        <v>1256</v>
      </c>
      <c r="D509" t="s">
        <v>1257</v>
      </c>
      <c r="G509" t="s">
        <v>1615</v>
      </c>
      <c r="H509" t="s">
        <v>1616</v>
      </c>
      <c r="J509" t="s">
        <v>1060</v>
      </c>
      <c r="L509">
        <v>0</v>
      </c>
      <c r="M509">
        <v>6.0000000000000001E-3</v>
      </c>
      <c r="N509" t="s">
        <v>198</v>
      </c>
      <c r="O509">
        <v>1E-3</v>
      </c>
      <c r="P509" t="s">
        <v>198</v>
      </c>
      <c r="Q509" t="s">
        <v>199</v>
      </c>
      <c r="R509" s="3"/>
      <c r="W509" t="s">
        <v>200</v>
      </c>
      <c r="X509" s="25"/>
      <c r="Y509" s="26"/>
      <c r="Z509" s="27"/>
      <c r="AA509" t="s">
        <v>25</v>
      </c>
      <c r="AB509" t="s">
        <v>201</v>
      </c>
      <c r="AC509" s="3"/>
      <c r="AH509" t="s">
        <v>202</v>
      </c>
      <c r="AK509" t="s">
        <v>203</v>
      </c>
      <c r="AP509" t="s">
        <v>200</v>
      </c>
      <c r="AR509" s="25"/>
      <c r="AT509" s="25">
        <v>0</v>
      </c>
      <c r="AU509" s="26"/>
      <c r="AV509" s="26"/>
      <c r="AW509" s="26"/>
      <c r="AX509" s="26" t="str">
        <f t="shared" si="21"/>
        <v/>
      </c>
      <c r="AY509" t="str">
        <f t="shared" si="22"/>
        <v/>
      </c>
      <c r="AZ509" t="s">
        <v>200</v>
      </c>
      <c r="BA509" s="3"/>
      <c r="BB509" t="str">
        <f t="shared" si="23"/>
        <v>No scrap rate (No impact);</v>
      </c>
    </row>
    <row r="510" spans="1:54" x14ac:dyDescent="0.3">
      <c r="A510" t="s">
        <v>2021</v>
      </c>
      <c r="B510" t="s">
        <v>2022</v>
      </c>
      <c r="C510" t="s">
        <v>1256</v>
      </c>
      <c r="D510" t="s">
        <v>1257</v>
      </c>
      <c r="G510" t="s">
        <v>1731</v>
      </c>
      <c r="H510" t="s">
        <v>1732</v>
      </c>
      <c r="J510" t="s">
        <v>1060</v>
      </c>
      <c r="L510">
        <v>0</v>
      </c>
      <c r="M510">
        <v>5.0000000000000001E-3</v>
      </c>
      <c r="N510" t="s">
        <v>198</v>
      </c>
      <c r="O510">
        <v>5.0000000000000001E-3</v>
      </c>
      <c r="P510" t="s">
        <v>198</v>
      </c>
      <c r="Q510" t="s">
        <v>199</v>
      </c>
      <c r="R510" s="3"/>
      <c r="W510" t="s">
        <v>200</v>
      </c>
      <c r="X510" s="25"/>
      <c r="Y510" s="26"/>
      <c r="Z510" s="27"/>
      <c r="AA510" t="s">
        <v>25</v>
      </c>
      <c r="AB510" t="s">
        <v>201</v>
      </c>
      <c r="AC510" s="3"/>
      <c r="AH510" t="s">
        <v>202</v>
      </c>
      <c r="AK510" t="s">
        <v>203</v>
      </c>
      <c r="AP510" t="s">
        <v>200</v>
      </c>
      <c r="AR510" s="25"/>
      <c r="AT510" s="25">
        <v>0</v>
      </c>
      <c r="AU510" s="26"/>
      <c r="AV510" s="26"/>
      <c r="AW510" s="26"/>
      <c r="AX510" s="26" t="str">
        <f t="shared" si="21"/>
        <v/>
      </c>
      <c r="AY510" t="str">
        <f t="shared" si="22"/>
        <v/>
      </c>
      <c r="AZ510" t="s">
        <v>200</v>
      </c>
      <c r="BA510" s="3"/>
      <c r="BB510" t="str">
        <f t="shared" si="23"/>
        <v>No scrap rate (No impact);</v>
      </c>
    </row>
    <row r="511" spans="1:54" x14ac:dyDescent="0.3">
      <c r="A511" t="s">
        <v>2023</v>
      </c>
      <c r="B511" t="s">
        <v>2024</v>
      </c>
      <c r="C511" t="s">
        <v>1256</v>
      </c>
      <c r="D511" t="s">
        <v>1257</v>
      </c>
      <c r="G511" t="s">
        <v>196</v>
      </c>
      <c r="H511" t="s">
        <v>197</v>
      </c>
      <c r="J511" t="s">
        <v>1590</v>
      </c>
      <c r="L511">
        <v>0</v>
      </c>
      <c r="M511">
        <v>3.0000000000000001E-3</v>
      </c>
      <c r="N511" t="s">
        <v>198</v>
      </c>
      <c r="O511">
        <v>3.0000000000000001E-3</v>
      </c>
      <c r="P511" t="s">
        <v>198</v>
      </c>
      <c r="Q511" t="s">
        <v>199</v>
      </c>
      <c r="R511" s="3"/>
      <c r="W511" t="s">
        <v>200</v>
      </c>
      <c r="X511" s="25"/>
      <c r="Y511" s="26"/>
      <c r="Z511" s="27"/>
      <c r="AA511" t="s">
        <v>25</v>
      </c>
      <c r="AB511" t="s">
        <v>201</v>
      </c>
      <c r="AC511" s="3"/>
      <c r="AH511" t="s">
        <v>202</v>
      </c>
      <c r="AK511" t="s">
        <v>203</v>
      </c>
      <c r="AP511" t="s">
        <v>200</v>
      </c>
      <c r="AR511" s="25"/>
      <c r="AT511" s="25">
        <v>0</v>
      </c>
      <c r="AU511" s="26"/>
      <c r="AV511" s="26"/>
      <c r="AW511" s="26"/>
      <c r="AX511" s="26" t="str">
        <f t="shared" si="21"/>
        <v/>
      </c>
      <c r="AY511" t="str">
        <f t="shared" si="22"/>
        <v/>
      </c>
      <c r="AZ511" t="s">
        <v>200</v>
      </c>
      <c r="BA511" s="3"/>
      <c r="BB511" t="str">
        <f t="shared" si="23"/>
        <v>No scrap rate (No impact);</v>
      </c>
    </row>
    <row r="512" spans="1:54" x14ac:dyDescent="0.3">
      <c r="A512" t="s">
        <v>2025</v>
      </c>
      <c r="B512" t="s">
        <v>2026</v>
      </c>
      <c r="C512" t="s">
        <v>1256</v>
      </c>
      <c r="D512" t="s">
        <v>1257</v>
      </c>
      <c r="G512" t="s">
        <v>1731</v>
      </c>
      <c r="H512" t="s">
        <v>1732</v>
      </c>
      <c r="J512" t="s">
        <v>1060</v>
      </c>
      <c r="L512">
        <v>0</v>
      </c>
      <c r="M512">
        <v>5.0000000000000001E-3</v>
      </c>
      <c r="N512" t="s">
        <v>198</v>
      </c>
      <c r="O512">
        <v>5.0000000000000001E-3</v>
      </c>
      <c r="P512" t="s">
        <v>198</v>
      </c>
      <c r="Q512" t="s">
        <v>199</v>
      </c>
      <c r="R512" s="3"/>
      <c r="W512" t="s">
        <v>200</v>
      </c>
      <c r="X512" s="25"/>
      <c r="Y512" s="26"/>
      <c r="Z512" s="27"/>
      <c r="AA512" t="s">
        <v>25</v>
      </c>
      <c r="AB512" t="s">
        <v>201</v>
      </c>
      <c r="AC512" s="3"/>
      <c r="AH512" t="s">
        <v>202</v>
      </c>
      <c r="AK512" t="s">
        <v>203</v>
      </c>
      <c r="AP512" t="s">
        <v>200</v>
      </c>
      <c r="AR512" s="25"/>
      <c r="AT512" s="25">
        <v>0</v>
      </c>
      <c r="AU512" s="26"/>
      <c r="AV512" s="26"/>
      <c r="AW512" s="26"/>
      <c r="AX512" s="26" t="str">
        <f t="shared" si="21"/>
        <v/>
      </c>
      <c r="AY512" t="str">
        <f t="shared" si="22"/>
        <v/>
      </c>
      <c r="AZ512" t="s">
        <v>200</v>
      </c>
      <c r="BA512" s="3"/>
      <c r="BB512" t="str">
        <f t="shared" si="23"/>
        <v>No scrap rate (No impact);</v>
      </c>
    </row>
    <row r="513" spans="1:54" x14ac:dyDescent="0.3">
      <c r="A513" t="s">
        <v>2027</v>
      </c>
      <c r="B513" t="s">
        <v>2028</v>
      </c>
      <c r="C513" t="s">
        <v>1256</v>
      </c>
      <c r="D513" t="s">
        <v>1257</v>
      </c>
      <c r="G513" t="s">
        <v>196</v>
      </c>
      <c r="H513" t="s">
        <v>197</v>
      </c>
      <c r="J513" t="s">
        <v>1590</v>
      </c>
      <c r="L513">
        <v>0</v>
      </c>
      <c r="M513">
        <v>3.0000000000000001E-3</v>
      </c>
      <c r="N513" t="s">
        <v>198</v>
      </c>
      <c r="O513">
        <v>3.0000000000000001E-3</v>
      </c>
      <c r="P513" t="s">
        <v>198</v>
      </c>
      <c r="Q513" t="s">
        <v>199</v>
      </c>
      <c r="R513" s="3"/>
      <c r="W513" t="s">
        <v>200</v>
      </c>
      <c r="X513" s="25"/>
      <c r="Y513" s="26"/>
      <c r="Z513" s="27"/>
      <c r="AA513" t="s">
        <v>25</v>
      </c>
      <c r="AB513" t="s">
        <v>201</v>
      </c>
      <c r="AC513" s="3"/>
      <c r="AH513" t="s">
        <v>202</v>
      </c>
      <c r="AK513" t="s">
        <v>203</v>
      </c>
      <c r="AP513" t="s">
        <v>200</v>
      </c>
      <c r="AR513" s="25"/>
      <c r="AT513" s="25">
        <v>0</v>
      </c>
      <c r="AU513" s="26"/>
      <c r="AV513" s="26"/>
      <c r="AW513" s="26"/>
      <c r="AX513" s="26" t="str">
        <f t="shared" si="21"/>
        <v/>
      </c>
      <c r="AY513" t="str">
        <f t="shared" si="22"/>
        <v/>
      </c>
      <c r="AZ513" t="s">
        <v>200</v>
      </c>
      <c r="BA513" s="3"/>
      <c r="BB513" t="str">
        <f t="shared" si="23"/>
        <v>No scrap rate (No impact);</v>
      </c>
    </row>
    <row r="514" spans="1:54" x14ac:dyDescent="0.3">
      <c r="A514" t="s">
        <v>2029</v>
      </c>
      <c r="B514" t="s">
        <v>2030</v>
      </c>
      <c r="C514" t="s">
        <v>1256</v>
      </c>
      <c r="D514" t="s">
        <v>1257</v>
      </c>
      <c r="G514" t="s">
        <v>903</v>
      </c>
      <c r="H514" t="s">
        <v>361</v>
      </c>
      <c r="J514" t="s">
        <v>1046</v>
      </c>
      <c r="L514">
        <v>0</v>
      </c>
      <c r="M514">
        <v>0</v>
      </c>
      <c r="N514" t="s">
        <v>198</v>
      </c>
      <c r="O514">
        <v>0</v>
      </c>
      <c r="P514" t="s">
        <v>198</v>
      </c>
      <c r="Q514" t="s">
        <v>199</v>
      </c>
      <c r="R514" s="3"/>
      <c r="W514" t="s">
        <v>200</v>
      </c>
      <c r="X514" s="25"/>
      <c r="Y514" s="26"/>
      <c r="Z514" s="27"/>
      <c r="AA514" t="s">
        <v>25</v>
      </c>
      <c r="AB514" t="s">
        <v>201</v>
      </c>
      <c r="AC514" s="3"/>
      <c r="AH514" t="s">
        <v>202</v>
      </c>
      <c r="AK514" t="s">
        <v>203</v>
      </c>
      <c r="AP514" t="s">
        <v>200</v>
      </c>
      <c r="AR514" s="25"/>
      <c r="AT514" s="25">
        <v>0</v>
      </c>
      <c r="AU514" s="26"/>
      <c r="AV514" s="26"/>
      <c r="AW514" s="26"/>
      <c r="AX514" s="26" t="str">
        <f t="shared" si="21"/>
        <v/>
      </c>
      <c r="AY514" t="str">
        <f t="shared" si="22"/>
        <v/>
      </c>
      <c r="AZ514" t="s">
        <v>200</v>
      </c>
      <c r="BA514" s="3"/>
      <c r="BB514" t="str">
        <f t="shared" si="23"/>
        <v>No scrap rate (No impact);</v>
      </c>
    </row>
    <row r="515" spans="1:54" x14ac:dyDescent="0.3">
      <c r="A515" t="s">
        <v>2031</v>
      </c>
      <c r="B515" t="s">
        <v>2032</v>
      </c>
      <c r="C515" t="s">
        <v>1256</v>
      </c>
      <c r="D515" t="s">
        <v>1257</v>
      </c>
      <c r="G515" t="s">
        <v>903</v>
      </c>
      <c r="H515" t="s">
        <v>361</v>
      </c>
      <c r="J515" t="s">
        <v>1046</v>
      </c>
      <c r="L515">
        <v>0</v>
      </c>
      <c r="M515">
        <v>5.0000000000000001E-3</v>
      </c>
      <c r="N515" t="s">
        <v>198</v>
      </c>
      <c r="O515">
        <v>5.0000000000000001E-3</v>
      </c>
      <c r="P515" t="s">
        <v>198</v>
      </c>
      <c r="Q515" t="s">
        <v>199</v>
      </c>
      <c r="R515" s="3"/>
      <c r="W515" t="s">
        <v>200</v>
      </c>
      <c r="X515" s="25"/>
      <c r="Y515" s="26"/>
      <c r="Z515" s="27"/>
      <c r="AA515" t="s">
        <v>25</v>
      </c>
      <c r="AB515" t="s">
        <v>201</v>
      </c>
      <c r="AC515" s="3"/>
      <c r="AH515" t="s">
        <v>202</v>
      </c>
      <c r="AK515" t="s">
        <v>203</v>
      </c>
      <c r="AP515" t="s">
        <v>200</v>
      </c>
      <c r="AR515" s="25"/>
      <c r="AT515" s="25">
        <v>0</v>
      </c>
      <c r="AU515" s="26"/>
      <c r="AV515" s="26"/>
      <c r="AW515" s="26"/>
      <c r="AX515" s="26" t="str">
        <f t="shared" ref="AX515:AX578" si="24">IF(COUNT(AU515,AV515,AW515)=0,"",ROUND(AVERAGE(AU515,AV515,AW515),3))</f>
        <v/>
      </c>
      <c r="AY515" t="str">
        <f t="shared" ref="AY515:AY578" si="25">IF(AO515="","",ROUND(AO515*IF(M515="",0,M515)*(1+IF(AR515="",0,AR515)),5))</f>
        <v/>
      </c>
      <c r="AZ515" t="s">
        <v>200</v>
      </c>
      <c r="BA515" s="3"/>
      <c r="BB515" t="str">
        <f t="shared" ref="BB515:BB578" si="26">IF(AND(A515&lt;&gt;"",G515=""),"Supplier code empty (High);","")&amp;IF(AND(X515&lt;&gt;"",OR(X515&gt;1,X515&lt;0)),"Incorrect PDS value (High);",IF(AND(X515&lt;&gt;"",X515&gt;0.5),"High PDS value (Medium);",""))&amp;IF(AND(Y515&lt;&gt;"",OR(Y515&gt;5,Y515&lt;1)),"Incorrect DQR value (High);",IF(AND(Y515&lt;&gt;"",Y515&gt;4),"Incorrect DQR value (Medium);",IF(AND(Y515&lt;&gt;"",Y515&gt;3),"Incorrect DQR value (Low);","")))&amp;IF(AND(V515&lt;&gt;"",OR(V515&lt;=0,V515&gt;100)),"Unusual PCF value might be wrong (High);","")&amp;IF(AND(AT515&lt;&gt;"",OR(AT515&gt;1,AT515&lt;0)),"Incorrect PDS value (High);",IF(AND(AT515&lt;&gt;"",AT515&gt;0.5),"High PDS value (Medium);",""))&amp;IF(AND(AX515&lt;&gt;"",OR(AX515&gt;5,AX515&lt;1)),"Incorrect DQR value (High);",IF(AND(AX515&lt;&gt;"",AX515&gt;4),"Incorrect DQR value (Medium);",IF(AND(AX515&lt;&gt;"",AX515&gt;3),"Incorrect DQR value (Low);","")))&amp;IF(AND(AR515&lt;&gt;"",OR(AR515&gt;1,AR515&lt;0)),"Incorrect scrap rate (High);",IF(AND(A515&lt;&gt;"",AR515=0),"No scrap rate (No impact);",""))&amp;IF(AND(A515&lt;&gt;"",I515="",J515="",K515=""),"No raw material available (High);","")&amp;""</f>
        <v>No scrap rate (No impact);</v>
      </c>
    </row>
    <row r="516" spans="1:54" x14ac:dyDescent="0.3">
      <c r="A516" t="s">
        <v>2033</v>
      </c>
      <c r="B516" t="s">
        <v>2034</v>
      </c>
      <c r="C516" t="s">
        <v>1110</v>
      </c>
      <c r="D516" t="s">
        <v>1111</v>
      </c>
      <c r="G516" t="s">
        <v>903</v>
      </c>
      <c r="H516" t="s">
        <v>361</v>
      </c>
      <c r="J516" t="s">
        <v>1089</v>
      </c>
      <c r="L516">
        <v>0</v>
      </c>
      <c r="M516">
        <v>2.5000000000000001E-2</v>
      </c>
      <c r="N516" t="s">
        <v>198</v>
      </c>
      <c r="O516">
        <v>2.5000000000000001E-2</v>
      </c>
      <c r="P516" t="s">
        <v>198</v>
      </c>
      <c r="Q516" t="s">
        <v>199</v>
      </c>
      <c r="R516" s="3"/>
      <c r="W516" t="s">
        <v>200</v>
      </c>
      <c r="X516" s="25"/>
      <c r="Y516" s="26"/>
      <c r="Z516" s="27"/>
      <c r="AA516" t="s">
        <v>25</v>
      </c>
      <c r="AB516" t="s">
        <v>201</v>
      </c>
      <c r="AC516" s="3"/>
      <c r="AH516" t="s">
        <v>202</v>
      </c>
      <c r="AK516" t="s">
        <v>203</v>
      </c>
      <c r="AP516" t="s">
        <v>200</v>
      </c>
      <c r="AR516" s="25"/>
      <c r="AT516" s="25">
        <v>0</v>
      </c>
      <c r="AU516" s="26"/>
      <c r="AV516" s="26"/>
      <c r="AW516" s="26"/>
      <c r="AX516" s="26" t="str">
        <f t="shared" si="24"/>
        <v/>
      </c>
      <c r="AY516" t="str">
        <f t="shared" si="25"/>
        <v/>
      </c>
      <c r="AZ516" t="s">
        <v>200</v>
      </c>
      <c r="BA516" s="3"/>
      <c r="BB516" t="str">
        <f t="shared" si="26"/>
        <v>No scrap rate (No impact);</v>
      </c>
    </row>
    <row r="517" spans="1:54" x14ac:dyDescent="0.3">
      <c r="A517" t="s">
        <v>2035</v>
      </c>
      <c r="B517" t="s">
        <v>2036</v>
      </c>
      <c r="C517" t="s">
        <v>1256</v>
      </c>
      <c r="D517" t="s">
        <v>1257</v>
      </c>
      <c r="G517" t="s">
        <v>903</v>
      </c>
      <c r="H517" t="s">
        <v>361</v>
      </c>
      <c r="J517" t="s">
        <v>1590</v>
      </c>
      <c r="L517">
        <v>0</v>
      </c>
      <c r="M517">
        <v>2E-3</v>
      </c>
      <c r="N517" t="s">
        <v>198</v>
      </c>
      <c r="O517">
        <v>2E-3</v>
      </c>
      <c r="P517" t="s">
        <v>198</v>
      </c>
      <c r="Q517" t="s">
        <v>199</v>
      </c>
      <c r="R517" s="3"/>
      <c r="W517" t="s">
        <v>200</v>
      </c>
      <c r="X517" s="25"/>
      <c r="Y517" s="26"/>
      <c r="Z517" s="27"/>
      <c r="AA517" t="s">
        <v>25</v>
      </c>
      <c r="AB517" t="s">
        <v>201</v>
      </c>
      <c r="AC517" s="3"/>
      <c r="AH517" t="s">
        <v>202</v>
      </c>
      <c r="AK517" t="s">
        <v>203</v>
      </c>
      <c r="AP517" t="s">
        <v>200</v>
      </c>
      <c r="AR517" s="25"/>
      <c r="AT517" s="25">
        <v>0</v>
      </c>
      <c r="AU517" s="26"/>
      <c r="AV517" s="26"/>
      <c r="AW517" s="26"/>
      <c r="AX517" s="26" t="str">
        <f t="shared" si="24"/>
        <v/>
      </c>
      <c r="AY517" t="str">
        <f t="shared" si="25"/>
        <v/>
      </c>
      <c r="AZ517" t="s">
        <v>200</v>
      </c>
      <c r="BA517" s="3"/>
      <c r="BB517" t="str">
        <f t="shared" si="26"/>
        <v>No scrap rate (No impact);</v>
      </c>
    </row>
    <row r="518" spans="1:54" x14ac:dyDescent="0.3">
      <c r="A518" t="s">
        <v>2037</v>
      </c>
      <c r="B518" t="s">
        <v>2038</v>
      </c>
      <c r="C518" t="s">
        <v>1256</v>
      </c>
      <c r="D518" t="s">
        <v>1257</v>
      </c>
      <c r="G518" t="s">
        <v>903</v>
      </c>
      <c r="H518" t="s">
        <v>361</v>
      </c>
      <c r="J518" t="s">
        <v>1046</v>
      </c>
      <c r="L518">
        <v>0</v>
      </c>
      <c r="M518">
        <v>5.0000000000000001E-3</v>
      </c>
      <c r="N518" t="s">
        <v>198</v>
      </c>
      <c r="O518">
        <v>5.0000000000000001E-3</v>
      </c>
      <c r="P518" t="s">
        <v>198</v>
      </c>
      <c r="Q518" t="s">
        <v>199</v>
      </c>
      <c r="R518" s="3"/>
      <c r="W518" t="s">
        <v>200</v>
      </c>
      <c r="X518" s="25"/>
      <c r="Y518" s="26"/>
      <c r="Z518" s="27"/>
      <c r="AA518" t="s">
        <v>25</v>
      </c>
      <c r="AB518" t="s">
        <v>201</v>
      </c>
      <c r="AC518" s="3"/>
      <c r="AH518" t="s">
        <v>202</v>
      </c>
      <c r="AK518" t="s">
        <v>203</v>
      </c>
      <c r="AP518" t="s">
        <v>200</v>
      </c>
      <c r="AR518" s="25"/>
      <c r="AT518" s="25">
        <v>0</v>
      </c>
      <c r="AU518" s="26"/>
      <c r="AV518" s="26"/>
      <c r="AW518" s="26"/>
      <c r="AX518" s="26" t="str">
        <f t="shared" si="24"/>
        <v/>
      </c>
      <c r="AY518" t="str">
        <f t="shared" si="25"/>
        <v/>
      </c>
      <c r="AZ518" t="s">
        <v>200</v>
      </c>
      <c r="BA518" s="3"/>
      <c r="BB518" t="str">
        <f t="shared" si="26"/>
        <v>No scrap rate (No impact);</v>
      </c>
    </row>
    <row r="519" spans="1:54" x14ac:dyDescent="0.3">
      <c r="A519" t="s">
        <v>2039</v>
      </c>
      <c r="B519" t="s">
        <v>2040</v>
      </c>
      <c r="C519" t="s">
        <v>1256</v>
      </c>
      <c r="D519" t="s">
        <v>1257</v>
      </c>
      <c r="G519" t="s">
        <v>903</v>
      </c>
      <c r="H519" t="s">
        <v>361</v>
      </c>
      <c r="J519" t="s">
        <v>1046</v>
      </c>
      <c r="L519">
        <v>0</v>
      </c>
      <c r="M519">
        <v>0</v>
      </c>
      <c r="N519" t="s">
        <v>198</v>
      </c>
      <c r="O519">
        <v>0</v>
      </c>
      <c r="P519" t="s">
        <v>198</v>
      </c>
      <c r="Q519" t="s">
        <v>199</v>
      </c>
      <c r="R519" s="3"/>
      <c r="W519" t="s">
        <v>200</v>
      </c>
      <c r="X519" s="25"/>
      <c r="Y519" s="26"/>
      <c r="Z519" s="27"/>
      <c r="AA519" t="s">
        <v>25</v>
      </c>
      <c r="AB519" t="s">
        <v>201</v>
      </c>
      <c r="AC519" s="3"/>
      <c r="AH519" t="s">
        <v>202</v>
      </c>
      <c r="AK519" t="s">
        <v>203</v>
      </c>
      <c r="AP519" t="s">
        <v>200</v>
      </c>
      <c r="AR519" s="25"/>
      <c r="AT519" s="25">
        <v>0</v>
      </c>
      <c r="AU519" s="26"/>
      <c r="AV519" s="26"/>
      <c r="AW519" s="26"/>
      <c r="AX519" s="26" t="str">
        <f t="shared" si="24"/>
        <v/>
      </c>
      <c r="AY519" t="str">
        <f t="shared" si="25"/>
        <v/>
      </c>
      <c r="AZ519" t="s">
        <v>200</v>
      </c>
      <c r="BA519" s="3"/>
      <c r="BB519" t="str">
        <f t="shared" si="26"/>
        <v>No scrap rate (No impact);</v>
      </c>
    </row>
    <row r="520" spans="1:54" x14ac:dyDescent="0.3">
      <c r="A520" t="s">
        <v>2041</v>
      </c>
      <c r="B520" t="s">
        <v>2042</v>
      </c>
      <c r="C520" t="s">
        <v>1256</v>
      </c>
      <c r="D520" t="s">
        <v>1257</v>
      </c>
      <c r="G520" t="s">
        <v>903</v>
      </c>
      <c r="H520" t="s">
        <v>361</v>
      </c>
      <c r="J520" t="s">
        <v>1046</v>
      </c>
      <c r="L520">
        <v>0</v>
      </c>
      <c r="M520">
        <v>5.0000000000000001E-3</v>
      </c>
      <c r="N520" t="s">
        <v>198</v>
      </c>
      <c r="O520">
        <v>5.0000000000000001E-3</v>
      </c>
      <c r="P520" t="s">
        <v>198</v>
      </c>
      <c r="Q520" t="s">
        <v>199</v>
      </c>
      <c r="R520" s="3"/>
      <c r="W520" t="s">
        <v>200</v>
      </c>
      <c r="X520" s="25"/>
      <c r="Y520" s="26"/>
      <c r="Z520" s="27"/>
      <c r="AA520" t="s">
        <v>25</v>
      </c>
      <c r="AB520" t="s">
        <v>201</v>
      </c>
      <c r="AC520" s="3"/>
      <c r="AH520" t="s">
        <v>202</v>
      </c>
      <c r="AK520" t="s">
        <v>203</v>
      </c>
      <c r="AP520" t="s">
        <v>200</v>
      </c>
      <c r="AR520" s="25"/>
      <c r="AT520" s="25">
        <v>0</v>
      </c>
      <c r="AU520" s="26"/>
      <c r="AV520" s="26"/>
      <c r="AW520" s="26"/>
      <c r="AX520" s="26" t="str">
        <f t="shared" si="24"/>
        <v/>
      </c>
      <c r="AY520" t="str">
        <f t="shared" si="25"/>
        <v/>
      </c>
      <c r="AZ520" t="s">
        <v>200</v>
      </c>
      <c r="BA520" s="3"/>
      <c r="BB520" t="str">
        <f t="shared" si="26"/>
        <v>No scrap rate (No impact);</v>
      </c>
    </row>
    <row r="521" spans="1:54" x14ac:dyDescent="0.3">
      <c r="A521" t="s">
        <v>2043</v>
      </c>
      <c r="B521" t="s">
        <v>2044</v>
      </c>
      <c r="C521" t="s">
        <v>1110</v>
      </c>
      <c r="D521" t="s">
        <v>1111</v>
      </c>
      <c r="G521" t="s">
        <v>903</v>
      </c>
      <c r="H521" t="s">
        <v>361</v>
      </c>
      <c r="J521" t="s">
        <v>1089</v>
      </c>
      <c r="L521">
        <v>0</v>
      </c>
      <c r="M521">
        <v>2.5000000000000001E-2</v>
      </c>
      <c r="N521" t="s">
        <v>198</v>
      </c>
      <c r="O521">
        <v>2.5000000000000001E-2</v>
      </c>
      <c r="P521" t="s">
        <v>198</v>
      </c>
      <c r="Q521" t="s">
        <v>199</v>
      </c>
      <c r="R521" s="3"/>
      <c r="W521" t="s">
        <v>200</v>
      </c>
      <c r="X521" s="25"/>
      <c r="Y521" s="26"/>
      <c r="Z521" s="27"/>
      <c r="AA521" t="s">
        <v>25</v>
      </c>
      <c r="AB521" t="s">
        <v>201</v>
      </c>
      <c r="AC521" s="3"/>
      <c r="AH521" t="s">
        <v>202</v>
      </c>
      <c r="AK521" t="s">
        <v>203</v>
      </c>
      <c r="AP521" t="s">
        <v>200</v>
      </c>
      <c r="AR521" s="25"/>
      <c r="AT521" s="25">
        <v>0</v>
      </c>
      <c r="AU521" s="26"/>
      <c r="AV521" s="26"/>
      <c r="AW521" s="26"/>
      <c r="AX521" s="26" t="str">
        <f t="shared" si="24"/>
        <v/>
      </c>
      <c r="AY521" t="str">
        <f t="shared" si="25"/>
        <v/>
      </c>
      <c r="AZ521" t="s">
        <v>200</v>
      </c>
      <c r="BA521" s="3"/>
      <c r="BB521" t="str">
        <f t="shared" si="26"/>
        <v>No scrap rate (No impact);</v>
      </c>
    </row>
    <row r="522" spans="1:54" x14ac:dyDescent="0.3">
      <c r="A522" t="s">
        <v>2045</v>
      </c>
      <c r="B522" t="s">
        <v>2046</v>
      </c>
      <c r="C522" t="s">
        <v>1256</v>
      </c>
      <c r="D522" t="s">
        <v>1257</v>
      </c>
      <c r="G522" t="s">
        <v>903</v>
      </c>
      <c r="H522" t="s">
        <v>361</v>
      </c>
      <c r="J522" t="s">
        <v>1046</v>
      </c>
      <c r="L522">
        <v>0</v>
      </c>
      <c r="M522">
        <v>5.0000000000000001E-3</v>
      </c>
      <c r="N522" t="s">
        <v>198</v>
      </c>
      <c r="O522">
        <v>5.0000000000000001E-3</v>
      </c>
      <c r="P522" t="s">
        <v>198</v>
      </c>
      <c r="Q522" t="s">
        <v>199</v>
      </c>
      <c r="R522" s="3"/>
      <c r="W522" t="s">
        <v>200</v>
      </c>
      <c r="X522" s="25"/>
      <c r="Y522" s="26"/>
      <c r="Z522" s="27"/>
      <c r="AA522" t="s">
        <v>25</v>
      </c>
      <c r="AB522" t="s">
        <v>201</v>
      </c>
      <c r="AC522" s="3"/>
      <c r="AH522" t="s">
        <v>202</v>
      </c>
      <c r="AK522" t="s">
        <v>203</v>
      </c>
      <c r="AP522" t="s">
        <v>200</v>
      </c>
      <c r="AR522" s="25"/>
      <c r="AT522" s="25">
        <v>0</v>
      </c>
      <c r="AU522" s="26"/>
      <c r="AV522" s="26"/>
      <c r="AW522" s="26"/>
      <c r="AX522" s="26" t="str">
        <f t="shared" si="24"/>
        <v/>
      </c>
      <c r="AY522" t="str">
        <f t="shared" si="25"/>
        <v/>
      </c>
      <c r="AZ522" t="s">
        <v>200</v>
      </c>
      <c r="BA522" s="3"/>
      <c r="BB522" t="str">
        <f t="shared" si="26"/>
        <v>No scrap rate (No impact);</v>
      </c>
    </row>
    <row r="523" spans="1:54" x14ac:dyDescent="0.3">
      <c r="A523" t="s">
        <v>2047</v>
      </c>
      <c r="B523" t="s">
        <v>2048</v>
      </c>
      <c r="C523" t="s">
        <v>1110</v>
      </c>
      <c r="D523" t="s">
        <v>1111</v>
      </c>
      <c r="G523" t="s">
        <v>1655</v>
      </c>
      <c r="H523" t="s">
        <v>1656</v>
      </c>
      <c r="J523" t="s">
        <v>1089</v>
      </c>
      <c r="L523">
        <v>1</v>
      </c>
      <c r="M523">
        <v>0.03</v>
      </c>
      <c r="N523" t="s">
        <v>198</v>
      </c>
      <c r="O523">
        <v>0.03</v>
      </c>
      <c r="P523" t="s">
        <v>198</v>
      </c>
      <c r="Q523" t="s">
        <v>199</v>
      </c>
      <c r="R523" s="3"/>
      <c r="W523" t="s">
        <v>200</v>
      </c>
      <c r="X523" s="25"/>
      <c r="Y523" s="26"/>
      <c r="Z523" s="27"/>
      <c r="AA523" t="s">
        <v>25</v>
      </c>
      <c r="AB523" t="s">
        <v>201</v>
      </c>
      <c r="AC523" s="3"/>
      <c r="AH523" t="s">
        <v>202</v>
      </c>
      <c r="AK523" t="s">
        <v>203</v>
      </c>
      <c r="AP523" t="s">
        <v>200</v>
      </c>
      <c r="AR523" s="25"/>
      <c r="AT523" s="25">
        <v>0</v>
      </c>
      <c r="AU523" s="26"/>
      <c r="AV523" s="26"/>
      <c r="AW523" s="26"/>
      <c r="AX523" s="26" t="str">
        <f t="shared" si="24"/>
        <v/>
      </c>
      <c r="AY523" t="str">
        <f t="shared" si="25"/>
        <v/>
      </c>
      <c r="AZ523" t="s">
        <v>200</v>
      </c>
      <c r="BA523" s="3"/>
      <c r="BB523" t="str">
        <f t="shared" si="26"/>
        <v>No scrap rate (No impact);</v>
      </c>
    </row>
    <row r="524" spans="1:54" x14ac:dyDescent="0.3">
      <c r="A524" t="s">
        <v>2049</v>
      </c>
      <c r="B524" t="s">
        <v>2050</v>
      </c>
      <c r="C524" t="s">
        <v>1256</v>
      </c>
      <c r="D524" t="s">
        <v>1257</v>
      </c>
      <c r="G524" t="s">
        <v>433</v>
      </c>
      <c r="H524" t="s">
        <v>434</v>
      </c>
      <c r="J524" t="s">
        <v>1590</v>
      </c>
      <c r="L524">
        <v>0</v>
      </c>
      <c r="M524">
        <v>1.0999999999999999E-2</v>
      </c>
      <c r="N524" t="s">
        <v>198</v>
      </c>
      <c r="O524">
        <v>1.0999999999999999E-2</v>
      </c>
      <c r="P524" t="s">
        <v>198</v>
      </c>
      <c r="Q524" t="s">
        <v>199</v>
      </c>
      <c r="R524" s="3"/>
      <c r="W524" t="s">
        <v>200</v>
      </c>
      <c r="X524" s="25"/>
      <c r="Y524" s="26"/>
      <c r="Z524" s="27"/>
      <c r="AA524" t="s">
        <v>25</v>
      </c>
      <c r="AB524" t="s">
        <v>201</v>
      </c>
      <c r="AC524" s="3"/>
      <c r="AH524" t="s">
        <v>202</v>
      </c>
      <c r="AK524" t="s">
        <v>203</v>
      </c>
      <c r="AP524" t="s">
        <v>200</v>
      </c>
      <c r="AR524" s="25"/>
      <c r="AT524" s="25">
        <v>0</v>
      </c>
      <c r="AU524" s="26"/>
      <c r="AV524" s="26"/>
      <c r="AW524" s="26"/>
      <c r="AX524" s="26" t="str">
        <f t="shared" si="24"/>
        <v/>
      </c>
      <c r="AY524" t="str">
        <f t="shared" si="25"/>
        <v/>
      </c>
      <c r="AZ524" t="s">
        <v>200</v>
      </c>
      <c r="BA524" s="3"/>
      <c r="BB524" t="str">
        <f t="shared" si="26"/>
        <v>No scrap rate (No impact);</v>
      </c>
    </row>
    <row r="525" spans="1:54" x14ac:dyDescent="0.3">
      <c r="A525" t="s">
        <v>2051</v>
      </c>
      <c r="B525" t="s">
        <v>2052</v>
      </c>
      <c r="C525" t="s">
        <v>1256</v>
      </c>
      <c r="D525" t="s">
        <v>1257</v>
      </c>
      <c r="G525" t="s">
        <v>433</v>
      </c>
      <c r="H525" t="s">
        <v>434</v>
      </c>
      <c r="J525" t="s">
        <v>1590</v>
      </c>
      <c r="L525">
        <v>0</v>
      </c>
      <c r="M525">
        <v>4.0000000000000001E-3</v>
      </c>
      <c r="N525" t="s">
        <v>198</v>
      </c>
      <c r="O525">
        <v>4.0000000000000001E-3</v>
      </c>
      <c r="P525" t="s">
        <v>198</v>
      </c>
      <c r="Q525" t="s">
        <v>199</v>
      </c>
      <c r="R525" s="3"/>
      <c r="W525" t="s">
        <v>200</v>
      </c>
      <c r="X525" s="25"/>
      <c r="Y525" s="26"/>
      <c r="Z525" s="27"/>
      <c r="AA525" t="s">
        <v>25</v>
      </c>
      <c r="AB525" t="s">
        <v>201</v>
      </c>
      <c r="AC525" s="3"/>
      <c r="AH525" t="s">
        <v>202</v>
      </c>
      <c r="AK525" t="s">
        <v>203</v>
      </c>
      <c r="AP525" t="s">
        <v>200</v>
      </c>
      <c r="AR525" s="25"/>
      <c r="AT525" s="25">
        <v>0</v>
      </c>
      <c r="AU525" s="26"/>
      <c r="AV525" s="26"/>
      <c r="AW525" s="26"/>
      <c r="AX525" s="26" t="str">
        <f t="shared" si="24"/>
        <v/>
      </c>
      <c r="AY525" t="str">
        <f t="shared" si="25"/>
        <v/>
      </c>
      <c r="AZ525" t="s">
        <v>200</v>
      </c>
      <c r="BA525" s="3"/>
      <c r="BB525" t="str">
        <f t="shared" si="26"/>
        <v>No scrap rate (No impact);</v>
      </c>
    </row>
    <row r="526" spans="1:54" x14ac:dyDescent="0.3">
      <c r="A526" t="s">
        <v>2053</v>
      </c>
      <c r="B526" t="s">
        <v>2054</v>
      </c>
      <c r="C526" t="s">
        <v>1256</v>
      </c>
      <c r="D526" t="s">
        <v>1257</v>
      </c>
      <c r="G526" t="s">
        <v>433</v>
      </c>
      <c r="H526" t="s">
        <v>434</v>
      </c>
      <c r="J526" t="s">
        <v>1590</v>
      </c>
      <c r="L526">
        <v>0</v>
      </c>
      <c r="M526">
        <v>1.0999999999999999E-2</v>
      </c>
      <c r="N526" t="s">
        <v>198</v>
      </c>
      <c r="O526">
        <v>1.0999999999999999E-2</v>
      </c>
      <c r="P526" t="s">
        <v>198</v>
      </c>
      <c r="Q526" t="s">
        <v>199</v>
      </c>
      <c r="R526" s="3"/>
      <c r="W526" t="s">
        <v>200</v>
      </c>
      <c r="X526" s="25"/>
      <c r="Y526" s="26"/>
      <c r="Z526" s="27"/>
      <c r="AA526" t="s">
        <v>25</v>
      </c>
      <c r="AB526" t="s">
        <v>201</v>
      </c>
      <c r="AC526" s="3"/>
      <c r="AH526" t="s">
        <v>202</v>
      </c>
      <c r="AK526" t="s">
        <v>203</v>
      </c>
      <c r="AP526" t="s">
        <v>200</v>
      </c>
      <c r="AR526" s="25"/>
      <c r="AT526" s="25">
        <v>0</v>
      </c>
      <c r="AU526" s="26"/>
      <c r="AV526" s="26"/>
      <c r="AW526" s="26"/>
      <c r="AX526" s="26" t="str">
        <f t="shared" si="24"/>
        <v/>
      </c>
      <c r="AY526" t="str">
        <f t="shared" si="25"/>
        <v/>
      </c>
      <c r="AZ526" t="s">
        <v>200</v>
      </c>
      <c r="BA526" s="3"/>
      <c r="BB526" t="str">
        <f t="shared" si="26"/>
        <v>No scrap rate (No impact);</v>
      </c>
    </row>
    <row r="527" spans="1:54" x14ac:dyDescent="0.3">
      <c r="A527" t="s">
        <v>2055</v>
      </c>
      <c r="B527" t="s">
        <v>2056</v>
      </c>
      <c r="C527" t="s">
        <v>1256</v>
      </c>
      <c r="D527" t="s">
        <v>1257</v>
      </c>
      <c r="G527" t="s">
        <v>433</v>
      </c>
      <c r="H527" t="s">
        <v>434</v>
      </c>
      <c r="J527" t="s">
        <v>1590</v>
      </c>
      <c r="L527">
        <v>0</v>
      </c>
      <c r="M527">
        <v>1.0999999999999999E-2</v>
      </c>
      <c r="N527" t="s">
        <v>198</v>
      </c>
      <c r="O527">
        <v>1.0999999999999999E-2</v>
      </c>
      <c r="P527" t="s">
        <v>198</v>
      </c>
      <c r="Q527" t="s">
        <v>199</v>
      </c>
      <c r="R527" s="3"/>
      <c r="W527" t="s">
        <v>200</v>
      </c>
      <c r="X527" s="25"/>
      <c r="Y527" s="26"/>
      <c r="Z527" s="27"/>
      <c r="AA527" t="s">
        <v>25</v>
      </c>
      <c r="AB527" t="s">
        <v>201</v>
      </c>
      <c r="AC527" s="3"/>
      <c r="AH527" t="s">
        <v>202</v>
      </c>
      <c r="AK527" t="s">
        <v>203</v>
      </c>
      <c r="AP527" t="s">
        <v>200</v>
      </c>
      <c r="AR527" s="25"/>
      <c r="AT527" s="25">
        <v>0</v>
      </c>
      <c r="AU527" s="26"/>
      <c r="AV527" s="26"/>
      <c r="AW527" s="26"/>
      <c r="AX527" s="26" t="str">
        <f t="shared" si="24"/>
        <v/>
      </c>
      <c r="AY527" t="str">
        <f t="shared" si="25"/>
        <v/>
      </c>
      <c r="AZ527" t="s">
        <v>200</v>
      </c>
      <c r="BA527" s="3"/>
      <c r="BB527" t="str">
        <f t="shared" si="26"/>
        <v>No scrap rate (No impact);</v>
      </c>
    </row>
    <row r="528" spans="1:54" x14ac:dyDescent="0.3">
      <c r="A528" t="s">
        <v>2057</v>
      </c>
      <c r="B528" t="s">
        <v>2058</v>
      </c>
      <c r="C528" t="s">
        <v>1110</v>
      </c>
      <c r="D528" t="s">
        <v>1111</v>
      </c>
      <c r="G528" t="s">
        <v>443</v>
      </c>
      <c r="H528" t="s">
        <v>444</v>
      </c>
      <c r="J528" t="s">
        <v>1089</v>
      </c>
      <c r="L528">
        <v>0</v>
      </c>
      <c r="M528">
        <v>0.84899999999999998</v>
      </c>
      <c r="N528" t="s">
        <v>198</v>
      </c>
      <c r="O528">
        <v>0.84899999999999998</v>
      </c>
      <c r="P528" t="s">
        <v>198</v>
      </c>
      <c r="Q528" t="s">
        <v>199</v>
      </c>
      <c r="R528" s="3"/>
      <c r="W528" t="s">
        <v>200</v>
      </c>
      <c r="X528" s="25"/>
      <c r="Y528" s="26"/>
      <c r="Z528" s="27"/>
      <c r="AA528" t="s">
        <v>25</v>
      </c>
      <c r="AB528" t="s">
        <v>201</v>
      </c>
      <c r="AC528" s="3"/>
      <c r="AH528" t="s">
        <v>202</v>
      </c>
      <c r="AK528" t="s">
        <v>203</v>
      </c>
      <c r="AP528" t="s">
        <v>200</v>
      </c>
      <c r="AR528" s="25"/>
      <c r="AT528" s="25">
        <v>0</v>
      </c>
      <c r="AU528" s="26"/>
      <c r="AV528" s="26"/>
      <c r="AW528" s="26"/>
      <c r="AX528" s="26" t="str">
        <f t="shared" si="24"/>
        <v/>
      </c>
      <c r="AY528" t="str">
        <f t="shared" si="25"/>
        <v/>
      </c>
      <c r="AZ528" t="s">
        <v>200</v>
      </c>
      <c r="BA528" s="3"/>
      <c r="BB528" t="str">
        <f t="shared" si="26"/>
        <v>No scrap rate (No impact);</v>
      </c>
    </row>
    <row r="529" spans="1:54" x14ac:dyDescent="0.3">
      <c r="A529" t="s">
        <v>2059</v>
      </c>
      <c r="B529" t="s">
        <v>2060</v>
      </c>
      <c r="C529" t="s">
        <v>946</v>
      </c>
      <c r="D529" t="s">
        <v>947</v>
      </c>
      <c r="G529" t="s">
        <v>443</v>
      </c>
      <c r="H529" t="s">
        <v>444</v>
      </c>
      <c r="J529" t="s">
        <v>926</v>
      </c>
      <c r="L529">
        <v>0</v>
      </c>
      <c r="M529">
        <v>0.1</v>
      </c>
      <c r="N529" t="s">
        <v>198</v>
      </c>
      <c r="O529">
        <v>0.1</v>
      </c>
      <c r="P529" t="s">
        <v>198</v>
      </c>
      <c r="Q529" t="s">
        <v>199</v>
      </c>
      <c r="R529" s="3"/>
      <c r="W529" t="s">
        <v>200</v>
      </c>
      <c r="X529" s="25"/>
      <c r="Y529" s="26"/>
      <c r="Z529" s="27"/>
      <c r="AA529" t="s">
        <v>25</v>
      </c>
      <c r="AB529" t="s">
        <v>201</v>
      </c>
      <c r="AC529" s="3"/>
      <c r="AH529" t="s">
        <v>202</v>
      </c>
      <c r="AK529" t="s">
        <v>203</v>
      </c>
      <c r="AP529" t="s">
        <v>200</v>
      </c>
      <c r="AR529" s="25"/>
      <c r="AT529" s="25">
        <v>0</v>
      </c>
      <c r="AU529" s="26"/>
      <c r="AV529" s="26"/>
      <c r="AW529" s="26"/>
      <c r="AX529" s="26" t="str">
        <f t="shared" si="24"/>
        <v/>
      </c>
      <c r="AY529" t="str">
        <f t="shared" si="25"/>
        <v/>
      </c>
      <c r="AZ529" t="s">
        <v>200</v>
      </c>
      <c r="BA529" s="3"/>
      <c r="BB529" t="str">
        <f t="shared" si="26"/>
        <v>No scrap rate (No impact);</v>
      </c>
    </row>
    <row r="530" spans="1:54" x14ac:dyDescent="0.3">
      <c r="A530" t="s">
        <v>2061</v>
      </c>
      <c r="B530" t="s">
        <v>2062</v>
      </c>
      <c r="C530" t="s">
        <v>946</v>
      </c>
      <c r="D530" t="s">
        <v>947</v>
      </c>
      <c r="G530" t="s">
        <v>443</v>
      </c>
      <c r="H530" t="s">
        <v>444</v>
      </c>
      <c r="J530" t="s">
        <v>926</v>
      </c>
      <c r="L530">
        <v>0</v>
      </c>
      <c r="M530">
        <v>0.2</v>
      </c>
      <c r="N530" t="s">
        <v>198</v>
      </c>
      <c r="O530">
        <v>0.2</v>
      </c>
      <c r="P530" t="s">
        <v>198</v>
      </c>
      <c r="Q530" t="s">
        <v>199</v>
      </c>
      <c r="R530" s="3"/>
      <c r="W530" t="s">
        <v>200</v>
      </c>
      <c r="X530" s="25"/>
      <c r="Y530" s="26"/>
      <c r="Z530" s="27"/>
      <c r="AA530" t="s">
        <v>25</v>
      </c>
      <c r="AB530" t="s">
        <v>201</v>
      </c>
      <c r="AC530" s="3"/>
      <c r="AH530" t="s">
        <v>202</v>
      </c>
      <c r="AK530" t="s">
        <v>203</v>
      </c>
      <c r="AP530" t="s">
        <v>200</v>
      </c>
      <c r="AR530" s="25"/>
      <c r="AT530" s="25">
        <v>0</v>
      </c>
      <c r="AU530" s="26"/>
      <c r="AV530" s="26"/>
      <c r="AW530" s="26"/>
      <c r="AX530" s="26" t="str">
        <f t="shared" si="24"/>
        <v/>
      </c>
      <c r="AY530" t="str">
        <f t="shared" si="25"/>
        <v/>
      </c>
      <c r="AZ530" t="s">
        <v>200</v>
      </c>
      <c r="BA530" s="3"/>
      <c r="BB530" t="str">
        <f t="shared" si="26"/>
        <v>No scrap rate (No impact);</v>
      </c>
    </row>
    <row r="531" spans="1:54" x14ac:dyDescent="0.3">
      <c r="A531" t="s">
        <v>2063</v>
      </c>
      <c r="B531" t="s">
        <v>2064</v>
      </c>
      <c r="C531" t="s">
        <v>1110</v>
      </c>
      <c r="D531" t="s">
        <v>1111</v>
      </c>
      <c r="G531" t="s">
        <v>443</v>
      </c>
      <c r="H531" t="s">
        <v>444</v>
      </c>
      <c r="J531" t="s">
        <v>1089</v>
      </c>
      <c r="L531">
        <v>0</v>
      </c>
      <c r="M531">
        <v>0.224</v>
      </c>
      <c r="N531" t="s">
        <v>198</v>
      </c>
      <c r="O531">
        <v>0.224</v>
      </c>
      <c r="P531" t="s">
        <v>198</v>
      </c>
      <c r="Q531" t="s">
        <v>199</v>
      </c>
      <c r="R531" s="3"/>
      <c r="W531" t="s">
        <v>200</v>
      </c>
      <c r="X531" s="25"/>
      <c r="Y531" s="26"/>
      <c r="Z531" s="27"/>
      <c r="AA531" t="s">
        <v>25</v>
      </c>
      <c r="AB531" t="s">
        <v>201</v>
      </c>
      <c r="AC531" s="3"/>
      <c r="AH531" t="s">
        <v>202</v>
      </c>
      <c r="AK531" t="s">
        <v>203</v>
      </c>
      <c r="AP531" t="s">
        <v>200</v>
      </c>
      <c r="AR531" s="25"/>
      <c r="AT531" s="25">
        <v>0</v>
      </c>
      <c r="AU531" s="26"/>
      <c r="AV531" s="26"/>
      <c r="AW531" s="26"/>
      <c r="AX531" s="26" t="str">
        <f t="shared" si="24"/>
        <v/>
      </c>
      <c r="AY531" t="str">
        <f t="shared" si="25"/>
        <v/>
      </c>
      <c r="AZ531" t="s">
        <v>200</v>
      </c>
      <c r="BA531" s="3"/>
      <c r="BB531" t="str">
        <f t="shared" si="26"/>
        <v>No scrap rate (No impact);</v>
      </c>
    </row>
    <row r="532" spans="1:54" x14ac:dyDescent="0.3">
      <c r="A532" t="s">
        <v>2065</v>
      </c>
      <c r="B532" t="s">
        <v>2066</v>
      </c>
      <c r="C532" t="s">
        <v>946</v>
      </c>
      <c r="D532" t="s">
        <v>947</v>
      </c>
      <c r="G532" t="s">
        <v>443</v>
      </c>
      <c r="H532" t="s">
        <v>444</v>
      </c>
      <c r="J532" t="s">
        <v>926</v>
      </c>
      <c r="L532">
        <v>0</v>
      </c>
      <c r="M532">
        <v>0.253</v>
      </c>
      <c r="N532" t="s">
        <v>198</v>
      </c>
      <c r="O532">
        <v>0.253</v>
      </c>
      <c r="P532" t="s">
        <v>198</v>
      </c>
      <c r="Q532" t="s">
        <v>199</v>
      </c>
      <c r="R532" s="3"/>
      <c r="W532" t="s">
        <v>200</v>
      </c>
      <c r="X532" s="25"/>
      <c r="Y532" s="26"/>
      <c r="Z532" s="27"/>
      <c r="AA532" t="s">
        <v>25</v>
      </c>
      <c r="AB532" t="s">
        <v>201</v>
      </c>
      <c r="AC532" s="3"/>
      <c r="AH532" t="s">
        <v>202</v>
      </c>
      <c r="AK532" t="s">
        <v>203</v>
      </c>
      <c r="AP532" t="s">
        <v>200</v>
      </c>
      <c r="AR532" s="25"/>
      <c r="AT532" s="25">
        <v>0</v>
      </c>
      <c r="AU532" s="26"/>
      <c r="AV532" s="26"/>
      <c r="AW532" s="26"/>
      <c r="AX532" s="26" t="str">
        <f t="shared" si="24"/>
        <v/>
      </c>
      <c r="AY532" t="str">
        <f t="shared" si="25"/>
        <v/>
      </c>
      <c r="AZ532" t="s">
        <v>200</v>
      </c>
      <c r="BA532" s="3"/>
      <c r="BB532" t="str">
        <f t="shared" si="26"/>
        <v>No scrap rate (No impact);</v>
      </c>
    </row>
    <row r="533" spans="1:54" x14ac:dyDescent="0.3">
      <c r="A533" t="s">
        <v>2067</v>
      </c>
      <c r="B533" t="s">
        <v>2068</v>
      </c>
      <c r="C533" t="s">
        <v>946</v>
      </c>
      <c r="D533" t="s">
        <v>947</v>
      </c>
      <c r="G533" t="s">
        <v>443</v>
      </c>
      <c r="H533" t="s">
        <v>444</v>
      </c>
      <c r="J533" t="s">
        <v>926</v>
      </c>
      <c r="L533">
        <v>0</v>
      </c>
      <c r="M533">
        <v>0.253</v>
      </c>
      <c r="N533" t="s">
        <v>198</v>
      </c>
      <c r="O533">
        <v>0.253</v>
      </c>
      <c r="P533" t="s">
        <v>198</v>
      </c>
      <c r="Q533" t="s">
        <v>199</v>
      </c>
      <c r="R533" s="3"/>
      <c r="W533" t="s">
        <v>200</v>
      </c>
      <c r="X533" s="25"/>
      <c r="Y533" s="26"/>
      <c r="Z533" s="27"/>
      <c r="AA533" t="s">
        <v>25</v>
      </c>
      <c r="AB533" t="s">
        <v>201</v>
      </c>
      <c r="AC533" s="3"/>
      <c r="AH533" t="s">
        <v>202</v>
      </c>
      <c r="AK533" t="s">
        <v>203</v>
      </c>
      <c r="AP533" t="s">
        <v>200</v>
      </c>
      <c r="AR533" s="25"/>
      <c r="AT533" s="25">
        <v>0</v>
      </c>
      <c r="AU533" s="26"/>
      <c r="AV533" s="26"/>
      <c r="AW533" s="26"/>
      <c r="AX533" s="26" t="str">
        <f t="shared" si="24"/>
        <v/>
      </c>
      <c r="AY533" t="str">
        <f t="shared" si="25"/>
        <v/>
      </c>
      <c r="AZ533" t="s">
        <v>200</v>
      </c>
      <c r="BA533" s="3"/>
      <c r="BB533" t="str">
        <f t="shared" si="26"/>
        <v>No scrap rate (No impact);</v>
      </c>
    </row>
    <row r="534" spans="1:54" x14ac:dyDescent="0.3">
      <c r="A534" t="s">
        <v>2069</v>
      </c>
      <c r="B534" t="s">
        <v>2070</v>
      </c>
      <c r="C534" t="s">
        <v>1110</v>
      </c>
      <c r="D534" t="s">
        <v>1111</v>
      </c>
      <c r="G534" t="s">
        <v>1633</v>
      </c>
      <c r="H534" t="s">
        <v>1634</v>
      </c>
      <c r="J534" t="s">
        <v>926</v>
      </c>
      <c r="L534">
        <v>1</v>
      </c>
      <c r="M534">
        <v>0.106</v>
      </c>
      <c r="N534" t="s">
        <v>198</v>
      </c>
      <c r="O534">
        <v>0.106</v>
      </c>
      <c r="P534" t="s">
        <v>198</v>
      </c>
      <c r="Q534" t="s">
        <v>199</v>
      </c>
      <c r="R534" s="3"/>
      <c r="W534" t="s">
        <v>200</v>
      </c>
      <c r="X534" s="25"/>
      <c r="Y534" s="26"/>
      <c r="Z534" s="27"/>
      <c r="AA534" t="s">
        <v>25</v>
      </c>
      <c r="AB534" t="s">
        <v>201</v>
      </c>
      <c r="AC534" s="3"/>
      <c r="AH534" t="s">
        <v>202</v>
      </c>
      <c r="AK534" t="s">
        <v>203</v>
      </c>
      <c r="AP534" t="s">
        <v>200</v>
      </c>
      <c r="AR534" s="25"/>
      <c r="AT534" s="25">
        <v>0</v>
      </c>
      <c r="AU534" s="26"/>
      <c r="AV534" s="26"/>
      <c r="AW534" s="26"/>
      <c r="AX534" s="26" t="str">
        <f t="shared" si="24"/>
        <v/>
      </c>
      <c r="AY534" t="str">
        <f t="shared" si="25"/>
        <v/>
      </c>
      <c r="AZ534" t="s">
        <v>200</v>
      </c>
      <c r="BA534" s="3"/>
      <c r="BB534" t="str">
        <f t="shared" si="26"/>
        <v>No scrap rate (No impact);</v>
      </c>
    </row>
    <row r="535" spans="1:54" x14ac:dyDescent="0.3">
      <c r="A535" t="s">
        <v>2071</v>
      </c>
      <c r="B535" t="s">
        <v>2072</v>
      </c>
      <c r="C535" t="s">
        <v>1256</v>
      </c>
      <c r="D535" t="s">
        <v>1257</v>
      </c>
      <c r="G535" t="s">
        <v>1565</v>
      </c>
      <c r="H535" t="s">
        <v>421</v>
      </c>
      <c r="J535" t="s">
        <v>1590</v>
      </c>
      <c r="L535">
        <v>0</v>
      </c>
      <c r="M535">
        <v>3.0000000000000001E-3</v>
      </c>
      <c r="N535" t="s">
        <v>198</v>
      </c>
      <c r="O535">
        <v>3.0000000000000001E-3</v>
      </c>
      <c r="P535" t="s">
        <v>198</v>
      </c>
      <c r="Q535" t="s">
        <v>199</v>
      </c>
      <c r="R535" s="3"/>
      <c r="W535" t="s">
        <v>200</v>
      </c>
      <c r="X535" s="25"/>
      <c r="Y535" s="26"/>
      <c r="Z535" s="27"/>
      <c r="AA535" t="s">
        <v>25</v>
      </c>
      <c r="AB535" t="s">
        <v>201</v>
      </c>
      <c r="AC535" s="3"/>
      <c r="AH535" t="s">
        <v>202</v>
      </c>
      <c r="AK535" t="s">
        <v>203</v>
      </c>
      <c r="AP535" t="s">
        <v>200</v>
      </c>
      <c r="AR535" s="25"/>
      <c r="AT535" s="25">
        <v>0</v>
      </c>
      <c r="AU535" s="26"/>
      <c r="AV535" s="26"/>
      <c r="AW535" s="26"/>
      <c r="AX535" s="26" t="str">
        <f t="shared" si="24"/>
        <v/>
      </c>
      <c r="AY535" t="str">
        <f t="shared" si="25"/>
        <v/>
      </c>
      <c r="AZ535" t="s">
        <v>200</v>
      </c>
      <c r="BA535" s="3"/>
      <c r="BB535" t="str">
        <f t="shared" si="26"/>
        <v>No scrap rate (No impact);</v>
      </c>
    </row>
    <row r="536" spans="1:54" x14ac:dyDescent="0.3">
      <c r="A536" t="s">
        <v>2073</v>
      </c>
      <c r="B536" t="s">
        <v>2074</v>
      </c>
      <c r="C536" t="s">
        <v>1110</v>
      </c>
      <c r="D536" t="s">
        <v>1111</v>
      </c>
      <c r="G536" t="s">
        <v>1633</v>
      </c>
      <c r="H536" t="s">
        <v>1634</v>
      </c>
      <c r="J536" t="s">
        <v>926</v>
      </c>
      <c r="L536">
        <v>1</v>
      </c>
      <c r="M536">
        <v>0.106</v>
      </c>
      <c r="N536" t="s">
        <v>198</v>
      </c>
      <c r="O536">
        <v>0.106</v>
      </c>
      <c r="P536" t="s">
        <v>198</v>
      </c>
      <c r="Q536" t="s">
        <v>199</v>
      </c>
      <c r="R536" s="3"/>
      <c r="W536" t="s">
        <v>200</v>
      </c>
      <c r="X536" s="25"/>
      <c r="Y536" s="26"/>
      <c r="Z536" s="27"/>
      <c r="AA536" t="s">
        <v>25</v>
      </c>
      <c r="AB536" t="s">
        <v>201</v>
      </c>
      <c r="AC536" s="3"/>
      <c r="AH536" t="s">
        <v>202</v>
      </c>
      <c r="AK536" t="s">
        <v>203</v>
      </c>
      <c r="AP536" t="s">
        <v>200</v>
      </c>
      <c r="AR536" s="25"/>
      <c r="AT536" s="25">
        <v>0</v>
      </c>
      <c r="AU536" s="26"/>
      <c r="AV536" s="26"/>
      <c r="AW536" s="26"/>
      <c r="AX536" s="26" t="str">
        <f t="shared" si="24"/>
        <v/>
      </c>
      <c r="AY536" t="str">
        <f t="shared" si="25"/>
        <v/>
      </c>
      <c r="AZ536" t="s">
        <v>200</v>
      </c>
      <c r="BA536" s="3"/>
      <c r="BB536" t="str">
        <f t="shared" si="26"/>
        <v>No scrap rate (No impact);</v>
      </c>
    </row>
    <row r="537" spans="1:54" x14ac:dyDescent="0.3">
      <c r="A537" t="s">
        <v>2075</v>
      </c>
      <c r="B537" t="s">
        <v>2076</v>
      </c>
      <c r="C537" t="s">
        <v>1256</v>
      </c>
      <c r="D537" t="s">
        <v>1257</v>
      </c>
      <c r="G537" t="s">
        <v>529</v>
      </c>
      <c r="H537" t="s">
        <v>530</v>
      </c>
      <c r="J537" t="s">
        <v>1590</v>
      </c>
      <c r="L537">
        <v>0</v>
      </c>
      <c r="M537">
        <v>3.0000000000000001E-3</v>
      </c>
      <c r="N537" t="s">
        <v>198</v>
      </c>
      <c r="O537">
        <v>3.0000000000000001E-3</v>
      </c>
      <c r="P537" t="s">
        <v>198</v>
      </c>
      <c r="Q537" t="s">
        <v>199</v>
      </c>
      <c r="R537" s="3"/>
      <c r="W537" t="s">
        <v>200</v>
      </c>
      <c r="X537" s="25"/>
      <c r="Y537" s="26"/>
      <c r="Z537" s="27"/>
      <c r="AA537" t="s">
        <v>25</v>
      </c>
      <c r="AB537" t="s">
        <v>201</v>
      </c>
      <c r="AC537" s="3"/>
      <c r="AH537" t="s">
        <v>202</v>
      </c>
      <c r="AK537" t="s">
        <v>203</v>
      </c>
      <c r="AP537" t="s">
        <v>200</v>
      </c>
      <c r="AR537" s="25"/>
      <c r="AT537" s="25">
        <v>0</v>
      </c>
      <c r="AU537" s="26"/>
      <c r="AV537" s="26"/>
      <c r="AW537" s="26"/>
      <c r="AX537" s="26" t="str">
        <f t="shared" si="24"/>
        <v/>
      </c>
      <c r="AY537" t="str">
        <f t="shared" si="25"/>
        <v/>
      </c>
      <c r="AZ537" t="s">
        <v>200</v>
      </c>
      <c r="BA537" s="3"/>
      <c r="BB537" t="str">
        <f t="shared" si="26"/>
        <v>No scrap rate (No impact);</v>
      </c>
    </row>
    <row r="538" spans="1:54" x14ac:dyDescent="0.3">
      <c r="A538" t="s">
        <v>2077</v>
      </c>
      <c r="B538" t="s">
        <v>2078</v>
      </c>
      <c r="C538" t="s">
        <v>1110</v>
      </c>
      <c r="D538" t="s">
        <v>1111</v>
      </c>
      <c r="G538" t="s">
        <v>1633</v>
      </c>
      <c r="H538" t="s">
        <v>1634</v>
      </c>
      <c r="J538" t="s">
        <v>926</v>
      </c>
      <c r="L538">
        <v>1</v>
      </c>
      <c r="M538">
        <v>0.106</v>
      </c>
      <c r="N538" t="s">
        <v>198</v>
      </c>
      <c r="O538">
        <v>0.106</v>
      </c>
      <c r="P538" t="s">
        <v>198</v>
      </c>
      <c r="Q538" t="s">
        <v>199</v>
      </c>
      <c r="R538" s="3"/>
      <c r="W538" t="s">
        <v>200</v>
      </c>
      <c r="X538" s="25"/>
      <c r="Y538" s="26"/>
      <c r="Z538" s="27"/>
      <c r="AA538" t="s">
        <v>25</v>
      </c>
      <c r="AB538" t="s">
        <v>201</v>
      </c>
      <c r="AC538" s="3"/>
      <c r="AH538" t="s">
        <v>202</v>
      </c>
      <c r="AK538" t="s">
        <v>203</v>
      </c>
      <c r="AP538" t="s">
        <v>200</v>
      </c>
      <c r="AR538" s="25"/>
      <c r="AT538" s="25">
        <v>0</v>
      </c>
      <c r="AU538" s="26"/>
      <c r="AV538" s="26"/>
      <c r="AW538" s="26"/>
      <c r="AX538" s="26" t="str">
        <f t="shared" si="24"/>
        <v/>
      </c>
      <c r="AY538" t="str">
        <f t="shared" si="25"/>
        <v/>
      </c>
      <c r="AZ538" t="s">
        <v>200</v>
      </c>
      <c r="BA538" s="3"/>
      <c r="BB538" t="str">
        <f t="shared" si="26"/>
        <v>No scrap rate (No impact);</v>
      </c>
    </row>
    <row r="539" spans="1:54" x14ac:dyDescent="0.3">
      <c r="A539" t="s">
        <v>2079</v>
      </c>
      <c r="B539" t="s">
        <v>2080</v>
      </c>
      <c r="C539" t="s">
        <v>1256</v>
      </c>
      <c r="D539" t="s">
        <v>1257</v>
      </c>
      <c r="G539" t="s">
        <v>529</v>
      </c>
      <c r="H539" t="s">
        <v>530</v>
      </c>
      <c r="J539" t="s">
        <v>1590</v>
      </c>
      <c r="L539">
        <v>0</v>
      </c>
      <c r="M539">
        <v>3.0000000000000001E-3</v>
      </c>
      <c r="N539" t="s">
        <v>198</v>
      </c>
      <c r="O539">
        <v>3.0000000000000001E-3</v>
      </c>
      <c r="P539" t="s">
        <v>198</v>
      </c>
      <c r="Q539" t="s">
        <v>199</v>
      </c>
      <c r="R539" s="3"/>
      <c r="W539" t="s">
        <v>200</v>
      </c>
      <c r="X539" s="25"/>
      <c r="Y539" s="26"/>
      <c r="Z539" s="27"/>
      <c r="AA539" t="s">
        <v>25</v>
      </c>
      <c r="AB539" t="s">
        <v>201</v>
      </c>
      <c r="AC539" s="3"/>
      <c r="AH539" t="s">
        <v>202</v>
      </c>
      <c r="AK539" t="s">
        <v>203</v>
      </c>
      <c r="AP539" t="s">
        <v>200</v>
      </c>
      <c r="AR539" s="25"/>
      <c r="AT539" s="25">
        <v>0</v>
      </c>
      <c r="AU539" s="26"/>
      <c r="AV539" s="26"/>
      <c r="AW539" s="26"/>
      <c r="AX539" s="26" t="str">
        <f t="shared" si="24"/>
        <v/>
      </c>
      <c r="AY539" t="str">
        <f t="shared" si="25"/>
        <v/>
      </c>
      <c r="AZ539" t="s">
        <v>200</v>
      </c>
      <c r="BA539" s="3"/>
      <c r="BB539" t="str">
        <f t="shared" si="26"/>
        <v>No scrap rate (No impact);</v>
      </c>
    </row>
    <row r="540" spans="1:54" x14ac:dyDescent="0.3">
      <c r="A540" t="s">
        <v>2081</v>
      </c>
      <c r="B540" t="s">
        <v>2082</v>
      </c>
      <c r="C540" t="s">
        <v>1110</v>
      </c>
      <c r="D540" t="s">
        <v>1111</v>
      </c>
      <c r="G540" t="s">
        <v>1633</v>
      </c>
      <c r="H540" t="s">
        <v>1634</v>
      </c>
      <c r="J540" t="s">
        <v>926</v>
      </c>
      <c r="L540">
        <v>0</v>
      </c>
      <c r="M540">
        <v>0.106</v>
      </c>
      <c r="N540" t="s">
        <v>198</v>
      </c>
      <c r="O540">
        <v>0.106</v>
      </c>
      <c r="P540" t="s">
        <v>198</v>
      </c>
      <c r="Q540" t="s">
        <v>199</v>
      </c>
      <c r="R540" s="3"/>
      <c r="W540" t="s">
        <v>200</v>
      </c>
      <c r="X540" s="25"/>
      <c r="Y540" s="26"/>
      <c r="Z540" s="27"/>
      <c r="AA540" t="s">
        <v>25</v>
      </c>
      <c r="AB540" t="s">
        <v>201</v>
      </c>
      <c r="AC540" s="3"/>
      <c r="AH540" t="s">
        <v>202</v>
      </c>
      <c r="AK540" t="s">
        <v>203</v>
      </c>
      <c r="AP540" t="s">
        <v>200</v>
      </c>
      <c r="AR540" s="25"/>
      <c r="AT540" s="25">
        <v>0</v>
      </c>
      <c r="AU540" s="26"/>
      <c r="AV540" s="26"/>
      <c r="AW540" s="26"/>
      <c r="AX540" s="26" t="str">
        <f t="shared" si="24"/>
        <v/>
      </c>
      <c r="AY540" t="str">
        <f t="shared" si="25"/>
        <v/>
      </c>
      <c r="AZ540" t="s">
        <v>200</v>
      </c>
      <c r="BA540" s="3"/>
      <c r="BB540" t="str">
        <f t="shared" si="26"/>
        <v>No scrap rate (No impact);</v>
      </c>
    </row>
    <row r="541" spans="1:54" x14ac:dyDescent="0.3">
      <c r="A541" t="s">
        <v>2083</v>
      </c>
      <c r="B541" t="s">
        <v>2084</v>
      </c>
      <c r="C541" t="s">
        <v>1256</v>
      </c>
      <c r="D541" t="s">
        <v>1257</v>
      </c>
      <c r="G541" t="s">
        <v>529</v>
      </c>
      <c r="H541" t="s">
        <v>530</v>
      </c>
      <c r="J541" t="s">
        <v>1590</v>
      </c>
      <c r="L541">
        <v>0</v>
      </c>
      <c r="M541">
        <v>3.0000000000000001E-3</v>
      </c>
      <c r="N541" t="s">
        <v>198</v>
      </c>
      <c r="O541">
        <v>3.0000000000000001E-3</v>
      </c>
      <c r="P541" t="s">
        <v>198</v>
      </c>
      <c r="Q541" t="s">
        <v>199</v>
      </c>
      <c r="R541" s="3"/>
      <c r="W541" t="s">
        <v>200</v>
      </c>
      <c r="X541" s="25"/>
      <c r="Y541" s="26"/>
      <c r="Z541" s="27"/>
      <c r="AA541" t="s">
        <v>25</v>
      </c>
      <c r="AB541" t="s">
        <v>201</v>
      </c>
      <c r="AC541" s="3"/>
      <c r="AH541" t="s">
        <v>202</v>
      </c>
      <c r="AK541" t="s">
        <v>203</v>
      </c>
      <c r="AP541" t="s">
        <v>200</v>
      </c>
      <c r="AR541" s="25"/>
      <c r="AT541" s="25">
        <v>0</v>
      </c>
      <c r="AU541" s="26"/>
      <c r="AV541" s="26"/>
      <c r="AW541" s="26"/>
      <c r="AX541" s="26" t="str">
        <f t="shared" si="24"/>
        <v/>
      </c>
      <c r="AY541" t="str">
        <f t="shared" si="25"/>
        <v/>
      </c>
      <c r="AZ541" t="s">
        <v>200</v>
      </c>
      <c r="BA541" s="3"/>
      <c r="BB541" t="str">
        <f t="shared" si="26"/>
        <v>No scrap rate (No impact);</v>
      </c>
    </row>
    <row r="542" spans="1:54" x14ac:dyDescent="0.3">
      <c r="A542" t="s">
        <v>2085</v>
      </c>
      <c r="B542" t="s">
        <v>2086</v>
      </c>
      <c r="C542" t="s">
        <v>1256</v>
      </c>
      <c r="D542" t="s">
        <v>1257</v>
      </c>
      <c r="G542" t="s">
        <v>575</v>
      </c>
      <c r="H542" t="s">
        <v>576</v>
      </c>
      <c r="J542" t="s">
        <v>1590</v>
      </c>
      <c r="L542">
        <v>0</v>
      </c>
      <c r="M542">
        <v>1.9E-2</v>
      </c>
      <c r="N542" t="s">
        <v>198</v>
      </c>
      <c r="O542">
        <v>1.9E-2</v>
      </c>
      <c r="P542" t="s">
        <v>198</v>
      </c>
      <c r="Q542" t="s">
        <v>199</v>
      </c>
      <c r="R542" s="3"/>
      <c r="W542" t="s">
        <v>200</v>
      </c>
      <c r="X542" s="25"/>
      <c r="Y542" s="26"/>
      <c r="Z542" s="27"/>
      <c r="AA542" t="s">
        <v>25</v>
      </c>
      <c r="AB542" t="s">
        <v>201</v>
      </c>
      <c r="AC542" s="3"/>
      <c r="AH542" t="s">
        <v>202</v>
      </c>
      <c r="AK542" t="s">
        <v>203</v>
      </c>
      <c r="AP542" t="s">
        <v>200</v>
      </c>
      <c r="AR542" s="25"/>
      <c r="AT542" s="25">
        <v>0</v>
      </c>
      <c r="AU542" s="26"/>
      <c r="AV542" s="26"/>
      <c r="AW542" s="26"/>
      <c r="AX542" s="26" t="str">
        <f t="shared" si="24"/>
        <v/>
      </c>
      <c r="AY542" t="str">
        <f t="shared" si="25"/>
        <v/>
      </c>
      <c r="AZ542" t="s">
        <v>200</v>
      </c>
      <c r="BA542" s="3"/>
      <c r="BB542" t="str">
        <f t="shared" si="26"/>
        <v>No scrap rate (No impact);</v>
      </c>
    </row>
    <row r="543" spans="1:54" x14ac:dyDescent="0.3">
      <c r="A543" t="s">
        <v>2087</v>
      </c>
      <c r="B543" t="s">
        <v>2088</v>
      </c>
      <c r="C543" t="s">
        <v>1110</v>
      </c>
      <c r="D543" t="s">
        <v>1111</v>
      </c>
      <c r="G543" t="s">
        <v>575</v>
      </c>
      <c r="H543" t="s">
        <v>576</v>
      </c>
      <c r="J543" t="s">
        <v>1089</v>
      </c>
      <c r="L543">
        <v>0</v>
      </c>
      <c r="M543">
        <v>1.7000000000000001E-2</v>
      </c>
      <c r="N543" t="s">
        <v>198</v>
      </c>
      <c r="O543">
        <v>1.7000000000000001E-2</v>
      </c>
      <c r="P543" t="s">
        <v>198</v>
      </c>
      <c r="Q543" t="s">
        <v>199</v>
      </c>
      <c r="R543" s="3"/>
      <c r="W543" t="s">
        <v>200</v>
      </c>
      <c r="X543" s="25"/>
      <c r="Y543" s="26"/>
      <c r="Z543" s="27"/>
      <c r="AA543" t="s">
        <v>25</v>
      </c>
      <c r="AB543" t="s">
        <v>201</v>
      </c>
      <c r="AC543" s="3"/>
      <c r="AH543" t="s">
        <v>202</v>
      </c>
      <c r="AK543" t="s">
        <v>203</v>
      </c>
      <c r="AP543" t="s">
        <v>200</v>
      </c>
      <c r="AR543" s="25"/>
      <c r="AT543" s="25">
        <v>0</v>
      </c>
      <c r="AU543" s="26"/>
      <c r="AV543" s="26"/>
      <c r="AW543" s="26"/>
      <c r="AX543" s="26" t="str">
        <f t="shared" si="24"/>
        <v/>
      </c>
      <c r="AY543" t="str">
        <f t="shared" si="25"/>
        <v/>
      </c>
      <c r="AZ543" t="s">
        <v>200</v>
      </c>
      <c r="BA543" s="3"/>
      <c r="BB543" t="str">
        <f t="shared" si="26"/>
        <v>No scrap rate (No impact);</v>
      </c>
    </row>
    <row r="544" spans="1:54" x14ac:dyDescent="0.3">
      <c r="A544" t="s">
        <v>2089</v>
      </c>
      <c r="B544" t="s">
        <v>2090</v>
      </c>
      <c r="C544" t="s">
        <v>1256</v>
      </c>
      <c r="D544" t="s">
        <v>1257</v>
      </c>
      <c r="G544" t="s">
        <v>575</v>
      </c>
      <c r="H544" t="s">
        <v>576</v>
      </c>
      <c r="J544" t="s">
        <v>1590</v>
      </c>
      <c r="L544">
        <v>0</v>
      </c>
      <c r="M544">
        <v>4.0000000000000001E-3</v>
      </c>
      <c r="N544" t="s">
        <v>198</v>
      </c>
      <c r="O544">
        <v>4.0000000000000001E-3</v>
      </c>
      <c r="P544" t="s">
        <v>198</v>
      </c>
      <c r="Q544" t="s">
        <v>199</v>
      </c>
      <c r="R544" s="3"/>
      <c r="W544" t="s">
        <v>200</v>
      </c>
      <c r="X544" s="25"/>
      <c r="Y544" s="26"/>
      <c r="Z544" s="27"/>
      <c r="AA544" t="s">
        <v>25</v>
      </c>
      <c r="AB544" t="s">
        <v>201</v>
      </c>
      <c r="AC544" s="3"/>
      <c r="AH544" t="s">
        <v>202</v>
      </c>
      <c r="AK544" t="s">
        <v>203</v>
      </c>
      <c r="AP544" t="s">
        <v>200</v>
      </c>
      <c r="AR544" s="25"/>
      <c r="AT544" s="25">
        <v>0</v>
      </c>
      <c r="AU544" s="26"/>
      <c r="AV544" s="26"/>
      <c r="AW544" s="26"/>
      <c r="AX544" s="26" t="str">
        <f t="shared" si="24"/>
        <v/>
      </c>
      <c r="AY544" t="str">
        <f t="shared" si="25"/>
        <v/>
      </c>
      <c r="AZ544" t="s">
        <v>200</v>
      </c>
      <c r="BA544" s="3"/>
      <c r="BB544" t="str">
        <f t="shared" si="26"/>
        <v>No scrap rate (No impact);</v>
      </c>
    </row>
    <row r="545" spans="1:54" x14ac:dyDescent="0.3">
      <c r="A545" t="s">
        <v>2091</v>
      </c>
      <c r="B545" t="s">
        <v>2092</v>
      </c>
      <c r="C545" t="s">
        <v>1110</v>
      </c>
      <c r="D545" t="s">
        <v>1111</v>
      </c>
      <c r="G545" t="s">
        <v>575</v>
      </c>
      <c r="H545" t="s">
        <v>576</v>
      </c>
      <c r="J545" t="s">
        <v>1089</v>
      </c>
      <c r="L545">
        <v>0</v>
      </c>
      <c r="M545">
        <v>0.17199999999999999</v>
      </c>
      <c r="N545" t="s">
        <v>198</v>
      </c>
      <c r="O545">
        <v>0.17199999999999999</v>
      </c>
      <c r="P545" t="s">
        <v>198</v>
      </c>
      <c r="Q545" t="s">
        <v>199</v>
      </c>
      <c r="R545" s="3"/>
      <c r="W545" t="s">
        <v>200</v>
      </c>
      <c r="X545" s="25"/>
      <c r="Y545" s="26"/>
      <c r="Z545" s="27"/>
      <c r="AA545" t="s">
        <v>25</v>
      </c>
      <c r="AB545" t="s">
        <v>201</v>
      </c>
      <c r="AC545" s="3"/>
      <c r="AH545" t="s">
        <v>202</v>
      </c>
      <c r="AK545" t="s">
        <v>203</v>
      </c>
      <c r="AP545" t="s">
        <v>200</v>
      </c>
      <c r="AR545" s="25"/>
      <c r="AT545" s="25">
        <v>0</v>
      </c>
      <c r="AU545" s="26"/>
      <c r="AV545" s="26"/>
      <c r="AW545" s="26"/>
      <c r="AX545" s="26" t="str">
        <f t="shared" si="24"/>
        <v/>
      </c>
      <c r="AY545" t="str">
        <f t="shared" si="25"/>
        <v/>
      </c>
      <c r="AZ545" t="s">
        <v>200</v>
      </c>
      <c r="BA545" s="3"/>
      <c r="BB545" t="str">
        <f t="shared" si="26"/>
        <v>No scrap rate (No impact);</v>
      </c>
    </row>
    <row r="546" spans="1:54" x14ac:dyDescent="0.3">
      <c r="A546" t="s">
        <v>2093</v>
      </c>
      <c r="B546" t="s">
        <v>2094</v>
      </c>
      <c r="C546" t="s">
        <v>1256</v>
      </c>
      <c r="D546" t="s">
        <v>1257</v>
      </c>
      <c r="G546" t="s">
        <v>575</v>
      </c>
      <c r="H546" t="s">
        <v>576</v>
      </c>
      <c r="J546" t="s">
        <v>1590</v>
      </c>
      <c r="L546">
        <v>0</v>
      </c>
      <c r="M546">
        <v>4.0000000000000001E-3</v>
      </c>
      <c r="N546" t="s">
        <v>198</v>
      </c>
      <c r="O546">
        <v>4.0000000000000001E-3</v>
      </c>
      <c r="P546" t="s">
        <v>198</v>
      </c>
      <c r="Q546" t="s">
        <v>199</v>
      </c>
      <c r="R546" s="3"/>
      <c r="W546" t="s">
        <v>200</v>
      </c>
      <c r="X546" s="25"/>
      <c r="Y546" s="26"/>
      <c r="Z546" s="27"/>
      <c r="AA546" t="s">
        <v>25</v>
      </c>
      <c r="AB546" t="s">
        <v>201</v>
      </c>
      <c r="AC546" s="3"/>
      <c r="AH546" t="s">
        <v>202</v>
      </c>
      <c r="AK546" t="s">
        <v>203</v>
      </c>
      <c r="AP546" t="s">
        <v>200</v>
      </c>
      <c r="AR546" s="25"/>
      <c r="AT546" s="25">
        <v>0</v>
      </c>
      <c r="AU546" s="26"/>
      <c r="AV546" s="26"/>
      <c r="AW546" s="26"/>
      <c r="AX546" s="26" t="str">
        <f t="shared" si="24"/>
        <v/>
      </c>
      <c r="AY546" t="str">
        <f t="shared" si="25"/>
        <v/>
      </c>
      <c r="AZ546" t="s">
        <v>200</v>
      </c>
      <c r="BA546" s="3"/>
      <c r="BB546" t="str">
        <f t="shared" si="26"/>
        <v>No scrap rate (No impact);</v>
      </c>
    </row>
    <row r="547" spans="1:54" x14ac:dyDescent="0.3">
      <c r="A547" t="s">
        <v>2095</v>
      </c>
      <c r="B547" t="s">
        <v>2096</v>
      </c>
      <c r="C547" t="s">
        <v>966</v>
      </c>
      <c r="D547" t="s">
        <v>967</v>
      </c>
      <c r="G547" t="s">
        <v>575</v>
      </c>
      <c r="H547" t="s">
        <v>576</v>
      </c>
      <c r="J547" t="s">
        <v>1007</v>
      </c>
      <c r="L547">
        <v>0</v>
      </c>
      <c r="M547">
        <v>2E-3</v>
      </c>
      <c r="N547" t="s">
        <v>198</v>
      </c>
      <c r="O547">
        <v>2E-3</v>
      </c>
      <c r="P547" t="s">
        <v>198</v>
      </c>
      <c r="Q547" t="s">
        <v>199</v>
      </c>
      <c r="R547" s="3"/>
      <c r="W547" t="s">
        <v>200</v>
      </c>
      <c r="X547" s="25"/>
      <c r="Y547" s="26"/>
      <c r="Z547" s="27"/>
      <c r="AA547" t="s">
        <v>25</v>
      </c>
      <c r="AB547" t="s">
        <v>201</v>
      </c>
      <c r="AC547" s="3"/>
      <c r="AH547" t="s">
        <v>202</v>
      </c>
      <c r="AK547" t="s">
        <v>203</v>
      </c>
      <c r="AP547" t="s">
        <v>200</v>
      </c>
      <c r="AR547" s="25"/>
      <c r="AT547" s="25">
        <v>0</v>
      </c>
      <c r="AU547" s="26"/>
      <c r="AV547" s="26"/>
      <c r="AW547" s="26"/>
      <c r="AX547" s="26" t="str">
        <f t="shared" si="24"/>
        <v/>
      </c>
      <c r="AY547" t="str">
        <f t="shared" si="25"/>
        <v/>
      </c>
      <c r="AZ547" t="s">
        <v>200</v>
      </c>
      <c r="BA547" s="3"/>
      <c r="BB547" t="str">
        <f t="shared" si="26"/>
        <v>No scrap rate (No impact);</v>
      </c>
    </row>
    <row r="548" spans="1:54" x14ac:dyDescent="0.3">
      <c r="A548" t="s">
        <v>2097</v>
      </c>
      <c r="B548" t="s">
        <v>2098</v>
      </c>
      <c r="C548" t="s">
        <v>1256</v>
      </c>
      <c r="D548" t="s">
        <v>1257</v>
      </c>
      <c r="G548" t="s">
        <v>288</v>
      </c>
      <c r="H548" t="s">
        <v>289</v>
      </c>
      <c r="J548" t="s">
        <v>1590</v>
      </c>
      <c r="L548">
        <v>0</v>
      </c>
      <c r="M548">
        <v>1E-3</v>
      </c>
      <c r="N548" t="s">
        <v>198</v>
      </c>
      <c r="O548">
        <v>1E-3</v>
      </c>
      <c r="P548" t="s">
        <v>198</v>
      </c>
      <c r="Q548" t="s">
        <v>199</v>
      </c>
      <c r="R548" s="3"/>
      <c r="W548" t="s">
        <v>200</v>
      </c>
      <c r="X548" s="25"/>
      <c r="Y548" s="26"/>
      <c r="Z548" s="27"/>
      <c r="AA548" t="s">
        <v>25</v>
      </c>
      <c r="AB548" t="s">
        <v>201</v>
      </c>
      <c r="AC548" s="3"/>
      <c r="AH548" t="s">
        <v>202</v>
      </c>
      <c r="AK548" t="s">
        <v>203</v>
      </c>
      <c r="AP548" t="s">
        <v>200</v>
      </c>
      <c r="AR548" s="25"/>
      <c r="AT548" s="25">
        <v>0</v>
      </c>
      <c r="AU548" s="26"/>
      <c r="AV548" s="26"/>
      <c r="AW548" s="26"/>
      <c r="AX548" s="26" t="str">
        <f t="shared" si="24"/>
        <v/>
      </c>
      <c r="AY548" t="str">
        <f t="shared" si="25"/>
        <v/>
      </c>
      <c r="AZ548" t="s">
        <v>200</v>
      </c>
      <c r="BA548" s="3"/>
      <c r="BB548" t="str">
        <f t="shared" si="26"/>
        <v>No scrap rate (No impact);</v>
      </c>
    </row>
    <row r="549" spans="1:54" x14ac:dyDescent="0.3">
      <c r="A549" t="s">
        <v>2099</v>
      </c>
      <c r="B549" t="s">
        <v>2100</v>
      </c>
      <c r="C549" t="s">
        <v>1256</v>
      </c>
      <c r="D549" t="s">
        <v>1257</v>
      </c>
      <c r="G549" t="s">
        <v>288</v>
      </c>
      <c r="H549" t="s">
        <v>289</v>
      </c>
      <c r="J549" t="s">
        <v>1590</v>
      </c>
      <c r="L549">
        <v>0</v>
      </c>
      <c r="M549">
        <v>1E-3</v>
      </c>
      <c r="N549" t="s">
        <v>198</v>
      </c>
      <c r="O549">
        <v>1E-3</v>
      </c>
      <c r="P549" t="s">
        <v>198</v>
      </c>
      <c r="Q549" t="s">
        <v>199</v>
      </c>
      <c r="R549" s="3"/>
      <c r="W549" t="s">
        <v>200</v>
      </c>
      <c r="X549" s="25"/>
      <c r="Y549" s="26"/>
      <c r="Z549" s="27"/>
      <c r="AA549" t="s">
        <v>25</v>
      </c>
      <c r="AB549" t="s">
        <v>201</v>
      </c>
      <c r="AC549" s="3"/>
      <c r="AH549" t="s">
        <v>202</v>
      </c>
      <c r="AK549" t="s">
        <v>203</v>
      </c>
      <c r="AP549" t="s">
        <v>200</v>
      </c>
      <c r="AR549" s="25"/>
      <c r="AT549" s="25">
        <v>0</v>
      </c>
      <c r="AU549" s="26"/>
      <c r="AV549" s="26"/>
      <c r="AW549" s="26"/>
      <c r="AX549" s="26" t="str">
        <f t="shared" si="24"/>
        <v/>
      </c>
      <c r="AY549" t="str">
        <f t="shared" si="25"/>
        <v/>
      </c>
      <c r="AZ549" t="s">
        <v>200</v>
      </c>
      <c r="BA549" s="3"/>
      <c r="BB549" t="str">
        <f t="shared" si="26"/>
        <v>No scrap rate (No impact);</v>
      </c>
    </row>
    <row r="550" spans="1:54" x14ac:dyDescent="0.3">
      <c r="A550" t="s">
        <v>2101</v>
      </c>
      <c r="B550" t="s">
        <v>2102</v>
      </c>
      <c r="C550" t="s">
        <v>1110</v>
      </c>
      <c r="D550" t="s">
        <v>1111</v>
      </c>
      <c r="G550" t="s">
        <v>288</v>
      </c>
      <c r="H550" t="s">
        <v>289</v>
      </c>
      <c r="J550" t="s">
        <v>926</v>
      </c>
      <c r="L550">
        <v>0</v>
      </c>
      <c r="M550">
        <v>0.02</v>
      </c>
      <c r="N550" t="s">
        <v>198</v>
      </c>
      <c r="O550">
        <v>0.02</v>
      </c>
      <c r="P550" t="s">
        <v>198</v>
      </c>
      <c r="Q550" t="s">
        <v>199</v>
      </c>
      <c r="R550" s="3"/>
      <c r="W550" t="s">
        <v>200</v>
      </c>
      <c r="X550" s="25"/>
      <c r="Y550" s="26"/>
      <c r="Z550" s="27"/>
      <c r="AA550" t="s">
        <v>25</v>
      </c>
      <c r="AB550" t="s">
        <v>201</v>
      </c>
      <c r="AC550" s="3"/>
      <c r="AH550" t="s">
        <v>202</v>
      </c>
      <c r="AK550" t="s">
        <v>203</v>
      </c>
      <c r="AP550" t="s">
        <v>200</v>
      </c>
      <c r="AR550" s="25"/>
      <c r="AT550" s="25">
        <v>0</v>
      </c>
      <c r="AU550" s="26"/>
      <c r="AV550" s="26"/>
      <c r="AW550" s="26"/>
      <c r="AX550" s="26" t="str">
        <f t="shared" si="24"/>
        <v/>
      </c>
      <c r="AY550" t="str">
        <f t="shared" si="25"/>
        <v/>
      </c>
      <c r="AZ550" t="s">
        <v>200</v>
      </c>
      <c r="BA550" s="3"/>
      <c r="BB550" t="str">
        <f t="shared" si="26"/>
        <v>No scrap rate (No impact);</v>
      </c>
    </row>
    <row r="551" spans="1:54" x14ac:dyDescent="0.3">
      <c r="A551" t="s">
        <v>2103</v>
      </c>
      <c r="B551" t="s">
        <v>2104</v>
      </c>
      <c r="C551" t="s">
        <v>1256</v>
      </c>
      <c r="D551" t="s">
        <v>1257</v>
      </c>
      <c r="G551" t="s">
        <v>288</v>
      </c>
      <c r="H551" t="s">
        <v>289</v>
      </c>
      <c r="J551" t="s">
        <v>1590</v>
      </c>
      <c r="L551">
        <v>0</v>
      </c>
      <c r="M551">
        <v>1E-3</v>
      </c>
      <c r="N551" t="s">
        <v>198</v>
      </c>
      <c r="O551">
        <v>1E-3</v>
      </c>
      <c r="P551" t="s">
        <v>198</v>
      </c>
      <c r="Q551" t="s">
        <v>199</v>
      </c>
      <c r="R551" s="3"/>
      <c r="W551" t="s">
        <v>200</v>
      </c>
      <c r="X551" s="25"/>
      <c r="Y551" s="26"/>
      <c r="Z551" s="27"/>
      <c r="AA551" t="s">
        <v>25</v>
      </c>
      <c r="AB551" t="s">
        <v>201</v>
      </c>
      <c r="AC551" s="3"/>
      <c r="AH551" t="s">
        <v>202</v>
      </c>
      <c r="AK551" t="s">
        <v>203</v>
      </c>
      <c r="AP551" t="s">
        <v>200</v>
      </c>
      <c r="AR551" s="25"/>
      <c r="AT551" s="25">
        <v>0</v>
      </c>
      <c r="AU551" s="26"/>
      <c r="AV551" s="26"/>
      <c r="AW551" s="26"/>
      <c r="AX551" s="26" t="str">
        <f t="shared" si="24"/>
        <v/>
      </c>
      <c r="AY551" t="str">
        <f t="shared" si="25"/>
        <v/>
      </c>
      <c r="AZ551" t="s">
        <v>200</v>
      </c>
      <c r="BA551" s="3"/>
      <c r="BB551" t="str">
        <f t="shared" si="26"/>
        <v>No scrap rate (No impact);</v>
      </c>
    </row>
    <row r="552" spans="1:54" x14ac:dyDescent="0.3">
      <c r="A552" t="s">
        <v>2105</v>
      </c>
      <c r="B552" t="s">
        <v>2106</v>
      </c>
      <c r="C552" t="s">
        <v>1256</v>
      </c>
      <c r="D552" t="s">
        <v>1257</v>
      </c>
      <c r="G552" t="s">
        <v>288</v>
      </c>
      <c r="H552" t="s">
        <v>289</v>
      </c>
      <c r="J552" t="s">
        <v>1590</v>
      </c>
      <c r="L552">
        <v>0</v>
      </c>
      <c r="M552">
        <v>1E-3</v>
      </c>
      <c r="N552" t="s">
        <v>198</v>
      </c>
      <c r="O552">
        <v>1E-3</v>
      </c>
      <c r="P552" t="s">
        <v>198</v>
      </c>
      <c r="Q552" t="s">
        <v>199</v>
      </c>
      <c r="R552" s="3"/>
      <c r="W552" t="s">
        <v>200</v>
      </c>
      <c r="X552" s="25"/>
      <c r="Y552" s="26"/>
      <c r="Z552" s="27"/>
      <c r="AA552" t="s">
        <v>25</v>
      </c>
      <c r="AB552" t="s">
        <v>201</v>
      </c>
      <c r="AC552" s="3"/>
      <c r="AH552" t="s">
        <v>202</v>
      </c>
      <c r="AK552" t="s">
        <v>203</v>
      </c>
      <c r="AP552" t="s">
        <v>200</v>
      </c>
      <c r="AR552" s="25"/>
      <c r="AT552" s="25">
        <v>0</v>
      </c>
      <c r="AU552" s="26"/>
      <c r="AV552" s="26"/>
      <c r="AW552" s="26"/>
      <c r="AX552" s="26" t="str">
        <f t="shared" si="24"/>
        <v/>
      </c>
      <c r="AY552" t="str">
        <f t="shared" si="25"/>
        <v/>
      </c>
      <c r="AZ552" t="s">
        <v>200</v>
      </c>
      <c r="BA552" s="3"/>
      <c r="BB552" t="str">
        <f t="shared" si="26"/>
        <v>No scrap rate (No impact);</v>
      </c>
    </row>
    <row r="553" spans="1:54" x14ac:dyDescent="0.3">
      <c r="A553" t="s">
        <v>2107</v>
      </c>
      <c r="B553" t="s">
        <v>2108</v>
      </c>
      <c r="C553" t="s">
        <v>1256</v>
      </c>
      <c r="D553" t="s">
        <v>1257</v>
      </c>
      <c r="G553" t="s">
        <v>288</v>
      </c>
      <c r="H553" t="s">
        <v>289</v>
      </c>
      <c r="J553" t="s">
        <v>1590</v>
      </c>
      <c r="L553">
        <v>0</v>
      </c>
      <c r="M553">
        <v>3.0000000000000001E-3</v>
      </c>
      <c r="N553" t="s">
        <v>198</v>
      </c>
      <c r="O553">
        <v>3.0000000000000001E-3</v>
      </c>
      <c r="P553" t="s">
        <v>198</v>
      </c>
      <c r="Q553" t="s">
        <v>199</v>
      </c>
      <c r="R553" s="3"/>
      <c r="W553" t="s">
        <v>200</v>
      </c>
      <c r="X553" s="25"/>
      <c r="Y553" s="26"/>
      <c r="Z553" s="27"/>
      <c r="AA553" t="s">
        <v>25</v>
      </c>
      <c r="AB553" t="s">
        <v>201</v>
      </c>
      <c r="AC553" s="3"/>
      <c r="AH553" t="s">
        <v>202</v>
      </c>
      <c r="AK553" t="s">
        <v>203</v>
      </c>
      <c r="AP553" t="s">
        <v>200</v>
      </c>
      <c r="AR553" s="25"/>
      <c r="AT553" s="25">
        <v>0</v>
      </c>
      <c r="AU553" s="26"/>
      <c r="AV553" s="26"/>
      <c r="AW553" s="26"/>
      <c r="AX553" s="26" t="str">
        <f t="shared" si="24"/>
        <v/>
      </c>
      <c r="AY553" t="str">
        <f t="shared" si="25"/>
        <v/>
      </c>
      <c r="AZ553" t="s">
        <v>200</v>
      </c>
      <c r="BA553" s="3"/>
      <c r="BB553" t="str">
        <f t="shared" si="26"/>
        <v>No scrap rate (No impact);</v>
      </c>
    </row>
    <row r="554" spans="1:54" x14ac:dyDescent="0.3">
      <c r="A554" t="s">
        <v>2109</v>
      </c>
      <c r="B554" t="s">
        <v>2110</v>
      </c>
      <c r="C554" t="s">
        <v>1110</v>
      </c>
      <c r="D554" t="s">
        <v>1111</v>
      </c>
      <c r="G554" t="s">
        <v>288</v>
      </c>
      <c r="H554" t="s">
        <v>289</v>
      </c>
      <c r="J554" t="s">
        <v>1089</v>
      </c>
      <c r="L554">
        <v>0</v>
      </c>
      <c r="M554">
        <v>2.5000000000000001E-2</v>
      </c>
      <c r="N554" t="s">
        <v>198</v>
      </c>
      <c r="O554">
        <v>2.5000000000000001E-2</v>
      </c>
      <c r="P554" t="s">
        <v>198</v>
      </c>
      <c r="Q554" t="s">
        <v>199</v>
      </c>
      <c r="R554" s="3"/>
      <c r="W554" t="s">
        <v>200</v>
      </c>
      <c r="X554" s="25"/>
      <c r="Y554" s="26"/>
      <c r="Z554" s="27"/>
      <c r="AA554" t="s">
        <v>25</v>
      </c>
      <c r="AB554" t="s">
        <v>201</v>
      </c>
      <c r="AC554" s="3"/>
      <c r="AH554" t="s">
        <v>202</v>
      </c>
      <c r="AK554" t="s">
        <v>203</v>
      </c>
      <c r="AP554" t="s">
        <v>200</v>
      </c>
      <c r="AR554" s="25"/>
      <c r="AT554" s="25">
        <v>0</v>
      </c>
      <c r="AU554" s="26"/>
      <c r="AV554" s="26"/>
      <c r="AW554" s="26"/>
      <c r="AX554" s="26" t="str">
        <f t="shared" si="24"/>
        <v/>
      </c>
      <c r="AY554" t="str">
        <f t="shared" si="25"/>
        <v/>
      </c>
      <c r="AZ554" t="s">
        <v>200</v>
      </c>
      <c r="BA554" s="3"/>
      <c r="BB554" t="str">
        <f t="shared" si="26"/>
        <v>No scrap rate (No impact);</v>
      </c>
    </row>
    <row r="555" spans="1:54" x14ac:dyDescent="0.3">
      <c r="A555" t="s">
        <v>2111</v>
      </c>
      <c r="B555" t="s">
        <v>2112</v>
      </c>
      <c r="C555" t="s">
        <v>1256</v>
      </c>
      <c r="D555" t="s">
        <v>1257</v>
      </c>
      <c r="G555" t="s">
        <v>288</v>
      </c>
      <c r="H555" t="s">
        <v>289</v>
      </c>
      <c r="J555" t="s">
        <v>1590</v>
      </c>
      <c r="L555">
        <v>0</v>
      </c>
      <c r="M555">
        <v>3.0000000000000001E-3</v>
      </c>
      <c r="N555" t="s">
        <v>198</v>
      </c>
      <c r="O555">
        <v>3.0000000000000001E-3</v>
      </c>
      <c r="P555" t="s">
        <v>198</v>
      </c>
      <c r="Q555" t="s">
        <v>199</v>
      </c>
      <c r="R555" s="3"/>
      <c r="W555" t="s">
        <v>200</v>
      </c>
      <c r="X555" s="25"/>
      <c r="Y555" s="26"/>
      <c r="Z555" s="27"/>
      <c r="AA555" t="s">
        <v>25</v>
      </c>
      <c r="AB555" t="s">
        <v>201</v>
      </c>
      <c r="AC555" s="3"/>
      <c r="AH555" t="s">
        <v>202</v>
      </c>
      <c r="AK555" t="s">
        <v>203</v>
      </c>
      <c r="AP555" t="s">
        <v>200</v>
      </c>
      <c r="AR555" s="25"/>
      <c r="AT555" s="25">
        <v>0</v>
      </c>
      <c r="AU555" s="26"/>
      <c r="AV555" s="26"/>
      <c r="AW555" s="26"/>
      <c r="AX555" s="26" t="str">
        <f t="shared" si="24"/>
        <v/>
      </c>
      <c r="AY555" t="str">
        <f t="shared" si="25"/>
        <v/>
      </c>
      <c r="AZ555" t="s">
        <v>200</v>
      </c>
      <c r="BA555" s="3"/>
      <c r="BB555" t="str">
        <f t="shared" si="26"/>
        <v>No scrap rate (No impact);</v>
      </c>
    </row>
    <row r="556" spans="1:54" x14ac:dyDescent="0.3">
      <c r="A556" t="s">
        <v>2113</v>
      </c>
      <c r="B556" t="s">
        <v>2114</v>
      </c>
      <c r="C556" t="s">
        <v>946</v>
      </c>
      <c r="D556" t="s">
        <v>947</v>
      </c>
      <c r="G556" t="s">
        <v>288</v>
      </c>
      <c r="H556" t="s">
        <v>289</v>
      </c>
      <c r="J556" t="s">
        <v>926</v>
      </c>
      <c r="L556">
        <v>0</v>
      </c>
      <c r="M556">
        <v>0.253</v>
      </c>
      <c r="N556" t="s">
        <v>198</v>
      </c>
      <c r="O556">
        <v>0.253</v>
      </c>
      <c r="P556" t="s">
        <v>198</v>
      </c>
      <c r="Q556" t="s">
        <v>199</v>
      </c>
      <c r="R556" s="3"/>
      <c r="W556" t="s">
        <v>200</v>
      </c>
      <c r="X556" s="25"/>
      <c r="Y556" s="26"/>
      <c r="Z556" s="27"/>
      <c r="AA556" t="s">
        <v>25</v>
      </c>
      <c r="AB556" t="s">
        <v>201</v>
      </c>
      <c r="AC556" s="3"/>
      <c r="AH556" t="s">
        <v>202</v>
      </c>
      <c r="AK556" t="s">
        <v>203</v>
      </c>
      <c r="AP556" t="s">
        <v>200</v>
      </c>
      <c r="AR556" s="25"/>
      <c r="AT556" s="25">
        <v>0</v>
      </c>
      <c r="AU556" s="26"/>
      <c r="AV556" s="26"/>
      <c r="AW556" s="26"/>
      <c r="AX556" s="26" t="str">
        <f t="shared" si="24"/>
        <v/>
      </c>
      <c r="AY556" t="str">
        <f t="shared" si="25"/>
        <v/>
      </c>
      <c r="AZ556" t="s">
        <v>200</v>
      </c>
      <c r="BA556" s="3"/>
      <c r="BB556" t="str">
        <f t="shared" si="26"/>
        <v>No scrap rate (No impact);</v>
      </c>
    </row>
    <row r="557" spans="1:54" x14ac:dyDescent="0.3">
      <c r="A557" t="s">
        <v>2115</v>
      </c>
      <c r="B557" t="s">
        <v>2116</v>
      </c>
      <c r="C557" t="s">
        <v>1256</v>
      </c>
      <c r="D557" t="s">
        <v>1257</v>
      </c>
      <c r="G557" t="s">
        <v>1615</v>
      </c>
      <c r="H557" t="s">
        <v>1616</v>
      </c>
      <c r="J557" t="s">
        <v>1046</v>
      </c>
      <c r="L557">
        <v>0</v>
      </c>
      <c r="M557">
        <v>4.2000000000000003E-2</v>
      </c>
      <c r="N557" t="s">
        <v>198</v>
      </c>
      <c r="O557">
        <v>4.2000000000000003E-2</v>
      </c>
      <c r="P557" t="s">
        <v>198</v>
      </c>
      <c r="Q557" t="s">
        <v>199</v>
      </c>
      <c r="R557" s="3"/>
      <c r="W557" t="s">
        <v>200</v>
      </c>
      <c r="X557" s="25"/>
      <c r="Y557" s="26"/>
      <c r="Z557" s="27"/>
      <c r="AA557" t="s">
        <v>25</v>
      </c>
      <c r="AB557" t="s">
        <v>201</v>
      </c>
      <c r="AC557" s="3"/>
      <c r="AH557" t="s">
        <v>202</v>
      </c>
      <c r="AK557" t="s">
        <v>203</v>
      </c>
      <c r="AP557" t="s">
        <v>200</v>
      </c>
      <c r="AR557" s="25"/>
      <c r="AT557" s="25">
        <v>0</v>
      </c>
      <c r="AU557" s="26"/>
      <c r="AV557" s="26"/>
      <c r="AW557" s="26"/>
      <c r="AX557" s="26" t="str">
        <f t="shared" si="24"/>
        <v/>
      </c>
      <c r="AY557" t="str">
        <f t="shared" si="25"/>
        <v/>
      </c>
      <c r="AZ557" t="s">
        <v>200</v>
      </c>
      <c r="BA557" s="3"/>
      <c r="BB557" t="str">
        <f t="shared" si="26"/>
        <v>No scrap rate (No impact);</v>
      </c>
    </row>
    <row r="558" spans="1:54" x14ac:dyDescent="0.3">
      <c r="A558" t="s">
        <v>2117</v>
      </c>
      <c r="B558" t="s">
        <v>2118</v>
      </c>
      <c r="C558" t="s">
        <v>1256</v>
      </c>
      <c r="D558" t="s">
        <v>1257</v>
      </c>
      <c r="G558" t="s">
        <v>1615</v>
      </c>
      <c r="H558" t="s">
        <v>1616</v>
      </c>
      <c r="J558" t="s">
        <v>1046</v>
      </c>
      <c r="L558">
        <v>0</v>
      </c>
      <c r="M558">
        <v>8.9999999999999993E-3</v>
      </c>
      <c r="N558" t="s">
        <v>198</v>
      </c>
      <c r="O558">
        <v>8.9999999999999993E-3</v>
      </c>
      <c r="P558" t="s">
        <v>198</v>
      </c>
      <c r="Q558" t="s">
        <v>199</v>
      </c>
      <c r="R558" s="3"/>
      <c r="W558" t="s">
        <v>200</v>
      </c>
      <c r="X558" s="25"/>
      <c r="Y558" s="26"/>
      <c r="Z558" s="27"/>
      <c r="AA558" t="s">
        <v>25</v>
      </c>
      <c r="AB558" t="s">
        <v>201</v>
      </c>
      <c r="AC558" s="3"/>
      <c r="AH558" t="s">
        <v>202</v>
      </c>
      <c r="AK558" t="s">
        <v>203</v>
      </c>
      <c r="AP558" t="s">
        <v>200</v>
      </c>
      <c r="AR558" s="25"/>
      <c r="AT558" s="25">
        <v>0</v>
      </c>
      <c r="AU558" s="26"/>
      <c r="AV558" s="26"/>
      <c r="AW558" s="26"/>
      <c r="AX558" s="26" t="str">
        <f t="shared" si="24"/>
        <v/>
      </c>
      <c r="AY558" t="str">
        <f t="shared" si="25"/>
        <v/>
      </c>
      <c r="AZ558" t="s">
        <v>200</v>
      </c>
      <c r="BA558" s="3"/>
      <c r="BB558" t="str">
        <f t="shared" si="26"/>
        <v>No scrap rate (No impact);</v>
      </c>
    </row>
    <row r="559" spans="1:54" x14ac:dyDescent="0.3">
      <c r="A559" t="s">
        <v>2119</v>
      </c>
      <c r="B559" t="s">
        <v>2120</v>
      </c>
      <c r="C559" t="s">
        <v>1256</v>
      </c>
      <c r="D559" t="s">
        <v>1257</v>
      </c>
      <c r="G559" t="s">
        <v>2121</v>
      </c>
      <c r="H559" t="s">
        <v>389</v>
      </c>
      <c r="J559" t="s">
        <v>1590</v>
      </c>
      <c r="L559">
        <v>0</v>
      </c>
      <c r="M559">
        <v>4.0000000000000001E-3</v>
      </c>
      <c r="N559" t="s">
        <v>198</v>
      </c>
      <c r="O559">
        <v>4.0000000000000001E-3</v>
      </c>
      <c r="P559" t="s">
        <v>198</v>
      </c>
      <c r="Q559" t="s">
        <v>199</v>
      </c>
      <c r="R559" s="3"/>
      <c r="W559" t="s">
        <v>200</v>
      </c>
      <c r="X559" s="25"/>
      <c r="Y559" s="26"/>
      <c r="Z559" s="27"/>
      <c r="AA559" t="s">
        <v>25</v>
      </c>
      <c r="AB559" t="s">
        <v>201</v>
      </c>
      <c r="AC559" s="3"/>
      <c r="AH559" t="s">
        <v>202</v>
      </c>
      <c r="AK559" t="s">
        <v>203</v>
      </c>
      <c r="AP559" t="s">
        <v>200</v>
      </c>
      <c r="AR559" s="25"/>
      <c r="AT559" s="25">
        <v>0</v>
      </c>
      <c r="AU559" s="26"/>
      <c r="AV559" s="26"/>
      <c r="AW559" s="26"/>
      <c r="AX559" s="26" t="str">
        <f t="shared" si="24"/>
        <v/>
      </c>
      <c r="AY559" t="str">
        <f t="shared" si="25"/>
        <v/>
      </c>
      <c r="AZ559" t="s">
        <v>200</v>
      </c>
      <c r="BA559" s="3"/>
      <c r="BB559" t="str">
        <f t="shared" si="26"/>
        <v>No scrap rate (No impact);</v>
      </c>
    </row>
    <row r="560" spans="1:54" x14ac:dyDescent="0.3">
      <c r="A560" t="s">
        <v>2122</v>
      </c>
      <c r="B560" t="s">
        <v>2123</v>
      </c>
      <c r="C560" t="s">
        <v>1256</v>
      </c>
      <c r="D560" t="s">
        <v>1257</v>
      </c>
      <c r="G560" t="s">
        <v>1615</v>
      </c>
      <c r="H560" t="s">
        <v>1616</v>
      </c>
      <c r="J560" t="s">
        <v>1060</v>
      </c>
      <c r="L560">
        <v>0</v>
      </c>
      <c r="M560">
        <v>1E-3</v>
      </c>
      <c r="N560" t="s">
        <v>198</v>
      </c>
      <c r="O560">
        <v>1E-3</v>
      </c>
      <c r="P560" t="s">
        <v>198</v>
      </c>
      <c r="Q560" t="s">
        <v>199</v>
      </c>
      <c r="R560" s="3"/>
      <c r="W560" t="s">
        <v>200</v>
      </c>
      <c r="X560" s="25"/>
      <c r="Y560" s="26"/>
      <c r="Z560" s="27"/>
      <c r="AA560" t="s">
        <v>25</v>
      </c>
      <c r="AB560" t="s">
        <v>201</v>
      </c>
      <c r="AC560" s="3"/>
      <c r="AH560" t="s">
        <v>202</v>
      </c>
      <c r="AK560" t="s">
        <v>203</v>
      </c>
      <c r="AP560" t="s">
        <v>200</v>
      </c>
      <c r="AR560" s="25"/>
      <c r="AT560" s="25">
        <v>0</v>
      </c>
      <c r="AU560" s="26"/>
      <c r="AV560" s="26"/>
      <c r="AW560" s="26"/>
      <c r="AX560" s="26" t="str">
        <f t="shared" si="24"/>
        <v/>
      </c>
      <c r="AY560" t="str">
        <f t="shared" si="25"/>
        <v/>
      </c>
      <c r="AZ560" t="s">
        <v>200</v>
      </c>
      <c r="BA560" s="3"/>
      <c r="BB560" t="str">
        <f t="shared" si="26"/>
        <v>No scrap rate (No impact);</v>
      </c>
    </row>
    <row r="561" spans="1:54" x14ac:dyDescent="0.3">
      <c r="A561" t="s">
        <v>2124</v>
      </c>
      <c r="B561" t="s">
        <v>2125</v>
      </c>
      <c r="C561" t="s">
        <v>1256</v>
      </c>
      <c r="D561" t="s">
        <v>1257</v>
      </c>
      <c r="G561" t="s">
        <v>1615</v>
      </c>
      <c r="H561" t="s">
        <v>1616</v>
      </c>
      <c r="J561" t="s">
        <v>1046</v>
      </c>
      <c r="L561">
        <v>0</v>
      </c>
      <c r="M561">
        <v>1E-3</v>
      </c>
      <c r="N561" t="s">
        <v>198</v>
      </c>
      <c r="O561">
        <v>1E-3</v>
      </c>
      <c r="P561" t="s">
        <v>198</v>
      </c>
      <c r="Q561" t="s">
        <v>199</v>
      </c>
      <c r="R561" s="3"/>
      <c r="W561" t="s">
        <v>200</v>
      </c>
      <c r="X561" s="25"/>
      <c r="Y561" s="26"/>
      <c r="Z561" s="27"/>
      <c r="AA561" t="s">
        <v>25</v>
      </c>
      <c r="AB561" t="s">
        <v>201</v>
      </c>
      <c r="AC561" s="3"/>
      <c r="AH561" t="s">
        <v>202</v>
      </c>
      <c r="AK561" t="s">
        <v>203</v>
      </c>
      <c r="AP561" t="s">
        <v>200</v>
      </c>
      <c r="AR561" s="25"/>
      <c r="AT561" s="25">
        <v>0</v>
      </c>
      <c r="AU561" s="26"/>
      <c r="AV561" s="26"/>
      <c r="AW561" s="26"/>
      <c r="AX561" s="26" t="str">
        <f t="shared" si="24"/>
        <v/>
      </c>
      <c r="AY561" t="str">
        <f t="shared" si="25"/>
        <v/>
      </c>
      <c r="AZ561" t="s">
        <v>200</v>
      </c>
      <c r="BA561" s="3"/>
      <c r="BB561" t="str">
        <f t="shared" si="26"/>
        <v>No scrap rate (No impact);</v>
      </c>
    </row>
    <row r="562" spans="1:54" x14ac:dyDescent="0.3">
      <c r="A562" t="s">
        <v>2126</v>
      </c>
      <c r="B562" t="s">
        <v>2127</v>
      </c>
      <c r="C562" t="s">
        <v>1256</v>
      </c>
      <c r="D562" t="s">
        <v>1257</v>
      </c>
      <c r="G562" t="s">
        <v>2121</v>
      </c>
      <c r="H562" t="s">
        <v>389</v>
      </c>
      <c r="J562" t="s">
        <v>1590</v>
      </c>
      <c r="L562">
        <v>0</v>
      </c>
      <c r="M562">
        <v>4.0000000000000001E-3</v>
      </c>
      <c r="N562" t="s">
        <v>198</v>
      </c>
      <c r="O562">
        <v>4.0000000000000001E-3</v>
      </c>
      <c r="P562" t="s">
        <v>198</v>
      </c>
      <c r="Q562" t="s">
        <v>199</v>
      </c>
      <c r="R562" s="3"/>
      <c r="W562" t="s">
        <v>200</v>
      </c>
      <c r="X562" s="25"/>
      <c r="Y562" s="26"/>
      <c r="Z562" s="27"/>
      <c r="AA562" t="s">
        <v>25</v>
      </c>
      <c r="AB562" t="s">
        <v>201</v>
      </c>
      <c r="AC562" s="3"/>
      <c r="AH562" t="s">
        <v>202</v>
      </c>
      <c r="AK562" t="s">
        <v>203</v>
      </c>
      <c r="AP562" t="s">
        <v>200</v>
      </c>
      <c r="AR562" s="25"/>
      <c r="AT562" s="25">
        <v>0</v>
      </c>
      <c r="AU562" s="26"/>
      <c r="AV562" s="26"/>
      <c r="AW562" s="26"/>
      <c r="AX562" s="26" t="str">
        <f t="shared" si="24"/>
        <v/>
      </c>
      <c r="AY562" t="str">
        <f t="shared" si="25"/>
        <v/>
      </c>
      <c r="AZ562" t="s">
        <v>200</v>
      </c>
      <c r="BA562" s="3"/>
      <c r="BB562" t="str">
        <f t="shared" si="26"/>
        <v>No scrap rate (No impact);</v>
      </c>
    </row>
    <row r="563" spans="1:54" x14ac:dyDescent="0.3">
      <c r="A563" t="s">
        <v>2128</v>
      </c>
      <c r="B563" t="s">
        <v>2129</v>
      </c>
      <c r="C563" t="s">
        <v>1110</v>
      </c>
      <c r="D563" t="s">
        <v>1111</v>
      </c>
      <c r="G563" t="s">
        <v>288</v>
      </c>
      <c r="H563" t="s">
        <v>289</v>
      </c>
      <c r="J563" t="s">
        <v>1089</v>
      </c>
      <c r="L563">
        <v>0</v>
      </c>
      <c r="M563">
        <v>7.4999999999999997E-2</v>
      </c>
      <c r="N563" t="s">
        <v>198</v>
      </c>
      <c r="O563">
        <v>7.4999999999999997E-2</v>
      </c>
      <c r="P563" t="s">
        <v>198</v>
      </c>
      <c r="Q563" t="s">
        <v>199</v>
      </c>
      <c r="R563" s="3"/>
      <c r="W563" t="s">
        <v>200</v>
      </c>
      <c r="X563" s="25"/>
      <c r="Y563" s="26"/>
      <c r="Z563" s="27"/>
      <c r="AA563" t="s">
        <v>25</v>
      </c>
      <c r="AB563" t="s">
        <v>201</v>
      </c>
      <c r="AC563" s="3"/>
      <c r="AH563" t="s">
        <v>202</v>
      </c>
      <c r="AK563" t="s">
        <v>203</v>
      </c>
      <c r="AP563" t="s">
        <v>200</v>
      </c>
      <c r="AR563" s="25"/>
      <c r="AT563" s="25">
        <v>0</v>
      </c>
      <c r="AU563" s="26"/>
      <c r="AV563" s="26"/>
      <c r="AW563" s="26"/>
      <c r="AX563" s="26" t="str">
        <f t="shared" si="24"/>
        <v/>
      </c>
      <c r="AY563" t="str">
        <f t="shared" si="25"/>
        <v/>
      </c>
      <c r="AZ563" t="s">
        <v>200</v>
      </c>
      <c r="BA563" s="3"/>
      <c r="BB563" t="str">
        <f t="shared" si="26"/>
        <v>No scrap rate (No impact);</v>
      </c>
    </row>
    <row r="564" spans="1:54" x14ac:dyDescent="0.3">
      <c r="A564" t="s">
        <v>2130</v>
      </c>
      <c r="B564" t="s">
        <v>2131</v>
      </c>
      <c r="C564" t="s">
        <v>946</v>
      </c>
      <c r="D564" t="s">
        <v>947</v>
      </c>
      <c r="G564" t="s">
        <v>288</v>
      </c>
      <c r="H564" t="s">
        <v>289</v>
      </c>
      <c r="J564" t="s">
        <v>926</v>
      </c>
      <c r="L564">
        <v>0</v>
      </c>
      <c r="M564">
        <v>0.253</v>
      </c>
      <c r="N564" t="s">
        <v>198</v>
      </c>
      <c r="O564">
        <v>0.253</v>
      </c>
      <c r="P564" t="s">
        <v>198</v>
      </c>
      <c r="Q564" t="s">
        <v>199</v>
      </c>
      <c r="R564" s="3"/>
      <c r="W564" t="s">
        <v>200</v>
      </c>
      <c r="X564" s="25"/>
      <c r="Y564" s="26"/>
      <c r="Z564" s="27"/>
      <c r="AA564" t="s">
        <v>25</v>
      </c>
      <c r="AB564" t="s">
        <v>201</v>
      </c>
      <c r="AC564" s="3"/>
      <c r="AH564" t="s">
        <v>202</v>
      </c>
      <c r="AK564" t="s">
        <v>203</v>
      </c>
      <c r="AP564" t="s">
        <v>200</v>
      </c>
      <c r="AR564" s="25"/>
      <c r="AT564" s="25">
        <v>0</v>
      </c>
      <c r="AU564" s="26"/>
      <c r="AV564" s="26"/>
      <c r="AW564" s="26"/>
      <c r="AX564" s="26" t="str">
        <f t="shared" si="24"/>
        <v/>
      </c>
      <c r="AY564" t="str">
        <f t="shared" si="25"/>
        <v/>
      </c>
      <c r="AZ564" t="s">
        <v>200</v>
      </c>
      <c r="BA564" s="3"/>
      <c r="BB564" t="str">
        <f t="shared" si="26"/>
        <v>No scrap rate (No impact);</v>
      </c>
    </row>
    <row r="565" spans="1:54" x14ac:dyDescent="0.3">
      <c r="A565" t="s">
        <v>2132</v>
      </c>
      <c r="B565" t="s">
        <v>2133</v>
      </c>
      <c r="C565" t="s">
        <v>1256</v>
      </c>
      <c r="D565" t="s">
        <v>1257</v>
      </c>
      <c r="G565" t="s">
        <v>288</v>
      </c>
      <c r="H565" t="s">
        <v>289</v>
      </c>
      <c r="J565" t="s">
        <v>1590</v>
      </c>
      <c r="L565">
        <v>0</v>
      </c>
      <c r="M565">
        <v>1E-3</v>
      </c>
      <c r="N565" t="s">
        <v>198</v>
      </c>
      <c r="O565">
        <v>1E-3</v>
      </c>
      <c r="P565" t="s">
        <v>198</v>
      </c>
      <c r="Q565" t="s">
        <v>199</v>
      </c>
      <c r="R565" s="3"/>
      <c r="W565" t="s">
        <v>200</v>
      </c>
      <c r="X565" s="25"/>
      <c r="Y565" s="26"/>
      <c r="Z565" s="27"/>
      <c r="AA565" t="s">
        <v>25</v>
      </c>
      <c r="AB565" t="s">
        <v>201</v>
      </c>
      <c r="AC565" s="3"/>
      <c r="AH565" t="s">
        <v>202</v>
      </c>
      <c r="AK565" t="s">
        <v>203</v>
      </c>
      <c r="AP565" t="s">
        <v>200</v>
      </c>
      <c r="AR565" s="25"/>
      <c r="AT565" s="25">
        <v>0</v>
      </c>
      <c r="AU565" s="26"/>
      <c r="AV565" s="26"/>
      <c r="AW565" s="26"/>
      <c r="AX565" s="26" t="str">
        <f t="shared" si="24"/>
        <v/>
      </c>
      <c r="AY565" t="str">
        <f t="shared" si="25"/>
        <v/>
      </c>
      <c r="AZ565" t="s">
        <v>200</v>
      </c>
      <c r="BA565" s="3"/>
      <c r="BB565" t="str">
        <f t="shared" si="26"/>
        <v>No scrap rate (No impact);</v>
      </c>
    </row>
    <row r="566" spans="1:54" x14ac:dyDescent="0.3">
      <c r="A566" t="s">
        <v>2134</v>
      </c>
      <c r="B566" t="s">
        <v>2135</v>
      </c>
      <c r="C566" t="s">
        <v>1256</v>
      </c>
      <c r="D566" t="s">
        <v>1257</v>
      </c>
      <c r="G566" t="s">
        <v>288</v>
      </c>
      <c r="H566" t="s">
        <v>289</v>
      </c>
      <c r="J566" t="s">
        <v>1590</v>
      </c>
      <c r="L566">
        <v>0</v>
      </c>
      <c r="M566">
        <v>1E-3</v>
      </c>
      <c r="N566" t="s">
        <v>198</v>
      </c>
      <c r="O566">
        <v>1E-3</v>
      </c>
      <c r="P566" t="s">
        <v>198</v>
      </c>
      <c r="Q566" t="s">
        <v>199</v>
      </c>
      <c r="R566" s="3"/>
      <c r="W566" t="s">
        <v>200</v>
      </c>
      <c r="X566" s="25"/>
      <c r="Y566" s="26"/>
      <c r="Z566" s="27"/>
      <c r="AA566" t="s">
        <v>25</v>
      </c>
      <c r="AB566" t="s">
        <v>201</v>
      </c>
      <c r="AC566" s="3"/>
      <c r="AH566" t="s">
        <v>202</v>
      </c>
      <c r="AK566" t="s">
        <v>203</v>
      </c>
      <c r="AP566" t="s">
        <v>200</v>
      </c>
      <c r="AR566" s="25"/>
      <c r="AT566" s="25">
        <v>0</v>
      </c>
      <c r="AU566" s="26"/>
      <c r="AV566" s="26"/>
      <c r="AW566" s="26"/>
      <c r="AX566" s="26" t="str">
        <f t="shared" si="24"/>
        <v/>
      </c>
      <c r="AY566" t="str">
        <f t="shared" si="25"/>
        <v/>
      </c>
      <c r="AZ566" t="s">
        <v>200</v>
      </c>
      <c r="BA566" s="3"/>
      <c r="BB566" t="str">
        <f t="shared" si="26"/>
        <v>No scrap rate (No impact);</v>
      </c>
    </row>
    <row r="567" spans="1:54" x14ac:dyDescent="0.3">
      <c r="A567" t="s">
        <v>2136</v>
      </c>
      <c r="B567" t="s">
        <v>2137</v>
      </c>
      <c r="C567" t="s">
        <v>1256</v>
      </c>
      <c r="D567" t="s">
        <v>1257</v>
      </c>
      <c r="G567" t="s">
        <v>288</v>
      </c>
      <c r="H567" t="s">
        <v>289</v>
      </c>
      <c r="J567" t="s">
        <v>1590</v>
      </c>
      <c r="L567">
        <v>0</v>
      </c>
      <c r="M567">
        <v>3.0000000000000001E-3</v>
      </c>
      <c r="N567" t="s">
        <v>198</v>
      </c>
      <c r="O567">
        <v>3.0000000000000001E-3</v>
      </c>
      <c r="P567" t="s">
        <v>198</v>
      </c>
      <c r="Q567" t="s">
        <v>199</v>
      </c>
      <c r="R567" s="3"/>
      <c r="W567" t="s">
        <v>200</v>
      </c>
      <c r="X567" s="25"/>
      <c r="Y567" s="26"/>
      <c r="Z567" s="27"/>
      <c r="AA567" t="s">
        <v>25</v>
      </c>
      <c r="AB567" t="s">
        <v>201</v>
      </c>
      <c r="AC567" s="3"/>
      <c r="AH567" t="s">
        <v>202</v>
      </c>
      <c r="AK567" t="s">
        <v>203</v>
      </c>
      <c r="AP567" t="s">
        <v>200</v>
      </c>
      <c r="AR567" s="25"/>
      <c r="AT567" s="25">
        <v>0</v>
      </c>
      <c r="AU567" s="26"/>
      <c r="AV567" s="26"/>
      <c r="AW567" s="26"/>
      <c r="AX567" s="26" t="str">
        <f t="shared" si="24"/>
        <v/>
      </c>
      <c r="AY567" t="str">
        <f t="shared" si="25"/>
        <v/>
      </c>
      <c r="AZ567" t="s">
        <v>200</v>
      </c>
      <c r="BA567" s="3"/>
      <c r="BB567" t="str">
        <f t="shared" si="26"/>
        <v>No scrap rate (No impact);</v>
      </c>
    </row>
    <row r="568" spans="1:54" x14ac:dyDescent="0.3">
      <c r="A568" t="s">
        <v>2138</v>
      </c>
      <c r="B568" t="s">
        <v>2139</v>
      </c>
      <c r="C568" t="s">
        <v>946</v>
      </c>
      <c r="D568" t="s">
        <v>947</v>
      </c>
      <c r="G568" t="s">
        <v>288</v>
      </c>
      <c r="H568" t="s">
        <v>289</v>
      </c>
      <c r="J568" t="s">
        <v>926</v>
      </c>
      <c r="L568">
        <v>0</v>
      </c>
      <c r="M568">
        <v>0</v>
      </c>
      <c r="N568" t="s">
        <v>198</v>
      </c>
      <c r="O568">
        <v>0</v>
      </c>
      <c r="P568" t="s">
        <v>198</v>
      </c>
      <c r="Q568" t="s">
        <v>199</v>
      </c>
      <c r="R568" s="3"/>
      <c r="W568" t="s">
        <v>200</v>
      </c>
      <c r="X568" s="25"/>
      <c r="Y568" s="26"/>
      <c r="Z568" s="27"/>
      <c r="AA568" t="s">
        <v>25</v>
      </c>
      <c r="AB568" t="s">
        <v>201</v>
      </c>
      <c r="AC568" s="3"/>
      <c r="AH568" t="s">
        <v>202</v>
      </c>
      <c r="AK568" t="s">
        <v>203</v>
      </c>
      <c r="AP568" t="s">
        <v>200</v>
      </c>
      <c r="AR568" s="25"/>
      <c r="AT568" s="25">
        <v>0</v>
      </c>
      <c r="AU568" s="26"/>
      <c r="AV568" s="26"/>
      <c r="AW568" s="26"/>
      <c r="AX568" s="26" t="str">
        <f t="shared" si="24"/>
        <v/>
      </c>
      <c r="AY568" t="str">
        <f t="shared" si="25"/>
        <v/>
      </c>
      <c r="AZ568" t="s">
        <v>200</v>
      </c>
      <c r="BA568" s="3"/>
      <c r="BB568" t="str">
        <f t="shared" si="26"/>
        <v>No scrap rate (No impact);</v>
      </c>
    </row>
    <row r="569" spans="1:54" x14ac:dyDescent="0.3">
      <c r="A569" t="s">
        <v>2140</v>
      </c>
      <c r="B569" t="s">
        <v>2141</v>
      </c>
      <c r="C569" t="s">
        <v>1256</v>
      </c>
      <c r="D569" t="s">
        <v>1257</v>
      </c>
      <c r="G569" t="s">
        <v>1731</v>
      </c>
      <c r="H569" t="s">
        <v>1732</v>
      </c>
      <c r="J569" t="s">
        <v>1060</v>
      </c>
      <c r="L569">
        <v>0</v>
      </c>
      <c r="M569">
        <v>5.0000000000000001E-3</v>
      </c>
      <c r="N569" t="s">
        <v>198</v>
      </c>
      <c r="O569">
        <v>5.0000000000000001E-3</v>
      </c>
      <c r="P569" t="s">
        <v>198</v>
      </c>
      <c r="Q569" t="s">
        <v>199</v>
      </c>
      <c r="R569" s="3"/>
      <c r="W569" t="s">
        <v>200</v>
      </c>
      <c r="X569" s="25"/>
      <c r="Y569" s="26"/>
      <c r="Z569" s="27"/>
      <c r="AA569" t="s">
        <v>25</v>
      </c>
      <c r="AB569" t="s">
        <v>201</v>
      </c>
      <c r="AC569" s="3"/>
      <c r="AH569" t="s">
        <v>202</v>
      </c>
      <c r="AK569" t="s">
        <v>203</v>
      </c>
      <c r="AP569" t="s">
        <v>200</v>
      </c>
      <c r="AR569" s="25"/>
      <c r="AT569" s="25">
        <v>0</v>
      </c>
      <c r="AU569" s="26"/>
      <c r="AV569" s="26"/>
      <c r="AW569" s="26"/>
      <c r="AX569" s="26" t="str">
        <f t="shared" si="24"/>
        <v/>
      </c>
      <c r="AY569" t="str">
        <f t="shared" si="25"/>
        <v/>
      </c>
      <c r="AZ569" t="s">
        <v>200</v>
      </c>
      <c r="BA569" s="3"/>
      <c r="BB569" t="str">
        <f t="shared" si="26"/>
        <v>No scrap rate (No impact);</v>
      </c>
    </row>
    <row r="570" spans="1:54" x14ac:dyDescent="0.3">
      <c r="A570" t="s">
        <v>2142</v>
      </c>
      <c r="B570" t="s">
        <v>2143</v>
      </c>
      <c r="C570" t="s">
        <v>1256</v>
      </c>
      <c r="D570" t="s">
        <v>1257</v>
      </c>
      <c r="G570" t="s">
        <v>196</v>
      </c>
      <c r="H570" t="s">
        <v>197</v>
      </c>
      <c r="J570" t="s">
        <v>1590</v>
      </c>
      <c r="L570">
        <v>0</v>
      </c>
      <c r="M570">
        <v>3.0000000000000001E-3</v>
      </c>
      <c r="N570" t="s">
        <v>198</v>
      </c>
      <c r="O570">
        <v>3.0000000000000001E-3</v>
      </c>
      <c r="P570" t="s">
        <v>198</v>
      </c>
      <c r="Q570" t="s">
        <v>199</v>
      </c>
      <c r="R570" s="3"/>
      <c r="W570" t="s">
        <v>200</v>
      </c>
      <c r="X570" s="25"/>
      <c r="Y570" s="26"/>
      <c r="Z570" s="27"/>
      <c r="AA570" t="s">
        <v>25</v>
      </c>
      <c r="AB570" t="s">
        <v>201</v>
      </c>
      <c r="AC570" s="3"/>
      <c r="AH570" t="s">
        <v>202</v>
      </c>
      <c r="AK570" t="s">
        <v>203</v>
      </c>
      <c r="AP570" t="s">
        <v>200</v>
      </c>
      <c r="AR570" s="25"/>
      <c r="AT570" s="25">
        <v>0</v>
      </c>
      <c r="AU570" s="26"/>
      <c r="AV570" s="26"/>
      <c r="AW570" s="26"/>
      <c r="AX570" s="26" t="str">
        <f t="shared" si="24"/>
        <v/>
      </c>
      <c r="AY570" t="str">
        <f t="shared" si="25"/>
        <v/>
      </c>
      <c r="AZ570" t="s">
        <v>200</v>
      </c>
      <c r="BA570" s="3"/>
      <c r="BB570" t="str">
        <f t="shared" si="26"/>
        <v>No scrap rate (No impact);</v>
      </c>
    </row>
    <row r="571" spans="1:54" x14ac:dyDescent="0.3">
      <c r="A571" t="s">
        <v>2144</v>
      </c>
      <c r="B571" t="s">
        <v>2145</v>
      </c>
      <c r="C571" t="s">
        <v>1256</v>
      </c>
      <c r="D571" t="s">
        <v>1257</v>
      </c>
      <c r="G571" t="s">
        <v>1938</v>
      </c>
      <c r="H571" t="s">
        <v>1939</v>
      </c>
      <c r="J571" t="s">
        <v>1046</v>
      </c>
      <c r="L571">
        <v>0</v>
      </c>
      <c r="M571">
        <v>0.01</v>
      </c>
      <c r="N571" t="s">
        <v>198</v>
      </c>
      <c r="O571">
        <v>0.01</v>
      </c>
      <c r="P571" t="s">
        <v>198</v>
      </c>
      <c r="Q571" t="s">
        <v>199</v>
      </c>
      <c r="R571" s="3"/>
      <c r="W571" t="s">
        <v>200</v>
      </c>
      <c r="X571" s="25"/>
      <c r="Y571" s="26"/>
      <c r="Z571" s="27"/>
      <c r="AA571" t="s">
        <v>25</v>
      </c>
      <c r="AB571" t="s">
        <v>201</v>
      </c>
      <c r="AC571" s="3"/>
      <c r="AH571" t="s">
        <v>202</v>
      </c>
      <c r="AK571" t="s">
        <v>203</v>
      </c>
      <c r="AP571" t="s">
        <v>200</v>
      </c>
      <c r="AR571" s="25"/>
      <c r="AT571" s="25">
        <v>0</v>
      </c>
      <c r="AU571" s="26"/>
      <c r="AV571" s="26"/>
      <c r="AW571" s="26"/>
      <c r="AX571" s="26" t="str">
        <f t="shared" si="24"/>
        <v/>
      </c>
      <c r="AY571" t="str">
        <f t="shared" si="25"/>
        <v/>
      </c>
      <c r="AZ571" t="s">
        <v>200</v>
      </c>
      <c r="BA571" s="3"/>
      <c r="BB571" t="str">
        <f t="shared" si="26"/>
        <v>No scrap rate (No impact);</v>
      </c>
    </row>
    <row r="572" spans="1:54" x14ac:dyDescent="0.3">
      <c r="A572" t="s">
        <v>2146</v>
      </c>
      <c r="B572" t="s">
        <v>2147</v>
      </c>
      <c r="C572" t="s">
        <v>1256</v>
      </c>
      <c r="D572" t="s">
        <v>1257</v>
      </c>
      <c r="G572" t="s">
        <v>1938</v>
      </c>
      <c r="H572" t="s">
        <v>1939</v>
      </c>
      <c r="J572" t="s">
        <v>1046</v>
      </c>
      <c r="L572">
        <v>0</v>
      </c>
      <c r="M572">
        <v>0.01</v>
      </c>
      <c r="N572" t="s">
        <v>198</v>
      </c>
      <c r="O572">
        <v>0.01</v>
      </c>
      <c r="P572" t="s">
        <v>198</v>
      </c>
      <c r="Q572" t="s">
        <v>199</v>
      </c>
      <c r="R572" s="3"/>
      <c r="W572" t="s">
        <v>200</v>
      </c>
      <c r="X572" s="25"/>
      <c r="Y572" s="26"/>
      <c r="Z572" s="27"/>
      <c r="AA572" t="s">
        <v>25</v>
      </c>
      <c r="AB572" t="s">
        <v>201</v>
      </c>
      <c r="AC572" s="3"/>
      <c r="AH572" t="s">
        <v>202</v>
      </c>
      <c r="AK572" t="s">
        <v>203</v>
      </c>
      <c r="AP572" t="s">
        <v>200</v>
      </c>
      <c r="AR572" s="25"/>
      <c r="AT572" s="25">
        <v>0</v>
      </c>
      <c r="AU572" s="26"/>
      <c r="AV572" s="26"/>
      <c r="AW572" s="26"/>
      <c r="AX572" s="26" t="str">
        <f t="shared" si="24"/>
        <v/>
      </c>
      <c r="AY572" t="str">
        <f t="shared" si="25"/>
        <v/>
      </c>
      <c r="AZ572" t="s">
        <v>200</v>
      </c>
      <c r="BA572" s="3"/>
      <c r="BB572" t="str">
        <f t="shared" si="26"/>
        <v>No scrap rate (No impact);</v>
      </c>
    </row>
    <row r="573" spans="1:54" x14ac:dyDescent="0.3">
      <c r="A573" t="s">
        <v>2148</v>
      </c>
      <c r="B573" t="s">
        <v>2149</v>
      </c>
      <c r="C573" t="s">
        <v>1256</v>
      </c>
      <c r="D573" t="s">
        <v>1257</v>
      </c>
      <c r="G573" t="s">
        <v>2121</v>
      </c>
      <c r="H573" t="s">
        <v>389</v>
      </c>
      <c r="J573" t="s">
        <v>1590</v>
      </c>
      <c r="L573">
        <v>0</v>
      </c>
      <c r="M573">
        <v>4.0000000000000001E-3</v>
      </c>
      <c r="N573" t="s">
        <v>198</v>
      </c>
      <c r="O573">
        <v>4.0000000000000001E-3</v>
      </c>
      <c r="P573" t="s">
        <v>198</v>
      </c>
      <c r="Q573" t="s">
        <v>199</v>
      </c>
      <c r="R573" s="3"/>
      <c r="W573" t="s">
        <v>200</v>
      </c>
      <c r="X573" s="25"/>
      <c r="Y573" s="26"/>
      <c r="Z573" s="27"/>
      <c r="AA573" t="s">
        <v>25</v>
      </c>
      <c r="AB573" t="s">
        <v>201</v>
      </c>
      <c r="AC573" s="3"/>
      <c r="AH573" t="s">
        <v>202</v>
      </c>
      <c r="AK573" t="s">
        <v>203</v>
      </c>
      <c r="AP573" t="s">
        <v>200</v>
      </c>
      <c r="AR573" s="25"/>
      <c r="AT573" s="25">
        <v>0</v>
      </c>
      <c r="AU573" s="26"/>
      <c r="AV573" s="26"/>
      <c r="AW573" s="26"/>
      <c r="AX573" s="26" t="str">
        <f t="shared" si="24"/>
        <v/>
      </c>
      <c r="AY573" t="str">
        <f t="shared" si="25"/>
        <v/>
      </c>
      <c r="AZ573" t="s">
        <v>200</v>
      </c>
      <c r="BA573" s="3"/>
      <c r="BB573" t="str">
        <f t="shared" si="26"/>
        <v>No scrap rate (No impact);</v>
      </c>
    </row>
    <row r="574" spans="1:54" x14ac:dyDescent="0.3">
      <c r="A574" t="s">
        <v>2150</v>
      </c>
      <c r="B574" t="s">
        <v>2151</v>
      </c>
      <c r="C574" t="s">
        <v>1256</v>
      </c>
      <c r="D574" t="s">
        <v>1257</v>
      </c>
      <c r="G574" t="s">
        <v>1938</v>
      </c>
      <c r="H574" t="s">
        <v>1939</v>
      </c>
      <c r="L574">
        <v>0</v>
      </c>
      <c r="M574">
        <v>0</v>
      </c>
      <c r="N574" t="s">
        <v>198</v>
      </c>
      <c r="O574">
        <v>0</v>
      </c>
      <c r="P574" t="s">
        <v>198</v>
      </c>
      <c r="Q574" t="s">
        <v>199</v>
      </c>
      <c r="R574" s="3"/>
      <c r="W574" t="s">
        <v>200</v>
      </c>
      <c r="X574" s="25"/>
      <c r="Y574" s="26"/>
      <c r="Z574" s="27"/>
      <c r="AA574" t="s">
        <v>25</v>
      </c>
      <c r="AB574" t="s">
        <v>201</v>
      </c>
      <c r="AC574" s="3"/>
      <c r="AH574" t="s">
        <v>202</v>
      </c>
      <c r="AK574" t="s">
        <v>203</v>
      </c>
      <c r="AP574" t="s">
        <v>200</v>
      </c>
      <c r="AR574" s="25"/>
      <c r="AT574" s="25">
        <v>0</v>
      </c>
      <c r="AU574" s="26"/>
      <c r="AV574" s="26"/>
      <c r="AW574" s="26"/>
      <c r="AX574" s="26" t="str">
        <f t="shared" si="24"/>
        <v/>
      </c>
      <c r="AY574" t="str">
        <f t="shared" si="25"/>
        <v/>
      </c>
      <c r="AZ574" t="s">
        <v>200</v>
      </c>
      <c r="BA574" s="3"/>
      <c r="BB574" t="str">
        <f t="shared" si="26"/>
        <v>No scrap rate (No impact);No raw material available (High);</v>
      </c>
    </row>
    <row r="575" spans="1:54" x14ac:dyDescent="0.3">
      <c r="A575" t="s">
        <v>2152</v>
      </c>
      <c r="B575" t="s">
        <v>2153</v>
      </c>
      <c r="C575" t="s">
        <v>1256</v>
      </c>
      <c r="D575" t="s">
        <v>1257</v>
      </c>
      <c r="G575" t="s">
        <v>1938</v>
      </c>
      <c r="H575" t="s">
        <v>1939</v>
      </c>
      <c r="L575">
        <v>0</v>
      </c>
      <c r="M575">
        <v>0</v>
      </c>
      <c r="N575" t="s">
        <v>198</v>
      </c>
      <c r="O575">
        <v>0</v>
      </c>
      <c r="P575" t="s">
        <v>198</v>
      </c>
      <c r="Q575" t="s">
        <v>199</v>
      </c>
      <c r="R575" s="3"/>
      <c r="W575" t="s">
        <v>200</v>
      </c>
      <c r="X575" s="25"/>
      <c r="Y575" s="26"/>
      <c r="Z575" s="27"/>
      <c r="AA575" t="s">
        <v>25</v>
      </c>
      <c r="AB575" t="s">
        <v>201</v>
      </c>
      <c r="AC575" s="3"/>
      <c r="AH575" t="s">
        <v>202</v>
      </c>
      <c r="AK575" t="s">
        <v>203</v>
      </c>
      <c r="AP575" t="s">
        <v>200</v>
      </c>
      <c r="AR575" s="25"/>
      <c r="AT575" s="25">
        <v>0</v>
      </c>
      <c r="AU575" s="26"/>
      <c r="AV575" s="26"/>
      <c r="AW575" s="26"/>
      <c r="AX575" s="26" t="str">
        <f t="shared" si="24"/>
        <v/>
      </c>
      <c r="AY575" t="str">
        <f t="shared" si="25"/>
        <v/>
      </c>
      <c r="AZ575" t="s">
        <v>200</v>
      </c>
      <c r="BA575" s="3"/>
      <c r="BB575" t="str">
        <f t="shared" si="26"/>
        <v>No scrap rate (No impact);No raw material available (High);</v>
      </c>
    </row>
    <row r="576" spans="1:54" x14ac:dyDescent="0.3">
      <c r="A576" t="s">
        <v>2154</v>
      </c>
      <c r="B576" t="s">
        <v>2155</v>
      </c>
      <c r="C576" t="s">
        <v>1256</v>
      </c>
      <c r="D576" t="s">
        <v>1257</v>
      </c>
      <c r="G576" t="s">
        <v>2121</v>
      </c>
      <c r="H576" t="s">
        <v>389</v>
      </c>
      <c r="J576" t="s">
        <v>1590</v>
      </c>
      <c r="L576">
        <v>0</v>
      </c>
      <c r="M576">
        <v>4.0000000000000001E-3</v>
      </c>
      <c r="N576" t="s">
        <v>198</v>
      </c>
      <c r="O576">
        <v>4.0000000000000001E-3</v>
      </c>
      <c r="P576" t="s">
        <v>198</v>
      </c>
      <c r="Q576" t="s">
        <v>199</v>
      </c>
      <c r="R576" s="3"/>
      <c r="W576" t="s">
        <v>200</v>
      </c>
      <c r="X576" s="25"/>
      <c r="Y576" s="26"/>
      <c r="Z576" s="27"/>
      <c r="AA576" t="s">
        <v>25</v>
      </c>
      <c r="AB576" t="s">
        <v>201</v>
      </c>
      <c r="AC576" s="3"/>
      <c r="AH576" t="s">
        <v>202</v>
      </c>
      <c r="AK576" t="s">
        <v>203</v>
      </c>
      <c r="AP576" t="s">
        <v>200</v>
      </c>
      <c r="AR576" s="25"/>
      <c r="AT576" s="25">
        <v>0</v>
      </c>
      <c r="AU576" s="26"/>
      <c r="AV576" s="26"/>
      <c r="AW576" s="26"/>
      <c r="AX576" s="26" t="str">
        <f t="shared" si="24"/>
        <v/>
      </c>
      <c r="AY576" t="str">
        <f t="shared" si="25"/>
        <v/>
      </c>
      <c r="AZ576" t="s">
        <v>200</v>
      </c>
      <c r="BA576" s="3"/>
      <c r="BB576" t="str">
        <f t="shared" si="26"/>
        <v>No scrap rate (No impact);</v>
      </c>
    </row>
    <row r="577" spans="1:54" x14ac:dyDescent="0.3">
      <c r="A577" t="s">
        <v>2156</v>
      </c>
      <c r="B577" t="s">
        <v>2157</v>
      </c>
      <c r="C577" t="s">
        <v>966</v>
      </c>
      <c r="D577" t="s">
        <v>967</v>
      </c>
      <c r="G577" t="s">
        <v>1601</v>
      </c>
      <c r="H577" t="s">
        <v>1602</v>
      </c>
      <c r="J577" t="s">
        <v>1475</v>
      </c>
      <c r="L577">
        <v>1</v>
      </c>
      <c r="M577">
        <v>6.0000000000000001E-3</v>
      </c>
      <c r="N577" t="s">
        <v>198</v>
      </c>
      <c r="O577">
        <v>6.0000000000000001E-3</v>
      </c>
      <c r="P577" t="s">
        <v>198</v>
      </c>
      <c r="Q577" t="s">
        <v>199</v>
      </c>
      <c r="R577" s="3"/>
      <c r="W577" t="s">
        <v>200</v>
      </c>
      <c r="X577" s="25"/>
      <c r="Y577" s="26"/>
      <c r="Z577" s="27"/>
      <c r="AA577" t="s">
        <v>25</v>
      </c>
      <c r="AB577" t="s">
        <v>201</v>
      </c>
      <c r="AC577" s="3"/>
      <c r="AH577" t="s">
        <v>202</v>
      </c>
      <c r="AK577" t="s">
        <v>203</v>
      </c>
      <c r="AP577" t="s">
        <v>200</v>
      </c>
      <c r="AR577" s="25"/>
      <c r="AT577" s="25">
        <v>0</v>
      </c>
      <c r="AU577" s="26"/>
      <c r="AV577" s="26"/>
      <c r="AW577" s="26"/>
      <c r="AX577" s="26" t="str">
        <f t="shared" si="24"/>
        <v/>
      </c>
      <c r="AY577" t="str">
        <f t="shared" si="25"/>
        <v/>
      </c>
      <c r="AZ577" t="s">
        <v>200</v>
      </c>
      <c r="BA577" s="3"/>
      <c r="BB577" t="str">
        <f t="shared" si="26"/>
        <v>No scrap rate (No impact);</v>
      </c>
    </row>
    <row r="578" spans="1:54" x14ac:dyDescent="0.3">
      <c r="A578" t="s">
        <v>2158</v>
      </c>
      <c r="B578" t="s">
        <v>2159</v>
      </c>
      <c r="C578" t="s">
        <v>1110</v>
      </c>
      <c r="D578" t="s">
        <v>1111</v>
      </c>
      <c r="G578" t="s">
        <v>1112</v>
      </c>
      <c r="H578" t="s">
        <v>1113</v>
      </c>
      <c r="J578" t="s">
        <v>1089</v>
      </c>
      <c r="L578">
        <v>1</v>
      </c>
      <c r="M578">
        <v>5.2999999999999999E-2</v>
      </c>
      <c r="N578" t="s">
        <v>198</v>
      </c>
      <c r="O578">
        <v>5.2999999999999999E-2</v>
      </c>
      <c r="P578" t="s">
        <v>198</v>
      </c>
      <c r="Q578" t="s">
        <v>199</v>
      </c>
      <c r="R578" s="3"/>
      <c r="W578" t="s">
        <v>200</v>
      </c>
      <c r="X578" s="25"/>
      <c r="Y578" s="26"/>
      <c r="Z578" s="27"/>
      <c r="AA578" t="s">
        <v>25</v>
      </c>
      <c r="AB578" t="s">
        <v>201</v>
      </c>
      <c r="AC578" s="3"/>
      <c r="AH578" t="s">
        <v>202</v>
      </c>
      <c r="AK578" t="s">
        <v>203</v>
      </c>
      <c r="AP578" t="s">
        <v>200</v>
      </c>
      <c r="AR578" s="25"/>
      <c r="AT578" s="25">
        <v>0</v>
      </c>
      <c r="AU578" s="26"/>
      <c r="AV578" s="26"/>
      <c r="AW578" s="26"/>
      <c r="AX578" s="26" t="str">
        <f t="shared" si="24"/>
        <v/>
      </c>
      <c r="AY578" t="str">
        <f t="shared" si="25"/>
        <v/>
      </c>
      <c r="AZ578" t="s">
        <v>200</v>
      </c>
      <c r="BA578" s="3"/>
      <c r="BB578" t="str">
        <f t="shared" si="26"/>
        <v>No scrap rate (No impact);</v>
      </c>
    </row>
    <row r="579" spans="1:54" x14ac:dyDescent="0.3">
      <c r="A579" t="s">
        <v>2160</v>
      </c>
      <c r="B579" t="s">
        <v>2161</v>
      </c>
      <c r="C579" t="s">
        <v>1256</v>
      </c>
      <c r="D579" t="s">
        <v>1257</v>
      </c>
      <c r="G579" t="s">
        <v>196</v>
      </c>
      <c r="H579" t="s">
        <v>197</v>
      </c>
      <c r="J579" t="s">
        <v>1046</v>
      </c>
      <c r="L579">
        <v>0</v>
      </c>
      <c r="M579">
        <v>2E-3</v>
      </c>
      <c r="N579" t="s">
        <v>198</v>
      </c>
      <c r="O579">
        <v>2E-3</v>
      </c>
      <c r="P579" t="s">
        <v>198</v>
      </c>
      <c r="Q579" t="s">
        <v>199</v>
      </c>
      <c r="R579" s="3"/>
      <c r="W579" t="s">
        <v>200</v>
      </c>
      <c r="X579" s="25"/>
      <c r="Y579" s="26"/>
      <c r="Z579" s="27"/>
      <c r="AA579" t="s">
        <v>25</v>
      </c>
      <c r="AB579" t="s">
        <v>201</v>
      </c>
      <c r="AC579" s="3"/>
      <c r="AH579" t="s">
        <v>202</v>
      </c>
      <c r="AK579" t="s">
        <v>203</v>
      </c>
      <c r="AP579" t="s">
        <v>200</v>
      </c>
      <c r="AR579" s="25"/>
      <c r="AT579" s="25">
        <v>0</v>
      </c>
      <c r="AU579" s="26"/>
      <c r="AV579" s="26"/>
      <c r="AW579" s="26"/>
      <c r="AX579" s="26" t="str">
        <f t="shared" ref="AX579:AX642" si="27">IF(COUNT(AU579,AV579,AW579)=0,"",ROUND(AVERAGE(AU579,AV579,AW579),3))</f>
        <v/>
      </c>
      <c r="AY579" t="str">
        <f t="shared" ref="AY579:AY642" si="28">IF(AO579="","",ROUND(AO579*IF(M579="",0,M579)*(1+IF(AR579="",0,AR579)),5))</f>
        <v/>
      </c>
      <c r="AZ579" t="s">
        <v>200</v>
      </c>
      <c r="BA579" s="3"/>
      <c r="BB579" t="str">
        <f t="shared" ref="BB579:BB642" si="29">IF(AND(A579&lt;&gt;"",G579=""),"Supplier code empty (High);","")&amp;IF(AND(X579&lt;&gt;"",OR(X579&gt;1,X579&lt;0)),"Incorrect PDS value (High);",IF(AND(X579&lt;&gt;"",X579&gt;0.5),"High PDS value (Medium);",""))&amp;IF(AND(Y579&lt;&gt;"",OR(Y579&gt;5,Y579&lt;1)),"Incorrect DQR value (High);",IF(AND(Y579&lt;&gt;"",Y579&gt;4),"Incorrect DQR value (Medium);",IF(AND(Y579&lt;&gt;"",Y579&gt;3),"Incorrect DQR value (Low);","")))&amp;IF(AND(V579&lt;&gt;"",OR(V579&lt;=0,V579&gt;100)),"Unusual PCF value might be wrong (High);","")&amp;IF(AND(AT579&lt;&gt;"",OR(AT579&gt;1,AT579&lt;0)),"Incorrect PDS value (High);",IF(AND(AT579&lt;&gt;"",AT579&gt;0.5),"High PDS value (Medium);",""))&amp;IF(AND(AX579&lt;&gt;"",OR(AX579&gt;5,AX579&lt;1)),"Incorrect DQR value (High);",IF(AND(AX579&lt;&gt;"",AX579&gt;4),"Incorrect DQR value (Medium);",IF(AND(AX579&lt;&gt;"",AX579&gt;3),"Incorrect DQR value (Low);","")))&amp;IF(AND(AR579&lt;&gt;"",OR(AR579&gt;1,AR579&lt;0)),"Incorrect scrap rate (High);",IF(AND(A579&lt;&gt;"",AR579=0),"No scrap rate (No impact);",""))&amp;IF(AND(A579&lt;&gt;"",I579="",J579="",K579=""),"No raw material available (High);","")&amp;""</f>
        <v>No scrap rate (No impact);</v>
      </c>
    </row>
    <row r="580" spans="1:54" x14ac:dyDescent="0.3">
      <c r="A580" t="s">
        <v>2162</v>
      </c>
      <c r="B580" t="s">
        <v>2163</v>
      </c>
      <c r="C580" t="s">
        <v>1256</v>
      </c>
      <c r="D580" t="s">
        <v>1257</v>
      </c>
      <c r="G580" t="s">
        <v>1615</v>
      </c>
      <c r="H580" t="s">
        <v>1616</v>
      </c>
      <c r="J580" t="s">
        <v>1060</v>
      </c>
      <c r="L580">
        <v>0</v>
      </c>
      <c r="M580">
        <v>2E-3</v>
      </c>
      <c r="N580" t="s">
        <v>198</v>
      </c>
      <c r="O580">
        <v>2E-3</v>
      </c>
      <c r="P580" t="s">
        <v>198</v>
      </c>
      <c r="Q580" t="s">
        <v>199</v>
      </c>
      <c r="R580" s="3"/>
      <c r="W580" t="s">
        <v>200</v>
      </c>
      <c r="X580" s="25"/>
      <c r="Y580" s="26"/>
      <c r="Z580" s="27"/>
      <c r="AA580" t="s">
        <v>25</v>
      </c>
      <c r="AB580" t="s">
        <v>201</v>
      </c>
      <c r="AC580" s="3"/>
      <c r="AH580" t="s">
        <v>202</v>
      </c>
      <c r="AK580" t="s">
        <v>203</v>
      </c>
      <c r="AP580" t="s">
        <v>200</v>
      </c>
      <c r="AR580" s="25"/>
      <c r="AT580" s="25">
        <v>0</v>
      </c>
      <c r="AU580" s="26"/>
      <c r="AV580" s="26"/>
      <c r="AW580" s="26"/>
      <c r="AX580" s="26" t="str">
        <f t="shared" si="27"/>
        <v/>
      </c>
      <c r="AY580" t="str">
        <f t="shared" si="28"/>
        <v/>
      </c>
      <c r="AZ580" t="s">
        <v>200</v>
      </c>
      <c r="BA580" s="3"/>
      <c r="BB580" t="str">
        <f t="shared" si="29"/>
        <v>No scrap rate (No impact);</v>
      </c>
    </row>
    <row r="581" spans="1:54" x14ac:dyDescent="0.3">
      <c r="A581" t="s">
        <v>2164</v>
      </c>
      <c r="B581" t="s">
        <v>2165</v>
      </c>
      <c r="C581" t="s">
        <v>1256</v>
      </c>
      <c r="D581" t="s">
        <v>1257</v>
      </c>
      <c r="G581" t="s">
        <v>1615</v>
      </c>
      <c r="H581" t="s">
        <v>1616</v>
      </c>
      <c r="J581" t="s">
        <v>1046</v>
      </c>
      <c r="L581">
        <v>0</v>
      </c>
      <c r="M581">
        <v>1E-3</v>
      </c>
      <c r="N581" t="s">
        <v>198</v>
      </c>
      <c r="O581">
        <v>1E-3</v>
      </c>
      <c r="P581" t="s">
        <v>198</v>
      </c>
      <c r="Q581" t="s">
        <v>199</v>
      </c>
      <c r="R581" s="3"/>
      <c r="W581" t="s">
        <v>200</v>
      </c>
      <c r="X581" s="25"/>
      <c r="Y581" s="26"/>
      <c r="Z581" s="27"/>
      <c r="AA581" t="s">
        <v>25</v>
      </c>
      <c r="AB581" t="s">
        <v>201</v>
      </c>
      <c r="AC581" s="3"/>
      <c r="AH581" t="s">
        <v>202</v>
      </c>
      <c r="AK581" t="s">
        <v>203</v>
      </c>
      <c r="AP581" t="s">
        <v>200</v>
      </c>
      <c r="AR581" s="25"/>
      <c r="AT581" s="25">
        <v>0</v>
      </c>
      <c r="AU581" s="26"/>
      <c r="AV581" s="26"/>
      <c r="AW581" s="26"/>
      <c r="AX581" s="26" t="str">
        <f t="shared" si="27"/>
        <v/>
      </c>
      <c r="AY581" t="str">
        <f t="shared" si="28"/>
        <v/>
      </c>
      <c r="AZ581" t="s">
        <v>200</v>
      </c>
      <c r="BA581" s="3"/>
      <c r="BB581" t="str">
        <f t="shared" si="29"/>
        <v>No scrap rate (No impact);</v>
      </c>
    </row>
    <row r="582" spans="1:54" x14ac:dyDescent="0.3">
      <c r="A582" t="s">
        <v>2166</v>
      </c>
      <c r="B582" t="s">
        <v>2167</v>
      </c>
      <c r="C582" t="s">
        <v>1256</v>
      </c>
      <c r="D582" t="s">
        <v>1257</v>
      </c>
      <c r="G582" t="s">
        <v>196</v>
      </c>
      <c r="H582" t="s">
        <v>197</v>
      </c>
      <c r="J582" t="s">
        <v>1590</v>
      </c>
      <c r="L582">
        <v>0</v>
      </c>
      <c r="M582">
        <v>3.0000000000000001E-3</v>
      </c>
      <c r="N582" t="s">
        <v>198</v>
      </c>
      <c r="O582">
        <v>3.0000000000000001E-3</v>
      </c>
      <c r="P582" t="s">
        <v>198</v>
      </c>
      <c r="Q582" t="s">
        <v>199</v>
      </c>
      <c r="R582" s="3"/>
      <c r="W582" t="s">
        <v>200</v>
      </c>
      <c r="X582" s="25"/>
      <c r="Y582" s="26"/>
      <c r="Z582" s="27"/>
      <c r="AA582" t="s">
        <v>25</v>
      </c>
      <c r="AB582" t="s">
        <v>201</v>
      </c>
      <c r="AC582" s="3"/>
      <c r="AH582" t="s">
        <v>202</v>
      </c>
      <c r="AK582" t="s">
        <v>203</v>
      </c>
      <c r="AP582" t="s">
        <v>200</v>
      </c>
      <c r="AR582" s="25"/>
      <c r="AT582" s="25">
        <v>0</v>
      </c>
      <c r="AU582" s="26"/>
      <c r="AV582" s="26"/>
      <c r="AW582" s="26"/>
      <c r="AX582" s="26" t="str">
        <f t="shared" si="27"/>
        <v/>
      </c>
      <c r="AY582" t="str">
        <f t="shared" si="28"/>
        <v/>
      </c>
      <c r="AZ582" t="s">
        <v>200</v>
      </c>
      <c r="BA582" s="3"/>
      <c r="BB582" t="str">
        <f t="shared" si="29"/>
        <v>No scrap rate (No impact);</v>
      </c>
    </row>
    <row r="583" spans="1:54" x14ac:dyDescent="0.3">
      <c r="A583" t="s">
        <v>2168</v>
      </c>
      <c r="B583" t="s">
        <v>2169</v>
      </c>
      <c r="C583" t="s">
        <v>1256</v>
      </c>
      <c r="D583" t="s">
        <v>1257</v>
      </c>
      <c r="G583" t="s">
        <v>1615</v>
      </c>
      <c r="H583" t="s">
        <v>1616</v>
      </c>
      <c r="J583" t="s">
        <v>1060</v>
      </c>
      <c r="L583">
        <v>0</v>
      </c>
      <c r="M583">
        <v>2E-3</v>
      </c>
      <c r="N583" t="s">
        <v>198</v>
      </c>
      <c r="O583">
        <v>2E-3</v>
      </c>
      <c r="P583" t="s">
        <v>198</v>
      </c>
      <c r="Q583" t="s">
        <v>199</v>
      </c>
      <c r="R583" s="3"/>
      <c r="W583" t="s">
        <v>200</v>
      </c>
      <c r="X583" s="25"/>
      <c r="Y583" s="26"/>
      <c r="Z583" s="27"/>
      <c r="AA583" t="s">
        <v>25</v>
      </c>
      <c r="AB583" t="s">
        <v>201</v>
      </c>
      <c r="AC583" s="3"/>
      <c r="AH583" t="s">
        <v>202</v>
      </c>
      <c r="AK583" t="s">
        <v>203</v>
      </c>
      <c r="AP583" t="s">
        <v>200</v>
      </c>
      <c r="AR583" s="25"/>
      <c r="AT583" s="25">
        <v>0</v>
      </c>
      <c r="AU583" s="26"/>
      <c r="AV583" s="26"/>
      <c r="AW583" s="26"/>
      <c r="AX583" s="26" t="str">
        <f t="shared" si="27"/>
        <v/>
      </c>
      <c r="AY583" t="str">
        <f t="shared" si="28"/>
        <v/>
      </c>
      <c r="AZ583" t="s">
        <v>200</v>
      </c>
      <c r="BA583" s="3"/>
      <c r="BB583" t="str">
        <f t="shared" si="29"/>
        <v>No scrap rate (No impact);</v>
      </c>
    </row>
    <row r="584" spans="1:54" x14ac:dyDescent="0.3">
      <c r="A584" t="s">
        <v>2170</v>
      </c>
      <c r="B584" t="s">
        <v>2171</v>
      </c>
      <c r="C584" t="s">
        <v>1256</v>
      </c>
      <c r="D584" t="s">
        <v>1257</v>
      </c>
      <c r="G584" t="s">
        <v>1615</v>
      </c>
      <c r="H584" t="s">
        <v>1616</v>
      </c>
      <c r="J584" t="s">
        <v>1046</v>
      </c>
      <c r="L584">
        <v>0</v>
      </c>
      <c r="M584">
        <v>1E-3</v>
      </c>
      <c r="N584" t="s">
        <v>198</v>
      </c>
      <c r="O584">
        <v>1E-3</v>
      </c>
      <c r="P584" t="s">
        <v>198</v>
      </c>
      <c r="Q584" t="s">
        <v>199</v>
      </c>
      <c r="R584" s="3"/>
      <c r="W584" t="s">
        <v>200</v>
      </c>
      <c r="X584" s="25"/>
      <c r="Y584" s="26"/>
      <c r="Z584" s="27"/>
      <c r="AA584" t="s">
        <v>25</v>
      </c>
      <c r="AB584" t="s">
        <v>201</v>
      </c>
      <c r="AC584" s="3"/>
      <c r="AH584" t="s">
        <v>202</v>
      </c>
      <c r="AK584" t="s">
        <v>203</v>
      </c>
      <c r="AP584" t="s">
        <v>200</v>
      </c>
      <c r="AR584" s="25"/>
      <c r="AT584" s="25">
        <v>0</v>
      </c>
      <c r="AU584" s="26"/>
      <c r="AV584" s="26"/>
      <c r="AW584" s="26"/>
      <c r="AX584" s="26" t="str">
        <f t="shared" si="27"/>
        <v/>
      </c>
      <c r="AY584" t="str">
        <f t="shared" si="28"/>
        <v/>
      </c>
      <c r="AZ584" t="s">
        <v>200</v>
      </c>
      <c r="BA584" s="3"/>
      <c r="BB584" t="str">
        <f t="shared" si="29"/>
        <v>No scrap rate (No impact);</v>
      </c>
    </row>
    <row r="585" spans="1:54" x14ac:dyDescent="0.3">
      <c r="A585" t="s">
        <v>2172</v>
      </c>
      <c r="B585" t="s">
        <v>2173</v>
      </c>
      <c r="C585" t="s">
        <v>1256</v>
      </c>
      <c r="D585" t="s">
        <v>1257</v>
      </c>
      <c r="G585" t="s">
        <v>196</v>
      </c>
      <c r="H585" t="s">
        <v>197</v>
      </c>
      <c r="J585" t="s">
        <v>1590</v>
      </c>
      <c r="L585">
        <v>0</v>
      </c>
      <c r="M585">
        <v>3.0000000000000001E-3</v>
      </c>
      <c r="N585" t="s">
        <v>198</v>
      </c>
      <c r="O585">
        <v>3.0000000000000001E-3</v>
      </c>
      <c r="P585" t="s">
        <v>198</v>
      </c>
      <c r="Q585" t="s">
        <v>199</v>
      </c>
      <c r="R585" s="3"/>
      <c r="W585" t="s">
        <v>200</v>
      </c>
      <c r="X585" s="25"/>
      <c r="Y585" s="26"/>
      <c r="Z585" s="27"/>
      <c r="AA585" t="s">
        <v>25</v>
      </c>
      <c r="AB585" t="s">
        <v>201</v>
      </c>
      <c r="AC585" s="3"/>
      <c r="AH585" t="s">
        <v>202</v>
      </c>
      <c r="AK585" t="s">
        <v>203</v>
      </c>
      <c r="AP585" t="s">
        <v>200</v>
      </c>
      <c r="AR585" s="25"/>
      <c r="AT585" s="25">
        <v>0</v>
      </c>
      <c r="AU585" s="26"/>
      <c r="AV585" s="26"/>
      <c r="AW585" s="26"/>
      <c r="AX585" s="26" t="str">
        <f t="shared" si="27"/>
        <v/>
      </c>
      <c r="AY585" t="str">
        <f t="shared" si="28"/>
        <v/>
      </c>
      <c r="AZ585" t="s">
        <v>200</v>
      </c>
      <c r="BA585" s="3"/>
      <c r="BB585" t="str">
        <f t="shared" si="29"/>
        <v>No scrap rate (No impact);</v>
      </c>
    </row>
    <row r="586" spans="1:54" x14ac:dyDescent="0.3">
      <c r="A586" t="s">
        <v>2174</v>
      </c>
      <c r="B586" t="s">
        <v>2175</v>
      </c>
      <c r="C586" t="s">
        <v>1256</v>
      </c>
      <c r="D586" t="s">
        <v>1257</v>
      </c>
      <c r="G586" t="s">
        <v>1615</v>
      </c>
      <c r="H586" t="s">
        <v>1616</v>
      </c>
      <c r="J586" t="s">
        <v>1060</v>
      </c>
      <c r="L586">
        <v>0</v>
      </c>
      <c r="M586">
        <v>2E-3</v>
      </c>
      <c r="N586" t="s">
        <v>198</v>
      </c>
      <c r="O586">
        <v>2E-3</v>
      </c>
      <c r="P586" t="s">
        <v>198</v>
      </c>
      <c r="Q586" t="s">
        <v>199</v>
      </c>
      <c r="R586" s="3"/>
      <c r="W586" t="s">
        <v>200</v>
      </c>
      <c r="X586" s="25"/>
      <c r="Y586" s="26"/>
      <c r="Z586" s="27"/>
      <c r="AA586" t="s">
        <v>25</v>
      </c>
      <c r="AB586" t="s">
        <v>201</v>
      </c>
      <c r="AC586" s="3"/>
      <c r="AH586" t="s">
        <v>202</v>
      </c>
      <c r="AK586" t="s">
        <v>203</v>
      </c>
      <c r="AP586" t="s">
        <v>200</v>
      </c>
      <c r="AR586" s="25"/>
      <c r="AT586" s="25">
        <v>0</v>
      </c>
      <c r="AU586" s="26"/>
      <c r="AV586" s="26"/>
      <c r="AW586" s="26"/>
      <c r="AX586" s="26" t="str">
        <f t="shared" si="27"/>
        <v/>
      </c>
      <c r="AY586" t="str">
        <f t="shared" si="28"/>
        <v/>
      </c>
      <c r="AZ586" t="s">
        <v>200</v>
      </c>
      <c r="BA586" s="3"/>
      <c r="BB586" t="str">
        <f t="shared" si="29"/>
        <v>No scrap rate (No impact);</v>
      </c>
    </row>
    <row r="587" spans="1:54" x14ac:dyDescent="0.3">
      <c r="A587" t="s">
        <v>2176</v>
      </c>
      <c r="B587" t="s">
        <v>2177</v>
      </c>
      <c r="C587" t="s">
        <v>1256</v>
      </c>
      <c r="D587" t="s">
        <v>1257</v>
      </c>
      <c r="G587" t="s">
        <v>1615</v>
      </c>
      <c r="H587" t="s">
        <v>1616</v>
      </c>
      <c r="J587" t="s">
        <v>1046</v>
      </c>
      <c r="L587">
        <v>0</v>
      </c>
      <c r="M587">
        <v>1E-3</v>
      </c>
      <c r="N587" t="s">
        <v>198</v>
      </c>
      <c r="O587">
        <v>1E-3</v>
      </c>
      <c r="P587" t="s">
        <v>198</v>
      </c>
      <c r="Q587" t="s">
        <v>199</v>
      </c>
      <c r="R587" s="3"/>
      <c r="W587" t="s">
        <v>200</v>
      </c>
      <c r="X587" s="25"/>
      <c r="Y587" s="26"/>
      <c r="Z587" s="27"/>
      <c r="AA587" t="s">
        <v>25</v>
      </c>
      <c r="AB587" t="s">
        <v>201</v>
      </c>
      <c r="AC587" s="3"/>
      <c r="AH587" t="s">
        <v>202</v>
      </c>
      <c r="AK587" t="s">
        <v>203</v>
      </c>
      <c r="AP587" t="s">
        <v>200</v>
      </c>
      <c r="AR587" s="25"/>
      <c r="AT587" s="25">
        <v>0</v>
      </c>
      <c r="AU587" s="26"/>
      <c r="AV587" s="26"/>
      <c r="AW587" s="26"/>
      <c r="AX587" s="26" t="str">
        <f t="shared" si="27"/>
        <v/>
      </c>
      <c r="AY587" t="str">
        <f t="shared" si="28"/>
        <v/>
      </c>
      <c r="AZ587" t="s">
        <v>200</v>
      </c>
      <c r="BA587" s="3"/>
      <c r="BB587" t="str">
        <f t="shared" si="29"/>
        <v>No scrap rate (No impact);</v>
      </c>
    </row>
    <row r="588" spans="1:54" x14ac:dyDescent="0.3">
      <c r="A588" t="s">
        <v>2178</v>
      </c>
      <c r="B588" t="s">
        <v>2179</v>
      </c>
      <c r="C588" t="s">
        <v>1256</v>
      </c>
      <c r="D588" t="s">
        <v>1257</v>
      </c>
      <c r="G588" t="s">
        <v>196</v>
      </c>
      <c r="H588" t="s">
        <v>197</v>
      </c>
      <c r="J588" t="s">
        <v>1590</v>
      </c>
      <c r="L588">
        <v>0</v>
      </c>
      <c r="M588">
        <v>3.0000000000000001E-3</v>
      </c>
      <c r="N588" t="s">
        <v>198</v>
      </c>
      <c r="O588">
        <v>3.0000000000000001E-3</v>
      </c>
      <c r="P588" t="s">
        <v>198</v>
      </c>
      <c r="Q588" t="s">
        <v>199</v>
      </c>
      <c r="R588" s="3"/>
      <c r="W588" t="s">
        <v>200</v>
      </c>
      <c r="X588" s="25"/>
      <c r="Y588" s="26"/>
      <c r="Z588" s="27"/>
      <c r="AA588" t="s">
        <v>25</v>
      </c>
      <c r="AB588" t="s">
        <v>201</v>
      </c>
      <c r="AC588" s="3"/>
      <c r="AH588" t="s">
        <v>202</v>
      </c>
      <c r="AK588" t="s">
        <v>203</v>
      </c>
      <c r="AP588" t="s">
        <v>200</v>
      </c>
      <c r="AR588" s="25"/>
      <c r="AT588" s="25">
        <v>0</v>
      </c>
      <c r="AU588" s="26"/>
      <c r="AV588" s="26"/>
      <c r="AW588" s="26"/>
      <c r="AX588" s="26" t="str">
        <f t="shared" si="27"/>
        <v/>
      </c>
      <c r="AY588" t="str">
        <f t="shared" si="28"/>
        <v/>
      </c>
      <c r="AZ588" t="s">
        <v>200</v>
      </c>
      <c r="BA588" s="3"/>
      <c r="BB588" t="str">
        <f t="shared" si="29"/>
        <v>No scrap rate (No impact);</v>
      </c>
    </row>
    <row r="589" spans="1:54" x14ac:dyDescent="0.3">
      <c r="A589" t="s">
        <v>2180</v>
      </c>
      <c r="B589" t="s">
        <v>2181</v>
      </c>
      <c r="C589" t="s">
        <v>1256</v>
      </c>
      <c r="D589" t="s">
        <v>1257</v>
      </c>
      <c r="G589" t="s">
        <v>196</v>
      </c>
      <c r="H589" t="s">
        <v>197</v>
      </c>
      <c r="J589" t="s">
        <v>1590</v>
      </c>
      <c r="L589">
        <v>0</v>
      </c>
      <c r="M589">
        <v>3.0000000000000001E-3</v>
      </c>
      <c r="N589" t="s">
        <v>198</v>
      </c>
      <c r="O589">
        <v>3.0000000000000001E-3</v>
      </c>
      <c r="P589" t="s">
        <v>198</v>
      </c>
      <c r="Q589" t="s">
        <v>199</v>
      </c>
      <c r="R589" s="3"/>
      <c r="W589" t="s">
        <v>200</v>
      </c>
      <c r="X589" s="25"/>
      <c r="Y589" s="26"/>
      <c r="Z589" s="27"/>
      <c r="AA589" t="s">
        <v>25</v>
      </c>
      <c r="AB589" t="s">
        <v>201</v>
      </c>
      <c r="AC589" s="3"/>
      <c r="AH589" t="s">
        <v>202</v>
      </c>
      <c r="AK589" t="s">
        <v>203</v>
      </c>
      <c r="AP589" t="s">
        <v>200</v>
      </c>
      <c r="AR589" s="25"/>
      <c r="AT589" s="25">
        <v>0</v>
      </c>
      <c r="AU589" s="26"/>
      <c r="AV589" s="26"/>
      <c r="AW589" s="26"/>
      <c r="AX589" s="26" t="str">
        <f t="shared" si="27"/>
        <v/>
      </c>
      <c r="AY589" t="str">
        <f t="shared" si="28"/>
        <v/>
      </c>
      <c r="AZ589" t="s">
        <v>200</v>
      </c>
      <c r="BA589" s="3"/>
      <c r="BB589" t="str">
        <f t="shared" si="29"/>
        <v>No scrap rate (No impact);</v>
      </c>
    </row>
    <row r="590" spans="1:54" x14ac:dyDescent="0.3">
      <c r="A590" t="s">
        <v>2182</v>
      </c>
      <c r="B590" t="s">
        <v>2183</v>
      </c>
      <c r="C590" t="s">
        <v>1256</v>
      </c>
      <c r="D590" t="s">
        <v>1257</v>
      </c>
      <c r="G590" t="s">
        <v>1615</v>
      </c>
      <c r="H590" t="s">
        <v>1616</v>
      </c>
      <c r="J590" t="s">
        <v>1060</v>
      </c>
      <c r="L590">
        <v>0</v>
      </c>
      <c r="M590">
        <v>2E-3</v>
      </c>
      <c r="N590" t="s">
        <v>198</v>
      </c>
      <c r="O590">
        <v>2E-3</v>
      </c>
      <c r="P590" t="s">
        <v>198</v>
      </c>
      <c r="Q590" t="s">
        <v>199</v>
      </c>
      <c r="R590" s="3"/>
      <c r="W590" t="s">
        <v>200</v>
      </c>
      <c r="X590" s="25"/>
      <c r="Y590" s="26"/>
      <c r="Z590" s="27"/>
      <c r="AA590" t="s">
        <v>25</v>
      </c>
      <c r="AB590" t="s">
        <v>201</v>
      </c>
      <c r="AC590" s="3"/>
      <c r="AH590" t="s">
        <v>202</v>
      </c>
      <c r="AK590" t="s">
        <v>203</v>
      </c>
      <c r="AP590" t="s">
        <v>200</v>
      </c>
      <c r="AR590" s="25"/>
      <c r="AT590" s="25">
        <v>0</v>
      </c>
      <c r="AU590" s="26"/>
      <c r="AV590" s="26"/>
      <c r="AW590" s="26"/>
      <c r="AX590" s="26" t="str">
        <f t="shared" si="27"/>
        <v/>
      </c>
      <c r="AY590" t="str">
        <f t="shared" si="28"/>
        <v/>
      </c>
      <c r="AZ590" t="s">
        <v>200</v>
      </c>
      <c r="BA590" s="3"/>
      <c r="BB590" t="str">
        <f t="shared" si="29"/>
        <v>No scrap rate (No impact);</v>
      </c>
    </row>
    <row r="591" spans="1:54" x14ac:dyDescent="0.3">
      <c r="A591" t="s">
        <v>2184</v>
      </c>
      <c r="B591" t="s">
        <v>2185</v>
      </c>
      <c r="C591" t="s">
        <v>1256</v>
      </c>
      <c r="D591" t="s">
        <v>1257</v>
      </c>
      <c r="G591" t="s">
        <v>1615</v>
      </c>
      <c r="H591" t="s">
        <v>1616</v>
      </c>
      <c r="J591" t="s">
        <v>1046</v>
      </c>
      <c r="L591">
        <v>0</v>
      </c>
      <c r="M591">
        <v>1E-3</v>
      </c>
      <c r="N591" t="s">
        <v>198</v>
      </c>
      <c r="O591">
        <v>1E-3</v>
      </c>
      <c r="P591" t="s">
        <v>198</v>
      </c>
      <c r="Q591" t="s">
        <v>199</v>
      </c>
      <c r="R591" s="3"/>
      <c r="W591" t="s">
        <v>200</v>
      </c>
      <c r="X591" s="25"/>
      <c r="Y591" s="26"/>
      <c r="Z591" s="27"/>
      <c r="AA591" t="s">
        <v>25</v>
      </c>
      <c r="AB591" t="s">
        <v>201</v>
      </c>
      <c r="AC591" s="3"/>
      <c r="AH591" t="s">
        <v>202</v>
      </c>
      <c r="AK591" t="s">
        <v>203</v>
      </c>
      <c r="AP591" t="s">
        <v>200</v>
      </c>
      <c r="AR591" s="25"/>
      <c r="AT591" s="25">
        <v>0</v>
      </c>
      <c r="AU591" s="26"/>
      <c r="AV591" s="26"/>
      <c r="AW591" s="26"/>
      <c r="AX591" s="26" t="str">
        <f t="shared" si="27"/>
        <v/>
      </c>
      <c r="AY591" t="str">
        <f t="shared" si="28"/>
        <v/>
      </c>
      <c r="AZ591" t="s">
        <v>200</v>
      </c>
      <c r="BA591" s="3"/>
      <c r="BB591" t="str">
        <f t="shared" si="29"/>
        <v>No scrap rate (No impact);</v>
      </c>
    </row>
    <row r="592" spans="1:54" x14ac:dyDescent="0.3">
      <c r="A592" t="s">
        <v>2186</v>
      </c>
      <c r="B592" t="s">
        <v>2187</v>
      </c>
      <c r="C592" t="s">
        <v>1256</v>
      </c>
      <c r="D592" t="s">
        <v>1257</v>
      </c>
      <c r="G592" t="s">
        <v>1615</v>
      </c>
      <c r="H592" t="s">
        <v>1616</v>
      </c>
      <c r="J592" t="s">
        <v>1046</v>
      </c>
      <c r="L592">
        <v>0</v>
      </c>
      <c r="M592">
        <v>2E-3</v>
      </c>
      <c r="N592" t="s">
        <v>198</v>
      </c>
      <c r="O592">
        <v>2E-3</v>
      </c>
      <c r="P592" t="s">
        <v>198</v>
      </c>
      <c r="Q592" t="s">
        <v>199</v>
      </c>
      <c r="R592" s="3"/>
      <c r="W592" t="s">
        <v>200</v>
      </c>
      <c r="X592" s="25"/>
      <c r="Y592" s="26"/>
      <c r="Z592" s="27"/>
      <c r="AA592" t="s">
        <v>25</v>
      </c>
      <c r="AB592" t="s">
        <v>201</v>
      </c>
      <c r="AC592" s="3"/>
      <c r="AH592" t="s">
        <v>202</v>
      </c>
      <c r="AK592" t="s">
        <v>203</v>
      </c>
      <c r="AP592" t="s">
        <v>200</v>
      </c>
      <c r="AR592" s="25"/>
      <c r="AT592" s="25">
        <v>0</v>
      </c>
      <c r="AU592" s="26"/>
      <c r="AV592" s="26"/>
      <c r="AW592" s="26"/>
      <c r="AX592" s="26" t="str">
        <f t="shared" si="27"/>
        <v/>
      </c>
      <c r="AY592" t="str">
        <f t="shared" si="28"/>
        <v/>
      </c>
      <c r="AZ592" t="s">
        <v>200</v>
      </c>
      <c r="BA592" s="3"/>
      <c r="BB592" t="str">
        <f t="shared" si="29"/>
        <v>No scrap rate (No impact);</v>
      </c>
    </row>
    <row r="593" spans="1:54" x14ac:dyDescent="0.3">
      <c r="A593" t="s">
        <v>2188</v>
      </c>
      <c r="B593" t="s">
        <v>2189</v>
      </c>
      <c r="C593" t="s">
        <v>1256</v>
      </c>
      <c r="D593" t="s">
        <v>1257</v>
      </c>
      <c r="G593" t="s">
        <v>1615</v>
      </c>
      <c r="H593" t="s">
        <v>1616</v>
      </c>
      <c r="J593" t="s">
        <v>1046</v>
      </c>
      <c r="L593">
        <v>0</v>
      </c>
      <c r="M593">
        <v>2E-3</v>
      </c>
      <c r="N593" t="s">
        <v>198</v>
      </c>
      <c r="O593">
        <v>2E-3</v>
      </c>
      <c r="P593" t="s">
        <v>198</v>
      </c>
      <c r="Q593" t="s">
        <v>199</v>
      </c>
      <c r="R593" s="3"/>
      <c r="W593" t="s">
        <v>200</v>
      </c>
      <c r="X593" s="25"/>
      <c r="Y593" s="26"/>
      <c r="Z593" s="27"/>
      <c r="AA593" t="s">
        <v>25</v>
      </c>
      <c r="AB593" t="s">
        <v>201</v>
      </c>
      <c r="AC593" s="3"/>
      <c r="AH593" t="s">
        <v>202</v>
      </c>
      <c r="AK593" t="s">
        <v>203</v>
      </c>
      <c r="AP593" t="s">
        <v>200</v>
      </c>
      <c r="AR593" s="25"/>
      <c r="AT593" s="25">
        <v>0</v>
      </c>
      <c r="AU593" s="26"/>
      <c r="AV593" s="26"/>
      <c r="AW593" s="26"/>
      <c r="AX593" s="26" t="str">
        <f t="shared" si="27"/>
        <v/>
      </c>
      <c r="AY593" t="str">
        <f t="shared" si="28"/>
        <v/>
      </c>
      <c r="AZ593" t="s">
        <v>200</v>
      </c>
      <c r="BA593" s="3"/>
      <c r="BB593" t="str">
        <f t="shared" si="29"/>
        <v>No scrap rate (No impact);</v>
      </c>
    </row>
    <row r="594" spans="1:54" x14ac:dyDescent="0.3">
      <c r="A594" t="s">
        <v>2190</v>
      </c>
      <c r="B594" t="s">
        <v>2191</v>
      </c>
      <c r="C594" t="s">
        <v>1256</v>
      </c>
      <c r="D594" t="s">
        <v>1257</v>
      </c>
      <c r="G594" t="s">
        <v>2192</v>
      </c>
      <c r="H594" t="s">
        <v>2193</v>
      </c>
      <c r="J594" t="s">
        <v>1046</v>
      </c>
      <c r="L594">
        <v>0</v>
      </c>
      <c r="M594">
        <v>5.0000000000000001E-3</v>
      </c>
      <c r="N594" t="s">
        <v>198</v>
      </c>
      <c r="O594">
        <v>5.0000000000000001E-3</v>
      </c>
      <c r="P594" t="s">
        <v>198</v>
      </c>
      <c r="Q594" t="s">
        <v>199</v>
      </c>
      <c r="R594" s="3"/>
      <c r="W594" t="s">
        <v>200</v>
      </c>
      <c r="X594" s="25"/>
      <c r="Y594" s="26"/>
      <c r="Z594" s="27"/>
      <c r="AA594" t="s">
        <v>25</v>
      </c>
      <c r="AB594" t="s">
        <v>201</v>
      </c>
      <c r="AC594" s="3"/>
      <c r="AH594" t="s">
        <v>202</v>
      </c>
      <c r="AK594" t="s">
        <v>203</v>
      </c>
      <c r="AP594" t="s">
        <v>200</v>
      </c>
      <c r="AR594" s="25"/>
      <c r="AT594" s="25">
        <v>0</v>
      </c>
      <c r="AU594" s="26"/>
      <c r="AV594" s="26"/>
      <c r="AW594" s="26"/>
      <c r="AX594" s="26" t="str">
        <f t="shared" si="27"/>
        <v/>
      </c>
      <c r="AY594" t="str">
        <f t="shared" si="28"/>
        <v/>
      </c>
      <c r="AZ594" t="s">
        <v>200</v>
      </c>
      <c r="BA594" s="3"/>
      <c r="BB594" t="str">
        <f t="shared" si="29"/>
        <v>No scrap rate (No impact);</v>
      </c>
    </row>
    <row r="595" spans="1:54" x14ac:dyDescent="0.3">
      <c r="A595" t="s">
        <v>2194</v>
      </c>
      <c r="B595" t="s">
        <v>2195</v>
      </c>
      <c r="C595" t="s">
        <v>1256</v>
      </c>
      <c r="D595" t="s">
        <v>1257</v>
      </c>
      <c r="G595" t="s">
        <v>1615</v>
      </c>
      <c r="H595" t="s">
        <v>1616</v>
      </c>
      <c r="J595" t="s">
        <v>1046</v>
      </c>
      <c r="L595">
        <v>0</v>
      </c>
      <c r="M595">
        <v>2E-3</v>
      </c>
      <c r="N595" t="s">
        <v>198</v>
      </c>
      <c r="O595">
        <v>2E-3</v>
      </c>
      <c r="P595" t="s">
        <v>198</v>
      </c>
      <c r="Q595" t="s">
        <v>199</v>
      </c>
      <c r="R595" s="3"/>
      <c r="W595" t="s">
        <v>200</v>
      </c>
      <c r="X595" s="25"/>
      <c r="Y595" s="26"/>
      <c r="Z595" s="27"/>
      <c r="AA595" t="s">
        <v>25</v>
      </c>
      <c r="AB595" t="s">
        <v>201</v>
      </c>
      <c r="AC595" s="3"/>
      <c r="AH595" t="s">
        <v>202</v>
      </c>
      <c r="AK595" t="s">
        <v>203</v>
      </c>
      <c r="AP595" t="s">
        <v>200</v>
      </c>
      <c r="AR595" s="25"/>
      <c r="AT595" s="25">
        <v>0</v>
      </c>
      <c r="AU595" s="26"/>
      <c r="AV595" s="26"/>
      <c r="AW595" s="26"/>
      <c r="AX595" s="26" t="str">
        <f t="shared" si="27"/>
        <v/>
      </c>
      <c r="AY595" t="str">
        <f t="shared" si="28"/>
        <v/>
      </c>
      <c r="AZ595" t="s">
        <v>200</v>
      </c>
      <c r="BA595" s="3"/>
      <c r="BB595" t="str">
        <f t="shared" si="29"/>
        <v>No scrap rate (No impact);</v>
      </c>
    </row>
    <row r="596" spans="1:54" x14ac:dyDescent="0.3">
      <c r="A596" t="s">
        <v>2196</v>
      </c>
      <c r="B596" t="s">
        <v>2197</v>
      </c>
      <c r="C596" t="s">
        <v>1256</v>
      </c>
      <c r="D596" t="s">
        <v>1257</v>
      </c>
      <c r="G596" t="s">
        <v>1615</v>
      </c>
      <c r="H596" t="s">
        <v>1616</v>
      </c>
      <c r="J596" t="s">
        <v>1046</v>
      </c>
      <c r="L596">
        <v>0</v>
      </c>
      <c r="M596">
        <v>2E-3</v>
      </c>
      <c r="N596" t="s">
        <v>198</v>
      </c>
      <c r="O596">
        <v>2E-3</v>
      </c>
      <c r="P596" t="s">
        <v>198</v>
      </c>
      <c r="Q596" t="s">
        <v>199</v>
      </c>
      <c r="R596" s="3"/>
      <c r="W596" t="s">
        <v>200</v>
      </c>
      <c r="X596" s="25"/>
      <c r="Y596" s="26"/>
      <c r="Z596" s="27"/>
      <c r="AA596" t="s">
        <v>25</v>
      </c>
      <c r="AB596" t="s">
        <v>201</v>
      </c>
      <c r="AC596" s="3"/>
      <c r="AH596" t="s">
        <v>202</v>
      </c>
      <c r="AK596" t="s">
        <v>203</v>
      </c>
      <c r="AP596" t="s">
        <v>200</v>
      </c>
      <c r="AR596" s="25"/>
      <c r="AT596" s="25">
        <v>0</v>
      </c>
      <c r="AU596" s="26"/>
      <c r="AV596" s="26"/>
      <c r="AW596" s="26"/>
      <c r="AX596" s="26" t="str">
        <f t="shared" si="27"/>
        <v/>
      </c>
      <c r="AY596" t="str">
        <f t="shared" si="28"/>
        <v/>
      </c>
      <c r="AZ596" t="s">
        <v>200</v>
      </c>
      <c r="BA596" s="3"/>
      <c r="BB596" t="str">
        <f t="shared" si="29"/>
        <v>No scrap rate (No impact);</v>
      </c>
    </row>
    <row r="597" spans="1:54" x14ac:dyDescent="0.3">
      <c r="A597" t="s">
        <v>2198</v>
      </c>
      <c r="B597" t="s">
        <v>2199</v>
      </c>
      <c r="C597" t="s">
        <v>1256</v>
      </c>
      <c r="D597" t="s">
        <v>1257</v>
      </c>
      <c r="G597" t="s">
        <v>2192</v>
      </c>
      <c r="H597" t="s">
        <v>2193</v>
      </c>
      <c r="J597" t="s">
        <v>1046</v>
      </c>
      <c r="L597">
        <v>0</v>
      </c>
      <c r="M597">
        <v>5.0000000000000001E-3</v>
      </c>
      <c r="N597" t="s">
        <v>198</v>
      </c>
      <c r="O597">
        <v>5.0000000000000001E-3</v>
      </c>
      <c r="P597" t="s">
        <v>198</v>
      </c>
      <c r="Q597" t="s">
        <v>199</v>
      </c>
      <c r="R597" s="3"/>
      <c r="W597" t="s">
        <v>200</v>
      </c>
      <c r="X597" s="25"/>
      <c r="Y597" s="26"/>
      <c r="Z597" s="27"/>
      <c r="AA597" t="s">
        <v>25</v>
      </c>
      <c r="AB597" t="s">
        <v>201</v>
      </c>
      <c r="AC597" s="3"/>
      <c r="AH597" t="s">
        <v>202</v>
      </c>
      <c r="AK597" t="s">
        <v>203</v>
      </c>
      <c r="AP597" t="s">
        <v>200</v>
      </c>
      <c r="AR597" s="25"/>
      <c r="AT597" s="25">
        <v>0</v>
      </c>
      <c r="AU597" s="26"/>
      <c r="AV597" s="26"/>
      <c r="AW597" s="26"/>
      <c r="AX597" s="26" t="str">
        <f t="shared" si="27"/>
        <v/>
      </c>
      <c r="AY597" t="str">
        <f t="shared" si="28"/>
        <v/>
      </c>
      <c r="AZ597" t="s">
        <v>200</v>
      </c>
      <c r="BA597" s="3"/>
      <c r="BB597" t="str">
        <f t="shared" si="29"/>
        <v>No scrap rate (No impact);</v>
      </c>
    </row>
    <row r="598" spans="1:54" x14ac:dyDescent="0.3">
      <c r="A598" t="s">
        <v>2200</v>
      </c>
      <c r="B598" t="s">
        <v>2201</v>
      </c>
      <c r="C598" t="s">
        <v>1256</v>
      </c>
      <c r="D598" t="s">
        <v>1257</v>
      </c>
      <c r="G598" t="s">
        <v>1615</v>
      </c>
      <c r="H598" t="s">
        <v>1616</v>
      </c>
      <c r="J598" t="s">
        <v>1046</v>
      </c>
      <c r="L598">
        <v>0</v>
      </c>
      <c r="M598">
        <v>0.01</v>
      </c>
      <c r="N598" t="s">
        <v>198</v>
      </c>
      <c r="O598">
        <v>0.01</v>
      </c>
      <c r="P598" t="s">
        <v>198</v>
      </c>
      <c r="Q598" t="s">
        <v>199</v>
      </c>
      <c r="R598" s="3"/>
      <c r="W598" t="s">
        <v>200</v>
      </c>
      <c r="X598" s="25"/>
      <c r="Y598" s="26"/>
      <c r="Z598" s="27"/>
      <c r="AA598" t="s">
        <v>25</v>
      </c>
      <c r="AB598" t="s">
        <v>201</v>
      </c>
      <c r="AC598" s="3"/>
      <c r="AH598" t="s">
        <v>202</v>
      </c>
      <c r="AK598" t="s">
        <v>203</v>
      </c>
      <c r="AP598" t="s">
        <v>200</v>
      </c>
      <c r="AR598" s="25"/>
      <c r="AT598" s="25">
        <v>0</v>
      </c>
      <c r="AU598" s="26"/>
      <c r="AV598" s="26"/>
      <c r="AW598" s="26"/>
      <c r="AX598" s="26" t="str">
        <f t="shared" si="27"/>
        <v/>
      </c>
      <c r="AY598" t="str">
        <f t="shared" si="28"/>
        <v/>
      </c>
      <c r="AZ598" t="s">
        <v>200</v>
      </c>
      <c r="BA598" s="3"/>
      <c r="BB598" t="str">
        <f t="shared" si="29"/>
        <v>No scrap rate (No impact);</v>
      </c>
    </row>
    <row r="599" spans="1:54" x14ac:dyDescent="0.3">
      <c r="A599" t="s">
        <v>2202</v>
      </c>
      <c r="B599" t="s">
        <v>2203</v>
      </c>
      <c r="C599" t="s">
        <v>1256</v>
      </c>
      <c r="D599" t="s">
        <v>1257</v>
      </c>
      <c r="G599" t="s">
        <v>1615</v>
      </c>
      <c r="H599" t="s">
        <v>1616</v>
      </c>
      <c r="J599" t="s">
        <v>1046</v>
      </c>
      <c r="L599">
        <v>0</v>
      </c>
      <c r="M599">
        <v>0.01</v>
      </c>
      <c r="N599" t="s">
        <v>198</v>
      </c>
      <c r="O599">
        <v>0.01</v>
      </c>
      <c r="P599" t="s">
        <v>198</v>
      </c>
      <c r="Q599" t="s">
        <v>199</v>
      </c>
      <c r="R599" s="3"/>
      <c r="W599" t="s">
        <v>200</v>
      </c>
      <c r="X599" s="25"/>
      <c r="Y599" s="26"/>
      <c r="Z599" s="27"/>
      <c r="AA599" t="s">
        <v>25</v>
      </c>
      <c r="AB599" t="s">
        <v>201</v>
      </c>
      <c r="AC599" s="3"/>
      <c r="AH599" t="s">
        <v>202</v>
      </c>
      <c r="AK599" t="s">
        <v>203</v>
      </c>
      <c r="AP599" t="s">
        <v>200</v>
      </c>
      <c r="AR599" s="25"/>
      <c r="AT599" s="25">
        <v>0</v>
      </c>
      <c r="AU599" s="26"/>
      <c r="AV599" s="26"/>
      <c r="AW599" s="26"/>
      <c r="AX599" s="26" t="str">
        <f t="shared" si="27"/>
        <v/>
      </c>
      <c r="AY599" t="str">
        <f t="shared" si="28"/>
        <v/>
      </c>
      <c r="AZ599" t="s">
        <v>200</v>
      </c>
      <c r="BA599" s="3"/>
      <c r="BB599" t="str">
        <f t="shared" si="29"/>
        <v>No scrap rate (No impact);</v>
      </c>
    </row>
    <row r="600" spans="1:54" x14ac:dyDescent="0.3">
      <c r="A600" t="s">
        <v>2204</v>
      </c>
      <c r="B600" t="s">
        <v>2205</v>
      </c>
      <c r="C600" t="s">
        <v>1256</v>
      </c>
      <c r="D600" t="s">
        <v>1257</v>
      </c>
      <c r="G600" t="s">
        <v>1615</v>
      </c>
      <c r="H600" t="s">
        <v>1616</v>
      </c>
      <c r="J600" t="s">
        <v>1046</v>
      </c>
      <c r="L600">
        <v>0</v>
      </c>
      <c r="M600">
        <v>0.01</v>
      </c>
      <c r="N600" t="s">
        <v>198</v>
      </c>
      <c r="O600">
        <v>0.01</v>
      </c>
      <c r="P600" t="s">
        <v>198</v>
      </c>
      <c r="Q600" t="s">
        <v>199</v>
      </c>
      <c r="R600" s="3"/>
      <c r="W600" t="s">
        <v>200</v>
      </c>
      <c r="X600" s="25"/>
      <c r="Y600" s="26"/>
      <c r="Z600" s="27"/>
      <c r="AA600" t="s">
        <v>25</v>
      </c>
      <c r="AB600" t="s">
        <v>201</v>
      </c>
      <c r="AC600" s="3"/>
      <c r="AH600" t="s">
        <v>202</v>
      </c>
      <c r="AK600" t="s">
        <v>203</v>
      </c>
      <c r="AP600" t="s">
        <v>200</v>
      </c>
      <c r="AR600" s="25"/>
      <c r="AT600" s="25">
        <v>0</v>
      </c>
      <c r="AU600" s="26"/>
      <c r="AV600" s="26"/>
      <c r="AW600" s="26"/>
      <c r="AX600" s="26" t="str">
        <f t="shared" si="27"/>
        <v/>
      </c>
      <c r="AY600" t="str">
        <f t="shared" si="28"/>
        <v/>
      </c>
      <c r="AZ600" t="s">
        <v>200</v>
      </c>
      <c r="BA600" s="3"/>
      <c r="BB600" t="str">
        <f t="shared" si="29"/>
        <v>No scrap rate (No impact);</v>
      </c>
    </row>
    <row r="601" spans="1:54" x14ac:dyDescent="0.3">
      <c r="A601" t="s">
        <v>2206</v>
      </c>
      <c r="B601" t="s">
        <v>2207</v>
      </c>
      <c r="C601" t="s">
        <v>1256</v>
      </c>
      <c r="D601" t="s">
        <v>1257</v>
      </c>
      <c r="G601" t="s">
        <v>1615</v>
      </c>
      <c r="H601" t="s">
        <v>1616</v>
      </c>
      <c r="J601" t="s">
        <v>1046</v>
      </c>
      <c r="L601">
        <v>0</v>
      </c>
      <c r="M601">
        <v>0.01</v>
      </c>
      <c r="N601" t="s">
        <v>198</v>
      </c>
      <c r="O601">
        <v>0.01</v>
      </c>
      <c r="P601" t="s">
        <v>198</v>
      </c>
      <c r="Q601" t="s">
        <v>199</v>
      </c>
      <c r="R601" s="3"/>
      <c r="W601" t="s">
        <v>200</v>
      </c>
      <c r="X601" s="25"/>
      <c r="Y601" s="26"/>
      <c r="Z601" s="27"/>
      <c r="AA601" t="s">
        <v>25</v>
      </c>
      <c r="AB601" t="s">
        <v>201</v>
      </c>
      <c r="AC601" s="3"/>
      <c r="AH601" t="s">
        <v>202</v>
      </c>
      <c r="AK601" t="s">
        <v>203</v>
      </c>
      <c r="AP601" t="s">
        <v>200</v>
      </c>
      <c r="AR601" s="25"/>
      <c r="AT601" s="25">
        <v>0</v>
      </c>
      <c r="AU601" s="26"/>
      <c r="AV601" s="26"/>
      <c r="AW601" s="26"/>
      <c r="AX601" s="26" t="str">
        <f t="shared" si="27"/>
        <v/>
      </c>
      <c r="AY601" t="str">
        <f t="shared" si="28"/>
        <v/>
      </c>
      <c r="AZ601" t="s">
        <v>200</v>
      </c>
      <c r="BA601" s="3"/>
      <c r="BB601" t="str">
        <f t="shared" si="29"/>
        <v>No scrap rate (No impact);</v>
      </c>
    </row>
    <row r="602" spans="1:54" x14ac:dyDescent="0.3">
      <c r="A602" t="s">
        <v>2208</v>
      </c>
      <c r="B602" t="s">
        <v>2209</v>
      </c>
      <c r="C602" t="s">
        <v>1256</v>
      </c>
      <c r="D602" t="s">
        <v>1257</v>
      </c>
      <c r="G602" t="s">
        <v>196</v>
      </c>
      <c r="H602" t="s">
        <v>197</v>
      </c>
      <c r="J602" t="s">
        <v>1590</v>
      </c>
      <c r="L602">
        <v>0</v>
      </c>
      <c r="M602">
        <v>4.0000000000000001E-3</v>
      </c>
      <c r="N602" t="s">
        <v>198</v>
      </c>
      <c r="O602">
        <v>4.0000000000000001E-3</v>
      </c>
      <c r="P602" t="s">
        <v>198</v>
      </c>
      <c r="Q602" t="s">
        <v>199</v>
      </c>
      <c r="R602" s="3"/>
      <c r="W602" t="s">
        <v>200</v>
      </c>
      <c r="X602" s="25"/>
      <c r="Y602" s="26"/>
      <c r="Z602" s="27"/>
      <c r="AA602" t="s">
        <v>25</v>
      </c>
      <c r="AB602" t="s">
        <v>201</v>
      </c>
      <c r="AC602" s="3"/>
      <c r="AH602" t="s">
        <v>202</v>
      </c>
      <c r="AK602" t="s">
        <v>203</v>
      </c>
      <c r="AP602" t="s">
        <v>200</v>
      </c>
      <c r="AR602" s="25"/>
      <c r="AT602" s="25">
        <v>0</v>
      </c>
      <c r="AU602" s="26"/>
      <c r="AV602" s="26"/>
      <c r="AW602" s="26"/>
      <c r="AX602" s="26" t="str">
        <f t="shared" si="27"/>
        <v/>
      </c>
      <c r="AY602" t="str">
        <f t="shared" si="28"/>
        <v/>
      </c>
      <c r="AZ602" t="s">
        <v>200</v>
      </c>
      <c r="BA602" s="3"/>
      <c r="BB602" t="str">
        <f t="shared" si="29"/>
        <v>No scrap rate (No impact);</v>
      </c>
    </row>
    <row r="603" spans="1:54" x14ac:dyDescent="0.3">
      <c r="A603" t="s">
        <v>2210</v>
      </c>
      <c r="B603" t="s">
        <v>2211</v>
      </c>
      <c r="C603" t="s">
        <v>1256</v>
      </c>
      <c r="D603" t="s">
        <v>1257</v>
      </c>
      <c r="G603" t="s">
        <v>1731</v>
      </c>
      <c r="H603" t="s">
        <v>1732</v>
      </c>
      <c r="J603" t="s">
        <v>1060</v>
      </c>
      <c r="L603">
        <v>0</v>
      </c>
      <c r="M603">
        <v>5.0000000000000001E-3</v>
      </c>
      <c r="N603" t="s">
        <v>198</v>
      </c>
      <c r="O603">
        <v>5.0000000000000001E-3</v>
      </c>
      <c r="P603" t="s">
        <v>198</v>
      </c>
      <c r="Q603" t="s">
        <v>199</v>
      </c>
      <c r="R603" s="3"/>
      <c r="W603" t="s">
        <v>200</v>
      </c>
      <c r="X603" s="25"/>
      <c r="Y603" s="26"/>
      <c r="Z603" s="27"/>
      <c r="AA603" t="s">
        <v>25</v>
      </c>
      <c r="AB603" t="s">
        <v>201</v>
      </c>
      <c r="AC603" s="3"/>
      <c r="AH603" t="s">
        <v>202</v>
      </c>
      <c r="AK603" t="s">
        <v>203</v>
      </c>
      <c r="AP603" t="s">
        <v>200</v>
      </c>
      <c r="AR603" s="25"/>
      <c r="AT603" s="25">
        <v>0</v>
      </c>
      <c r="AU603" s="26"/>
      <c r="AV603" s="26"/>
      <c r="AW603" s="26"/>
      <c r="AX603" s="26" t="str">
        <f t="shared" si="27"/>
        <v/>
      </c>
      <c r="AY603" t="str">
        <f t="shared" si="28"/>
        <v/>
      </c>
      <c r="AZ603" t="s">
        <v>200</v>
      </c>
      <c r="BA603" s="3"/>
      <c r="BB603" t="str">
        <f t="shared" si="29"/>
        <v>No scrap rate (No impact);</v>
      </c>
    </row>
    <row r="604" spans="1:54" x14ac:dyDescent="0.3">
      <c r="A604" t="s">
        <v>2212</v>
      </c>
      <c r="B604" t="s">
        <v>2213</v>
      </c>
      <c r="C604" t="s">
        <v>1110</v>
      </c>
      <c r="D604" t="s">
        <v>1111</v>
      </c>
      <c r="G604" t="s">
        <v>1299</v>
      </c>
      <c r="H604" t="s">
        <v>1300</v>
      </c>
      <c r="J604" t="s">
        <v>1089</v>
      </c>
      <c r="L604">
        <v>1</v>
      </c>
      <c r="M604">
        <v>0.14499999999999999</v>
      </c>
      <c r="N604" t="s">
        <v>198</v>
      </c>
      <c r="O604">
        <v>0.14499999999999999</v>
      </c>
      <c r="P604" t="s">
        <v>198</v>
      </c>
      <c r="Q604" t="s">
        <v>199</v>
      </c>
      <c r="R604" s="3"/>
      <c r="W604" t="s">
        <v>200</v>
      </c>
      <c r="X604" s="25"/>
      <c r="Y604" s="26"/>
      <c r="Z604" s="27"/>
      <c r="AA604" t="s">
        <v>25</v>
      </c>
      <c r="AB604" t="s">
        <v>201</v>
      </c>
      <c r="AC604" s="3"/>
      <c r="AH604" t="s">
        <v>202</v>
      </c>
      <c r="AK604" t="s">
        <v>203</v>
      </c>
      <c r="AP604" t="s">
        <v>200</v>
      </c>
      <c r="AR604" s="25"/>
      <c r="AT604" s="25">
        <v>0</v>
      </c>
      <c r="AU604" s="26"/>
      <c r="AV604" s="26"/>
      <c r="AW604" s="26"/>
      <c r="AX604" s="26" t="str">
        <f t="shared" si="27"/>
        <v/>
      </c>
      <c r="AY604" t="str">
        <f t="shared" si="28"/>
        <v/>
      </c>
      <c r="AZ604" t="s">
        <v>200</v>
      </c>
      <c r="BA604" s="3"/>
      <c r="BB604" t="str">
        <f t="shared" si="29"/>
        <v>No scrap rate (No impact);</v>
      </c>
    </row>
    <row r="605" spans="1:54" x14ac:dyDescent="0.3">
      <c r="A605" t="s">
        <v>2214</v>
      </c>
      <c r="B605" t="s">
        <v>2215</v>
      </c>
      <c r="C605" t="s">
        <v>1256</v>
      </c>
      <c r="D605" t="s">
        <v>1257</v>
      </c>
      <c r="G605" t="s">
        <v>1299</v>
      </c>
      <c r="H605" t="s">
        <v>1300</v>
      </c>
      <c r="J605" t="s">
        <v>1590</v>
      </c>
      <c r="L605">
        <v>0</v>
      </c>
      <c r="M605">
        <v>1.2999999999999999E-2</v>
      </c>
      <c r="N605" t="s">
        <v>198</v>
      </c>
      <c r="O605">
        <v>1.2999999999999999E-2</v>
      </c>
      <c r="P605" t="s">
        <v>198</v>
      </c>
      <c r="Q605" t="s">
        <v>199</v>
      </c>
      <c r="R605" s="3"/>
      <c r="W605" t="s">
        <v>200</v>
      </c>
      <c r="X605" s="25"/>
      <c r="Y605" s="26"/>
      <c r="Z605" s="27"/>
      <c r="AA605" t="s">
        <v>25</v>
      </c>
      <c r="AB605" t="s">
        <v>201</v>
      </c>
      <c r="AC605" s="3"/>
      <c r="AH605" t="s">
        <v>202</v>
      </c>
      <c r="AK605" t="s">
        <v>203</v>
      </c>
      <c r="AP605" t="s">
        <v>200</v>
      </c>
      <c r="AR605" s="25"/>
      <c r="AT605" s="25">
        <v>0</v>
      </c>
      <c r="AU605" s="26"/>
      <c r="AV605" s="26"/>
      <c r="AW605" s="26"/>
      <c r="AX605" s="26" t="str">
        <f t="shared" si="27"/>
        <v/>
      </c>
      <c r="AY605" t="str">
        <f t="shared" si="28"/>
        <v/>
      </c>
      <c r="AZ605" t="s">
        <v>200</v>
      </c>
      <c r="BA605" s="3"/>
      <c r="BB605" t="str">
        <f t="shared" si="29"/>
        <v>No scrap rate (No impact);</v>
      </c>
    </row>
    <row r="606" spans="1:54" x14ac:dyDescent="0.3">
      <c r="A606" t="s">
        <v>2216</v>
      </c>
      <c r="B606" t="s">
        <v>2217</v>
      </c>
      <c r="C606" t="s">
        <v>1110</v>
      </c>
      <c r="D606" t="s">
        <v>1111</v>
      </c>
      <c r="G606" t="s">
        <v>1299</v>
      </c>
      <c r="H606" t="s">
        <v>1300</v>
      </c>
      <c r="J606" t="s">
        <v>1089</v>
      </c>
      <c r="L606">
        <v>0</v>
      </c>
      <c r="M606">
        <v>0.14499999999999999</v>
      </c>
      <c r="N606" t="s">
        <v>198</v>
      </c>
      <c r="O606">
        <v>0.14499999999999999</v>
      </c>
      <c r="P606" t="s">
        <v>198</v>
      </c>
      <c r="Q606" t="s">
        <v>199</v>
      </c>
      <c r="R606" s="3"/>
      <c r="W606" t="s">
        <v>200</v>
      </c>
      <c r="X606" s="25"/>
      <c r="Y606" s="26"/>
      <c r="Z606" s="27"/>
      <c r="AA606" t="s">
        <v>25</v>
      </c>
      <c r="AB606" t="s">
        <v>201</v>
      </c>
      <c r="AC606" s="3"/>
      <c r="AH606" t="s">
        <v>202</v>
      </c>
      <c r="AK606" t="s">
        <v>203</v>
      </c>
      <c r="AP606" t="s">
        <v>200</v>
      </c>
      <c r="AR606" s="25"/>
      <c r="AT606" s="25">
        <v>0</v>
      </c>
      <c r="AU606" s="26"/>
      <c r="AV606" s="26"/>
      <c r="AW606" s="26"/>
      <c r="AX606" s="26" t="str">
        <f t="shared" si="27"/>
        <v/>
      </c>
      <c r="AY606" t="str">
        <f t="shared" si="28"/>
        <v/>
      </c>
      <c r="AZ606" t="s">
        <v>200</v>
      </c>
      <c r="BA606" s="3"/>
      <c r="BB606" t="str">
        <f t="shared" si="29"/>
        <v>No scrap rate (No impact);</v>
      </c>
    </row>
    <row r="607" spans="1:54" x14ac:dyDescent="0.3">
      <c r="A607" t="s">
        <v>2218</v>
      </c>
      <c r="B607" t="s">
        <v>2219</v>
      </c>
      <c r="C607" t="s">
        <v>1256</v>
      </c>
      <c r="D607" t="s">
        <v>1257</v>
      </c>
      <c r="G607" t="s">
        <v>1299</v>
      </c>
      <c r="H607" t="s">
        <v>1300</v>
      </c>
      <c r="J607" t="s">
        <v>1590</v>
      </c>
      <c r="L607">
        <v>0</v>
      </c>
      <c r="M607">
        <v>1.2999999999999999E-2</v>
      </c>
      <c r="N607" t="s">
        <v>198</v>
      </c>
      <c r="O607">
        <v>1.2999999999999999E-2</v>
      </c>
      <c r="P607" t="s">
        <v>198</v>
      </c>
      <c r="Q607" t="s">
        <v>199</v>
      </c>
      <c r="R607" s="3"/>
      <c r="W607" t="s">
        <v>200</v>
      </c>
      <c r="X607" s="25"/>
      <c r="Y607" s="26"/>
      <c r="Z607" s="27"/>
      <c r="AA607" t="s">
        <v>25</v>
      </c>
      <c r="AB607" t="s">
        <v>201</v>
      </c>
      <c r="AC607" s="3"/>
      <c r="AH607" t="s">
        <v>202</v>
      </c>
      <c r="AK607" t="s">
        <v>203</v>
      </c>
      <c r="AP607" t="s">
        <v>200</v>
      </c>
      <c r="AR607" s="25"/>
      <c r="AT607" s="25">
        <v>0</v>
      </c>
      <c r="AU607" s="26"/>
      <c r="AV607" s="26"/>
      <c r="AW607" s="26"/>
      <c r="AX607" s="26" t="str">
        <f t="shared" si="27"/>
        <v/>
      </c>
      <c r="AY607" t="str">
        <f t="shared" si="28"/>
        <v/>
      </c>
      <c r="AZ607" t="s">
        <v>200</v>
      </c>
      <c r="BA607" s="3"/>
      <c r="BB607" t="str">
        <f t="shared" si="29"/>
        <v>No scrap rate (No impact);</v>
      </c>
    </row>
    <row r="608" spans="1:54" x14ac:dyDescent="0.3">
      <c r="A608" t="s">
        <v>2220</v>
      </c>
      <c r="B608" t="s">
        <v>2221</v>
      </c>
      <c r="C608" t="s">
        <v>1256</v>
      </c>
      <c r="D608" t="s">
        <v>1257</v>
      </c>
      <c r="G608" t="s">
        <v>196</v>
      </c>
      <c r="H608" t="s">
        <v>197</v>
      </c>
      <c r="J608" t="s">
        <v>1590</v>
      </c>
      <c r="L608">
        <v>0</v>
      </c>
      <c r="M608">
        <v>3.0000000000000001E-3</v>
      </c>
      <c r="N608" t="s">
        <v>198</v>
      </c>
      <c r="O608">
        <v>3.0000000000000001E-3</v>
      </c>
      <c r="P608" t="s">
        <v>198</v>
      </c>
      <c r="Q608" t="s">
        <v>199</v>
      </c>
      <c r="R608" s="3"/>
      <c r="W608" t="s">
        <v>200</v>
      </c>
      <c r="X608" s="25"/>
      <c r="Y608" s="26"/>
      <c r="Z608" s="27"/>
      <c r="AA608" t="s">
        <v>25</v>
      </c>
      <c r="AB608" t="s">
        <v>201</v>
      </c>
      <c r="AC608" s="3"/>
      <c r="AH608" t="s">
        <v>202</v>
      </c>
      <c r="AK608" t="s">
        <v>203</v>
      </c>
      <c r="AP608" t="s">
        <v>200</v>
      </c>
      <c r="AR608" s="25"/>
      <c r="AT608" s="25">
        <v>0</v>
      </c>
      <c r="AU608" s="26"/>
      <c r="AV608" s="26"/>
      <c r="AW608" s="26"/>
      <c r="AX608" s="26" t="str">
        <f t="shared" si="27"/>
        <v/>
      </c>
      <c r="AY608" t="str">
        <f t="shared" si="28"/>
        <v/>
      </c>
      <c r="AZ608" t="s">
        <v>200</v>
      </c>
      <c r="BA608" s="3"/>
      <c r="BB608" t="str">
        <f t="shared" si="29"/>
        <v>No scrap rate (No impact);</v>
      </c>
    </row>
    <row r="609" spans="1:54" x14ac:dyDescent="0.3">
      <c r="A609" t="s">
        <v>2222</v>
      </c>
      <c r="B609" t="s">
        <v>2223</v>
      </c>
      <c r="C609" t="s">
        <v>1110</v>
      </c>
      <c r="D609" t="s">
        <v>1111</v>
      </c>
      <c r="G609" t="s">
        <v>1112</v>
      </c>
      <c r="H609" t="s">
        <v>1113</v>
      </c>
      <c r="J609" t="s">
        <v>1089</v>
      </c>
      <c r="L609">
        <v>1</v>
      </c>
      <c r="M609">
        <v>0.14499999999999999</v>
      </c>
      <c r="N609" t="s">
        <v>198</v>
      </c>
      <c r="O609">
        <v>0.14499999999999999</v>
      </c>
      <c r="P609" t="s">
        <v>198</v>
      </c>
      <c r="Q609" t="s">
        <v>199</v>
      </c>
      <c r="R609" s="3"/>
      <c r="W609" t="s">
        <v>200</v>
      </c>
      <c r="X609" s="25"/>
      <c r="Y609" s="26"/>
      <c r="Z609" s="27"/>
      <c r="AA609" t="s">
        <v>25</v>
      </c>
      <c r="AB609" t="s">
        <v>201</v>
      </c>
      <c r="AC609" s="3"/>
      <c r="AH609" t="s">
        <v>202</v>
      </c>
      <c r="AK609" t="s">
        <v>203</v>
      </c>
      <c r="AP609" t="s">
        <v>200</v>
      </c>
      <c r="AR609" s="25"/>
      <c r="AT609" s="25">
        <v>0</v>
      </c>
      <c r="AU609" s="26"/>
      <c r="AV609" s="26"/>
      <c r="AW609" s="26"/>
      <c r="AX609" s="26" t="str">
        <f t="shared" si="27"/>
        <v/>
      </c>
      <c r="AY609" t="str">
        <f t="shared" si="28"/>
        <v/>
      </c>
      <c r="AZ609" t="s">
        <v>200</v>
      </c>
      <c r="BA609" s="3"/>
      <c r="BB609" t="str">
        <f t="shared" si="29"/>
        <v>No scrap rate (No impact);</v>
      </c>
    </row>
    <row r="610" spans="1:54" x14ac:dyDescent="0.3">
      <c r="A610" t="s">
        <v>2224</v>
      </c>
      <c r="B610" t="s">
        <v>2225</v>
      </c>
      <c r="C610" t="s">
        <v>1256</v>
      </c>
      <c r="D610" t="s">
        <v>1257</v>
      </c>
      <c r="G610" t="s">
        <v>1615</v>
      </c>
      <c r="H610" t="s">
        <v>1616</v>
      </c>
      <c r="J610" t="s">
        <v>1046</v>
      </c>
      <c r="L610">
        <v>0</v>
      </c>
      <c r="M610">
        <v>0.01</v>
      </c>
      <c r="N610" t="s">
        <v>198</v>
      </c>
      <c r="O610">
        <v>0.01</v>
      </c>
      <c r="P610" t="s">
        <v>198</v>
      </c>
      <c r="Q610" t="s">
        <v>199</v>
      </c>
      <c r="R610" s="3"/>
      <c r="W610" t="s">
        <v>200</v>
      </c>
      <c r="X610" s="25"/>
      <c r="Y610" s="26"/>
      <c r="Z610" s="27"/>
      <c r="AA610" t="s">
        <v>25</v>
      </c>
      <c r="AB610" t="s">
        <v>201</v>
      </c>
      <c r="AC610" s="3"/>
      <c r="AH610" t="s">
        <v>202</v>
      </c>
      <c r="AK610" t="s">
        <v>203</v>
      </c>
      <c r="AP610" t="s">
        <v>200</v>
      </c>
      <c r="AR610" s="25"/>
      <c r="AT610" s="25">
        <v>0</v>
      </c>
      <c r="AU610" s="26"/>
      <c r="AV610" s="26"/>
      <c r="AW610" s="26"/>
      <c r="AX610" s="26" t="str">
        <f t="shared" si="27"/>
        <v/>
      </c>
      <c r="AY610" t="str">
        <f t="shared" si="28"/>
        <v/>
      </c>
      <c r="AZ610" t="s">
        <v>200</v>
      </c>
      <c r="BA610" s="3"/>
      <c r="BB610" t="str">
        <f t="shared" si="29"/>
        <v>No scrap rate (No impact);</v>
      </c>
    </row>
    <row r="611" spans="1:54" x14ac:dyDescent="0.3">
      <c r="A611" t="s">
        <v>2226</v>
      </c>
      <c r="B611" t="s">
        <v>2227</v>
      </c>
      <c r="C611" t="s">
        <v>1256</v>
      </c>
      <c r="D611" t="s">
        <v>1257</v>
      </c>
      <c r="G611" t="s">
        <v>1615</v>
      </c>
      <c r="H611" t="s">
        <v>1616</v>
      </c>
      <c r="J611" t="s">
        <v>1046</v>
      </c>
      <c r="L611">
        <v>0</v>
      </c>
      <c r="M611">
        <v>0.01</v>
      </c>
      <c r="N611" t="s">
        <v>198</v>
      </c>
      <c r="O611">
        <v>0.01</v>
      </c>
      <c r="P611" t="s">
        <v>198</v>
      </c>
      <c r="Q611" t="s">
        <v>199</v>
      </c>
      <c r="R611" s="3"/>
      <c r="W611" t="s">
        <v>200</v>
      </c>
      <c r="X611" s="25"/>
      <c r="Y611" s="26"/>
      <c r="Z611" s="27"/>
      <c r="AA611" t="s">
        <v>25</v>
      </c>
      <c r="AB611" t="s">
        <v>201</v>
      </c>
      <c r="AC611" s="3"/>
      <c r="AH611" t="s">
        <v>202</v>
      </c>
      <c r="AK611" t="s">
        <v>203</v>
      </c>
      <c r="AP611" t="s">
        <v>200</v>
      </c>
      <c r="AR611" s="25"/>
      <c r="AT611" s="25">
        <v>0</v>
      </c>
      <c r="AU611" s="26"/>
      <c r="AV611" s="26"/>
      <c r="AW611" s="26"/>
      <c r="AX611" s="26" t="str">
        <f t="shared" si="27"/>
        <v/>
      </c>
      <c r="AY611" t="str">
        <f t="shared" si="28"/>
        <v/>
      </c>
      <c r="AZ611" t="s">
        <v>200</v>
      </c>
      <c r="BA611" s="3"/>
      <c r="BB611" t="str">
        <f t="shared" si="29"/>
        <v>No scrap rate (No impact);</v>
      </c>
    </row>
    <row r="612" spans="1:54" x14ac:dyDescent="0.3">
      <c r="A612" t="s">
        <v>2228</v>
      </c>
      <c r="B612" t="s">
        <v>2229</v>
      </c>
      <c r="C612" t="s">
        <v>1256</v>
      </c>
      <c r="D612" t="s">
        <v>1257</v>
      </c>
      <c r="G612" t="s">
        <v>1615</v>
      </c>
      <c r="H612" t="s">
        <v>1616</v>
      </c>
      <c r="J612" t="s">
        <v>1046</v>
      </c>
      <c r="L612">
        <v>0</v>
      </c>
      <c r="M612">
        <v>2E-3</v>
      </c>
      <c r="N612" t="s">
        <v>198</v>
      </c>
      <c r="O612">
        <v>2E-3</v>
      </c>
      <c r="P612" t="s">
        <v>198</v>
      </c>
      <c r="Q612" t="s">
        <v>199</v>
      </c>
      <c r="R612" s="3"/>
      <c r="W612" t="s">
        <v>200</v>
      </c>
      <c r="X612" s="25"/>
      <c r="Y612" s="26"/>
      <c r="Z612" s="27"/>
      <c r="AA612" t="s">
        <v>25</v>
      </c>
      <c r="AB612" t="s">
        <v>201</v>
      </c>
      <c r="AC612" s="3"/>
      <c r="AH612" t="s">
        <v>202</v>
      </c>
      <c r="AK612" t="s">
        <v>203</v>
      </c>
      <c r="AP612" t="s">
        <v>200</v>
      </c>
      <c r="AR612" s="25"/>
      <c r="AT612" s="25">
        <v>0</v>
      </c>
      <c r="AU612" s="26"/>
      <c r="AV612" s="26"/>
      <c r="AW612" s="26"/>
      <c r="AX612" s="26" t="str">
        <f t="shared" si="27"/>
        <v/>
      </c>
      <c r="AY612" t="str">
        <f t="shared" si="28"/>
        <v/>
      </c>
      <c r="AZ612" t="s">
        <v>200</v>
      </c>
      <c r="BA612" s="3"/>
      <c r="BB612" t="str">
        <f t="shared" si="29"/>
        <v>No scrap rate (No impact);</v>
      </c>
    </row>
    <row r="613" spans="1:54" x14ac:dyDescent="0.3">
      <c r="A613" t="s">
        <v>2230</v>
      </c>
      <c r="B613" t="s">
        <v>2231</v>
      </c>
      <c r="C613" t="s">
        <v>1256</v>
      </c>
      <c r="D613" t="s">
        <v>1257</v>
      </c>
      <c r="G613" t="s">
        <v>1615</v>
      </c>
      <c r="H613" t="s">
        <v>1616</v>
      </c>
      <c r="J613" t="s">
        <v>1046</v>
      </c>
      <c r="L613">
        <v>0</v>
      </c>
      <c r="M613">
        <v>2E-3</v>
      </c>
      <c r="N613" t="s">
        <v>198</v>
      </c>
      <c r="O613">
        <v>2E-3</v>
      </c>
      <c r="P613" t="s">
        <v>198</v>
      </c>
      <c r="Q613" t="s">
        <v>199</v>
      </c>
      <c r="R613" s="3"/>
      <c r="W613" t="s">
        <v>200</v>
      </c>
      <c r="X613" s="25"/>
      <c r="Y613" s="26"/>
      <c r="Z613" s="27"/>
      <c r="AA613" t="s">
        <v>25</v>
      </c>
      <c r="AB613" t="s">
        <v>201</v>
      </c>
      <c r="AC613" s="3"/>
      <c r="AH613" t="s">
        <v>202</v>
      </c>
      <c r="AK613" t="s">
        <v>203</v>
      </c>
      <c r="AP613" t="s">
        <v>200</v>
      </c>
      <c r="AR613" s="25"/>
      <c r="AT613" s="25">
        <v>0</v>
      </c>
      <c r="AU613" s="26"/>
      <c r="AV613" s="26"/>
      <c r="AW613" s="26"/>
      <c r="AX613" s="26" t="str">
        <f t="shared" si="27"/>
        <v/>
      </c>
      <c r="AY613" t="str">
        <f t="shared" si="28"/>
        <v/>
      </c>
      <c r="AZ613" t="s">
        <v>200</v>
      </c>
      <c r="BA613" s="3"/>
      <c r="BB613" t="str">
        <f t="shared" si="29"/>
        <v>No scrap rate (No impact);</v>
      </c>
    </row>
    <row r="614" spans="1:54" x14ac:dyDescent="0.3">
      <c r="A614" t="s">
        <v>2232</v>
      </c>
      <c r="B614" t="s">
        <v>2233</v>
      </c>
      <c r="C614" t="s">
        <v>1256</v>
      </c>
      <c r="D614" t="s">
        <v>1257</v>
      </c>
      <c r="G614" t="s">
        <v>1615</v>
      </c>
      <c r="H614" t="s">
        <v>1616</v>
      </c>
      <c r="J614" t="s">
        <v>1046</v>
      </c>
      <c r="L614">
        <v>0</v>
      </c>
      <c r="M614">
        <v>2E-3</v>
      </c>
      <c r="N614" t="s">
        <v>198</v>
      </c>
      <c r="O614">
        <v>2E-3</v>
      </c>
      <c r="P614" t="s">
        <v>198</v>
      </c>
      <c r="Q614" t="s">
        <v>199</v>
      </c>
      <c r="R614" s="3"/>
      <c r="W614" t="s">
        <v>200</v>
      </c>
      <c r="X614" s="25"/>
      <c r="Y614" s="26"/>
      <c r="Z614" s="27"/>
      <c r="AA614" t="s">
        <v>25</v>
      </c>
      <c r="AB614" t="s">
        <v>201</v>
      </c>
      <c r="AC614" s="3"/>
      <c r="AH614" t="s">
        <v>202</v>
      </c>
      <c r="AK614" t="s">
        <v>203</v>
      </c>
      <c r="AP614" t="s">
        <v>200</v>
      </c>
      <c r="AR614" s="25"/>
      <c r="AT614" s="25">
        <v>0</v>
      </c>
      <c r="AU614" s="26"/>
      <c r="AV614" s="26"/>
      <c r="AW614" s="26"/>
      <c r="AX614" s="26" t="str">
        <f t="shared" si="27"/>
        <v/>
      </c>
      <c r="AY614" t="str">
        <f t="shared" si="28"/>
        <v/>
      </c>
      <c r="AZ614" t="s">
        <v>200</v>
      </c>
      <c r="BA614" s="3"/>
      <c r="BB614" t="str">
        <f t="shared" si="29"/>
        <v>No scrap rate (No impact);</v>
      </c>
    </row>
    <row r="615" spans="1:54" x14ac:dyDescent="0.3">
      <c r="A615" t="s">
        <v>2234</v>
      </c>
      <c r="B615" t="s">
        <v>2235</v>
      </c>
      <c r="C615" t="s">
        <v>1256</v>
      </c>
      <c r="D615" t="s">
        <v>1257</v>
      </c>
      <c r="G615" t="s">
        <v>1615</v>
      </c>
      <c r="H615" t="s">
        <v>1616</v>
      </c>
      <c r="J615" t="s">
        <v>1046</v>
      </c>
      <c r="L615">
        <v>0</v>
      </c>
      <c r="M615">
        <v>4.0000000000000001E-3</v>
      </c>
      <c r="N615" t="s">
        <v>198</v>
      </c>
      <c r="O615">
        <v>4.0000000000000001E-3</v>
      </c>
      <c r="P615" t="s">
        <v>198</v>
      </c>
      <c r="Q615" t="s">
        <v>199</v>
      </c>
      <c r="R615" s="3"/>
      <c r="W615" t="s">
        <v>200</v>
      </c>
      <c r="X615" s="25"/>
      <c r="Y615" s="26"/>
      <c r="Z615" s="27"/>
      <c r="AA615" t="s">
        <v>25</v>
      </c>
      <c r="AB615" t="s">
        <v>201</v>
      </c>
      <c r="AC615" s="3"/>
      <c r="AH615" t="s">
        <v>202</v>
      </c>
      <c r="AK615" t="s">
        <v>203</v>
      </c>
      <c r="AP615" t="s">
        <v>200</v>
      </c>
      <c r="AR615" s="25"/>
      <c r="AT615" s="25">
        <v>0</v>
      </c>
      <c r="AU615" s="26"/>
      <c r="AV615" s="26"/>
      <c r="AW615" s="26"/>
      <c r="AX615" s="26" t="str">
        <f t="shared" si="27"/>
        <v/>
      </c>
      <c r="AY615" t="str">
        <f t="shared" si="28"/>
        <v/>
      </c>
      <c r="AZ615" t="s">
        <v>200</v>
      </c>
      <c r="BA615" s="3"/>
      <c r="BB615" t="str">
        <f t="shared" si="29"/>
        <v>No scrap rate (No impact);</v>
      </c>
    </row>
    <row r="616" spans="1:54" x14ac:dyDescent="0.3">
      <c r="A616" t="s">
        <v>2236</v>
      </c>
      <c r="B616" t="s">
        <v>2237</v>
      </c>
      <c r="C616" t="s">
        <v>1256</v>
      </c>
      <c r="D616" t="s">
        <v>1257</v>
      </c>
      <c r="G616" t="s">
        <v>1615</v>
      </c>
      <c r="H616" t="s">
        <v>1616</v>
      </c>
      <c r="J616" t="s">
        <v>1046</v>
      </c>
      <c r="L616">
        <v>0</v>
      </c>
      <c r="M616">
        <v>0.01</v>
      </c>
      <c r="N616" t="s">
        <v>198</v>
      </c>
      <c r="O616">
        <v>0.01</v>
      </c>
      <c r="P616" t="s">
        <v>198</v>
      </c>
      <c r="Q616" t="s">
        <v>199</v>
      </c>
      <c r="R616" s="3"/>
      <c r="W616" t="s">
        <v>200</v>
      </c>
      <c r="X616" s="25"/>
      <c r="Y616" s="26"/>
      <c r="Z616" s="27"/>
      <c r="AA616" t="s">
        <v>25</v>
      </c>
      <c r="AB616" t="s">
        <v>201</v>
      </c>
      <c r="AC616" s="3"/>
      <c r="AH616" t="s">
        <v>202</v>
      </c>
      <c r="AK616" t="s">
        <v>203</v>
      </c>
      <c r="AP616" t="s">
        <v>200</v>
      </c>
      <c r="AR616" s="25"/>
      <c r="AT616" s="25">
        <v>0</v>
      </c>
      <c r="AU616" s="26"/>
      <c r="AV616" s="26"/>
      <c r="AW616" s="26"/>
      <c r="AX616" s="26" t="str">
        <f t="shared" si="27"/>
        <v/>
      </c>
      <c r="AY616" t="str">
        <f t="shared" si="28"/>
        <v/>
      </c>
      <c r="AZ616" t="s">
        <v>200</v>
      </c>
      <c r="BA616" s="3"/>
      <c r="BB616" t="str">
        <f t="shared" si="29"/>
        <v>No scrap rate (No impact);</v>
      </c>
    </row>
    <row r="617" spans="1:54" x14ac:dyDescent="0.3">
      <c r="A617" t="s">
        <v>2238</v>
      </c>
      <c r="B617" t="s">
        <v>2239</v>
      </c>
      <c r="C617" t="s">
        <v>1256</v>
      </c>
      <c r="D617" t="s">
        <v>1257</v>
      </c>
      <c r="G617" t="s">
        <v>1615</v>
      </c>
      <c r="H617" t="s">
        <v>1616</v>
      </c>
      <c r="J617" t="s">
        <v>1046</v>
      </c>
      <c r="L617">
        <v>0</v>
      </c>
      <c r="M617">
        <v>0.01</v>
      </c>
      <c r="N617" t="s">
        <v>198</v>
      </c>
      <c r="O617">
        <v>0.01</v>
      </c>
      <c r="P617" t="s">
        <v>198</v>
      </c>
      <c r="Q617" t="s">
        <v>199</v>
      </c>
      <c r="R617" s="3"/>
      <c r="W617" t="s">
        <v>200</v>
      </c>
      <c r="X617" s="25"/>
      <c r="Y617" s="26"/>
      <c r="Z617" s="27"/>
      <c r="AA617" t="s">
        <v>25</v>
      </c>
      <c r="AB617" t="s">
        <v>201</v>
      </c>
      <c r="AC617" s="3"/>
      <c r="AH617" t="s">
        <v>202</v>
      </c>
      <c r="AK617" t="s">
        <v>203</v>
      </c>
      <c r="AP617" t="s">
        <v>200</v>
      </c>
      <c r="AR617" s="25"/>
      <c r="AT617" s="25">
        <v>0</v>
      </c>
      <c r="AU617" s="26"/>
      <c r="AV617" s="26"/>
      <c r="AW617" s="26"/>
      <c r="AX617" s="26" t="str">
        <f t="shared" si="27"/>
        <v/>
      </c>
      <c r="AY617" t="str">
        <f t="shared" si="28"/>
        <v/>
      </c>
      <c r="AZ617" t="s">
        <v>200</v>
      </c>
      <c r="BA617" s="3"/>
      <c r="BB617" t="str">
        <f t="shared" si="29"/>
        <v>No scrap rate (No impact);</v>
      </c>
    </row>
    <row r="618" spans="1:54" x14ac:dyDescent="0.3">
      <c r="A618" t="s">
        <v>2240</v>
      </c>
      <c r="B618" t="s">
        <v>2241</v>
      </c>
      <c r="C618" t="s">
        <v>1110</v>
      </c>
      <c r="D618" t="s">
        <v>1111</v>
      </c>
      <c r="G618" t="s">
        <v>1428</v>
      </c>
      <c r="H618" t="s">
        <v>1429</v>
      </c>
      <c r="J618" t="s">
        <v>1089</v>
      </c>
      <c r="L618">
        <v>0</v>
      </c>
      <c r="M618">
        <v>0.02</v>
      </c>
      <c r="N618" t="s">
        <v>198</v>
      </c>
      <c r="O618">
        <v>0.02</v>
      </c>
      <c r="P618" t="s">
        <v>198</v>
      </c>
      <c r="Q618" t="s">
        <v>199</v>
      </c>
      <c r="R618" s="3"/>
      <c r="W618" t="s">
        <v>200</v>
      </c>
      <c r="X618" s="25"/>
      <c r="Y618" s="26"/>
      <c r="Z618" s="27"/>
      <c r="AA618" t="s">
        <v>25</v>
      </c>
      <c r="AB618" t="s">
        <v>201</v>
      </c>
      <c r="AC618" s="3"/>
      <c r="AH618" t="s">
        <v>202</v>
      </c>
      <c r="AK618" t="s">
        <v>203</v>
      </c>
      <c r="AP618" t="s">
        <v>200</v>
      </c>
      <c r="AR618" s="25"/>
      <c r="AT618" s="25">
        <v>0</v>
      </c>
      <c r="AU618" s="26"/>
      <c r="AV618" s="26"/>
      <c r="AW618" s="26"/>
      <c r="AX618" s="26" t="str">
        <f t="shared" si="27"/>
        <v/>
      </c>
      <c r="AY618" t="str">
        <f t="shared" si="28"/>
        <v/>
      </c>
      <c r="AZ618" t="s">
        <v>200</v>
      </c>
      <c r="BA618" s="3"/>
      <c r="BB618" t="str">
        <f t="shared" si="29"/>
        <v>No scrap rate (No impact);</v>
      </c>
    </row>
    <row r="619" spans="1:54" x14ac:dyDescent="0.3">
      <c r="A619" t="s">
        <v>2242</v>
      </c>
      <c r="B619" t="s">
        <v>2243</v>
      </c>
      <c r="C619" t="s">
        <v>1110</v>
      </c>
      <c r="D619" t="s">
        <v>1111</v>
      </c>
      <c r="G619" t="s">
        <v>903</v>
      </c>
      <c r="H619" t="s">
        <v>361</v>
      </c>
      <c r="J619" t="s">
        <v>1089</v>
      </c>
      <c r="L619">
        <v>0</v>
      </c>
      <c r="M619">
        <v>0.02</v>
      </c>
      <c r="N619" t="s">
        <v>198</v>
      </c>
      <c r="O619">
        <v>0.02</v>
      </c>
      <c r="P619" t="s">
        <v>198</v>
      </c>
      <c r="Q619" t="s">
        <v>199</v>
      </c>
      <c r="R619" s="3"/>
      <c r="W619" t="s">
        <v>200</v>
      </c>
      <c r="X619" s="25"/>
      <c r="Y619" s="26"/>
      <c r="Z619" s="27"/>
      <c r="AA619" t="s">
        <v>25</v>
      </c>
      <c r="AB619" t="s">
        <v>201</v>
      </c>
      <c r="AC619" s="3"/>
      <c r="AH619" t="s">
        <v>202</v>
      </c>
      <c r="AK619" t="s">
        <v>203</v>
      </c>
      <c r="AP619" t="s">
        <v>200</v>
      </c>
      <c r="AR619" s="25"/>
      <c r="AT619" s="25">
        <v>0</v>
      </c>
      <c r="AU619" s="26"/>
      <c r="AV619" s="26"/>
      <c r="AW619" s="26"/>
      <c r="AX619" s="26" t="str">
        <f t="shared" si="27"/>
        <v/>
      </c>
      <c r="AY619" t="str">
        <f t="shared" si="28"/>
        <v/>
      </c>
      <c r="AZ619" t="s">
        <v>200</v>
      </c>
      <c r="BA619" s="3"/>
      <c r="BB619" t="str">
        <f t="shared" si="29"/>
        <v>No scrap rate (No impact);</v>
      </c>
    </row>
    <row r="620" spans="1:54" x14ac:dyDescent="0.3">
      <c r="A620" t="s">
        <v>2244</v>
      </c>
      <c r="B620" t="s">
        <v>2245</v>
      </c>
      <c r="C620" t="s">
        <v>1110</v>
      </c>
      <c r="D620" t="s">
        <v>1111</v>
      </c>
      <c r="G620" t="s">
        <v>903</v>
      </c>
      <c r="H620" t="s">
        <v>361</v>
      </c>
      <c r="J620" t="s">
        <v>1089</v>
      </c>
      <c r="L620">
        <v>0</v>
      </c>
      <c r="M620">
        <v>0.02</v>
      </c>
      <c r="N620" t="s">
        <v>198</v>
      </c>
      <c r="O620">
        <v>0.02</v>
      </c>
      <c r="P620" t="s">
        <v>198</v>
      </c>
      <c r="Q620" t="s">
        <v>199</v>
      </c>
      <c r="R620" s="3"/>
      <c r="W620" t="s">
        <v>200</v>
      </c>
      <c r="X620" s="25"/>
      <c r="Y620" s="26"/>
      <c r="Z620" s="27"/>
      <c r="AA620" t="s">
        <v>25</v>
      </c>
      <c r="AB620" t="s">
        <v>201</v>
      </c>
      <c r="AC620" s="3"/>
      <c r="AH620" t="s">
        <v>202</v>
      </c>
      <c r="AK620" t="s">
        <v>203</v>
      </c>
      <c r="AP620" t="s">
        <v>200</v>
      </c>
      <c r="AR620" s="25"/>
      <c r="AT620" s="25">
        <v>0</v>
      </c>
      <c r="AU620" s="26"/>
      <c r="AV620" s="26"/>
      <c r="AW620" s="26"/>
      <c r="AX620" s="26" t="str">
        <f t="shared" si="27"/>
        <v/>
      </c>
      <c r="AY620" t="str">
        <f t="shared" si="28"/>
        <v/>
      </c>
      <c r="AZ620" t="s">
        <v>200</v>
      </c>
      <c r="BA620" s="3"/>
      <c r="BB620" t="str">
        <f t="shared" si="29"/>
        <v>No scrap rate (No impact);</v>
      </c>
    </row>
    <row r="621" spans="1:54" x14ac:dyDescent="0.3">
      <c r="A621" t="s">
        <v>2246</v>
      </c>
      <c r="B621" t="s">
        <v>2247</v>
      </c>
      <c r="C621" t="s">
        <v>1110</v>
      </c>
      <c r="D621" t="s">
        <v>1111</v>
      </c>
      <c r="G621" t="s">
        <v>903</v>
      </c>
      <c r="H621" t="s">
        <v>361</v>
      </c>
      <c r="J621" t="s">
        <v>1089</v>
      </c>
      <c r="L621">
        <v>0</v>
      </c>
      <c r="M621">
        <v>2.7E-2</v>
      </c>
      <c r="N621" t="s">
        <v>198</v>
      </c>
      <c r="O621">
        <v>2.7E-2</v>
      </c>
      <c r="P621" t="s">
        <v>198</v>
      </c>
      <c r="Q621" t="s">
        <v>199</v>
      </c>
      <c r="R621" s="3"/>
      <c r="W621" t="s">
        <v>200</v>
      </c>
      <c r="X621" s="25"/>
      <c r="Y621" s="26"/>
      <c r="Z621" s="27"/>
      <c r="AA621" t="s">
        <v>25</v>
      </c>
      <c r="AB621" t="s">
        <v>201</v>
      </c>
      <c r="AC621" s="3"/>
      <c r="AH621" t="s">
        <v>202</v>
      </c>
      <c r="AK621" t="s">
        <v>203</v>
      </c>
      <c r="AP621" t="s">
        <v>200</v>
      </c>
      <c r="AR621" s="25"/>
      <c r="AT621" s="25">
        <v>0</v>
      </c>
      <c r="AU621" s="26"/>
      <c r="AV621" s="26"/>
      <c r="AW621" s="26"/>
      <c r="AX621" s="26" t="str">
        <f t="shared" si="27"/>
        <v/>
      </c>
      <c r="AY621" t="str">
        <f t="shared" si="28"/>
        <v/>
      </c>
      <c r="AZ621" t="s">
        <v>200</v>
      </c>
      <c r="BA621" s="3"/>
      <c r="BB621" t="str">
        <f t="shared" si="29"/>
        <v>No scrap rate (No impact);</v>
      </c>
    </row>
    <row r="622" spans="1:54" x14ac:dyDescent="0.3">
      <c r="A622" t="s">
        <v>2248</v>
      </c>
      <c r="B622" t="s">
        <v>2249</v>
      </c>
      <c r="C622" t="s">
        <v>1256</v>
      </c>
      <c r="D622" t="s">
        <v>1257</v>
      </c>
      <c r="G622" t="s">
        <v>903</v>
      </c>
      <c r="H622" t="s">
        <v>361</v>
      </c>
      <c r="J622" t="s">
        <v>1590</v>
      </c>
      <c r="L622">
        <v>0</v>
      </c>
      <c r="M622">
        <v>3.0000000000000001E-3</v>
      </c>
      <c r="N622" t="s">
        <v>198</v>
      </c>
      <c r="O622">
        <v>3.0000000000000001E-3</v>
      </c>
      <c r="P622" t="s">
        <v>198</v>
      </c>
      <c r="Q622" t="s">
        <v>199</v>
      </c>
      <c r="R622" s="3"/>
      <c r="W622" t="s">
        <v>200</v>
      </c>
      <c r="X622" s="25"/>
      <c r="Y622" s="26"/>
      <c r="Z622" s="27"/>
      <c r="AA622" t="s">
        <v>25</v>
      </c>
      <c r="AB622" t="s">
        <v>201</v>
      </c>
      <c r="AC622" s="3"/>
      <c r="AH622" t="s">
        <v>202</v>
      </c>
      <c r="AK622" t="s">
        <v>203</v>
      </c>
      <c r="AP622" t="s">
        <v>200</v>
      </c>
      <c r="AR622" s="25"/>
      <c r="AT622" s="25">
        <v>0</v>
      </c>
      <c r="AU622" s="26"/>
      <c r="AV622" s="26"/>
      <c r="AW622" s="26"/>
      <c r="AX622" s="26" t="str">
        <f t="shared" si="27"/>
        <v/>
      </c>
      <c r="AY622" t="str">
        <f t="shared" si="28"/>
        <v/>
      </c>
      <c r="AZ622" t="s">
        <v>200</v>
      </c>
      <c r="BA622" s="3"/>
      <c r="BB622" t="str">
        <f t="shared" si="29"/>
        <v>No scrap rate (No impact);</v>
      </c>
    </row>
    <row r="623" spans="1:54" x14ac:dyDescent="0.3">
      <c r="A623" t="s">
        <v>2250</v>
      </c>
      <c r="B623" t="s">
        <v>2251</v>
      </c>
      <c r="C623" t="s">
        <v>1256</v>
      </c>
      <c r="D623" t="s">
        <v>1257</v>
      </c>
      <c r="G623" t="s">
        <v>196</v>
      </c>
      <c r="H623" t="s">
        <v>197</v>
      </c>
      <c r="J623" t="s">
        <v>1590</v>
      </c>
      <c r="L623">
        <v>0</v>
      </c>
      <c r="M623">
        <v>4.0000000000000001E-3</v>
      </c>
      <c r="N623" t="s">
        <v>198</v>
      </c>
      <c r="O623">
        <v>4.0000000000000001E-3</v>
      </c>
      <c r="P623" t="s">
        <v>198</v>
      </c>
      <c r="Q623" t="s">
        <v>199</v>
      </c>
      <c r="R623" s="3"/>
      <c r="W623" t="s">
        <v>200</v>
      </c>
      <c r="X623" s="25"/>
      <c r="Y623" s="26"/>
      <c r="Z623" s="27"/>
      <c r="AA623" t="s">
        <v>25</v>
      </c>
      <c r="AB623" t="s">
        <v>201</v>
      </c>
      <c r="AC623" s="3"/>
      <c r="AH623" t="s">
        <v>202</v>
      </c>
      <c r="AK623" t="s">
        <v>203</v>
      </c>
      <c r="AP623" t="s">
        <v>200</v>
      </c>
      <c r="AR623" s="25"/>
      <c r="AT623" s="25">
        <v>0</v>
      </c>
      <c r="AU623" s="26"/>
      <c r="AV623" s="26"/>
      <c r="AW623" s="26"/>
      <c r="AX623" s="26" t="str">
        <f t="shared" si="27"/>
        <v/>
      </c>
      <c r="AY623" t="str">
        <f t="shared" si="28"/>
        <v/>
      </c>
      <c r="AZ623" t="s">
        <v>200</v>
      </c>
      <c r="BA623" s="3"/>
      <c r="BB623" t="str">
        <f t="shared" si="29"/>
        <v>No scrap rate (No impact);</v>
      </c>
    </row>
    <row r="624" spans="1:54" x14ac:dyDescent="0.3">
      <c r="A624" t="s">
        <v>2252</v>
      </c>
      <c r="B624" t="s">
        <v>2253</v>
      </c>
      <c r="C624" t="s">
        <v>1256</v>
      </c>
      <c r="D624" t="s">
        <v>1257</v>
      </c>
      <c r="G624" t="s">
        <v>196</v>
      </c>
      <c r="H624" t="s">
        <v>197</v>
      </c>
      <c r="J624" t="s">
        <v>1590</v>
      </c>
      <c r="L624">
        <v>0</v>
      </c>
      <c r="M624">
        <v>4.0000000000000001E-3</v>
      </c>
      <c r="N624" t="s">
        <v>198</v>
      </c>
      <c r="O624">
        <v>4.0000000000000001E-3</v>
      </c>
      <c r="P624" t="s">
        <v>198</v>
      </c>
      <c r="Q624" t="s">
        <v>199</v>
      </c>
      <c r="R624" s="3"/>
      <c r="W624" t="s">
        <v>200</v>
      </c>
      <c r="X624" s="25"/>
      <c r="Y624" s="26"/>
      <c r="Z624" s="27"/>
      <c r="AA624" t="s">
        <v>25</v>
      </c>
      <c r="AB624" t="s">
        <v>201</v>
      </c>
      <c r="AC624" s="3"/>
      <c r="AH624" t="s">
        <v>202</v>
      </c>
      <c r="AK624" t="s">
        <v>203</v>
      </c>
      <c r="AP624" t="s">
        <v>200</v>
      </c>
      <c r="AR624" s="25"/>
      <c r="AT624" s="25">
        <v>0</v>
      </c>
      <c r="AU624" s="26"/>
      <c r="AV624" s="26"/>
      <c r="AW624" s="26"/>
      <c r="AX624" s="26" t="str">
        <f t="shared" si="27"/>
        <v/>
      </c>
      <c r="AY624" t="str">
        <f t="shared" si="28"/>
        <v/>
      </c>
      <c r="AZ624" t="s">
        <v>200</v>
      </c>
      <c r="BA624" s="3"/>
      <c r="BB624" t="str">
        <f t="shared" si="29"/>
        <v>No scrap rate (No impact);</v>
      </c>
    </row>
    <row r="625" spans="1:54" x14ac:dyDescent="0.3">
      <c r="A625" t="s">
        <v>2254</v>
      </c>
      <c r="B625" t="s">
        <v>2255</v>
      </c>
      <c r="C625" t="s">
        <v>1256</v>
      </c>
      <c r="D625" t="s">
        <v>1257</v>
      </c>
      <c r="G625" t="s">
        <v>196</v>
      </c>
      <c r="H625" t="s">
        <v>197</v>
      </c>
      <c r="J625" t="s">
        <v>1590</v>
      </c>
      <c r="L625">
        <v>0</v>
      </c>
      <c r="M625">
        <v>4.0000000000000001E-3</v>
      </c>
      <c r="N625" t="s">
        <v>198</v>
      </c>
      <c r="O625">
        <v>4.0000000000000001E-3</v>
      </c>
      <c r="P625" t="s">
        <v>198</v>
      </c>
      <c r="Q625" t="s">
        <v>199</v>
      </c>
      <c r="R625" s="3"/>
      <c r="W625" t="s">
        <v>200</v>
      </c>
      <c r="X625" s="25"/>
      <c r="Y625" s="26"/>
      <c r="Z625" s="27"/>
      <c r="AA625" t="s">
        <v>25</v>
      </c>
      <c r="AB625" t="s">
        <v>201</v>
      </c>
      <c r="AC625" s="3"/>
      <c r="AH625" t="s">
        <v>202</v>
      </c>
      <c r="AK625" t="s">
        <v>203</v>
      </c>
      <c r="AP625" t="s">
        <v>200</v>
      </c>
      <c r="AR625" s="25"/>
      <c r="AT625" s="25">
        <v>0</v>
      </c>
      <c r="AU625" s="26"/>
      <c r="AV625" s="26"/>
      <c r="AW625" s="26"/>
      <c r="AX625" s="26" t="str">
        <f t="shared" si="27"/>
        <v/>
      </c>
      <c r="AY625" t="str">
        <f t="shared" si="28"/>
        <v/>
      </c>
      <c r="AZ625" t="s">
        <v>200</v>
      </c>
      <c r="BA625" s="3"/>
      <c r="BB625" t="str">
        <f t="shared" si="29"/>
        <v>No scrap rate (No impact);</v>
      </c>
    </row>
    <row r="626" spans="1:54" x14ac:dyDescent="0.3">
      <c r="A626" t="s">
        <v>2256</v>
      </c>
      <c r="B626" t="s">
        <v>2257</v>
      </c>
      <c r="C626" t="s">
        <v>1256</v>
      </c>
      <c r="D626" t="s">
        <v>1257</v>
      </c>
      <c r="G626" t="s">
        <v>196</v>
      </c>
      <c r="H626" t="s">
        <v>197</v>
      </c>
      <c r="J626" t="s">
        <v>1590</v>
      </c>
      <c r="L626">
        <v>0</v>
      </c>
      <c r="M626">
        <v>4.0000000000000001E-3</v>
      </c>
      <c r="N626" t="s">
        <v>198</v>
      </c>
      <c r="O626">
        <v>4.0000000000000001E-3</v>
      </c>
      <c r="P626" t="s">
        <v>198</v>
      </c>
      <c r="Q626" t="s">
        <v>199</v>
      </c>
      <c r="R626" s="3"/>
      <c r="W626" t="s">
        <v>200</v>
      </c>
      <c r="X626" s="25"/>
      <c r="Y626" s="26"/>
      <c r="Z626" s="27"/>
      <c r="AA626" t="s">
        <v>25</v>
      </c>
      <c r="AB626" t="s">
        <v>201</v>
      </c>
      <c r="AC626" s="3"/>
      <c r="AH626" t="s">
        <v>202</v>
      </c>
      <c r="AK626" t="s">
        <v>203</v>
      </c>
      <c r="AP626" t="s">
        <v>200</v>
      </c>
      <c r="AR626" s="25"/>
      <c r="AT626" s="25">
        <v>0</v>
      </c>
      <c r="AU626" s="26"/>
      <c r="AV626" s="26"/>
      <c r="AW626" s="26"/>
      <c r="AX626" s="26" t="str">
        <f t="shared" si="27"/>
        <v/>
      </c>
      <c r="AY626" t="str">
        <f t="shared" si="28"/>
        <v/>
      </c>
      <c r="AZ626" t="s">
        <v>200</v>
      </c>
      <c r="BA626" s="3"/>
      <c r="BB626" t="str">
        <f t="shared" si="29"/>
        <v>No scrap rate (No impact);</v>
      </c>
    </row>
    <row r="627" spans="1:54" x14ac:dyDescent="0.3">
      <c r="A627" t="s">
        <v>2258</v>
      </c>
      <c r="B627" t="s">
        <v>2259</v>
      </c>
      <c r="C627" t="s">
        <v>1256</v>
      </c>
      <c r="D627" t="s">
        <v>1257</v>
      </c>
      <c r="G627" t="s">
        <v>1615</v>
      </c>
      <c r="H627" t="s">
        <v>1616</v>
      </c>
      <c r="J627" t="s">
        <v>1046</v>
      </c>
      <c r="L627">
        <v>0</v>
      </c>
      <c r="M627">
        <v>0.01</v>
      </c>
      <c r="N627" t="s">
        <v>198</v>
      </c>
      <c r="O627">
        <v>0.01</v>
      </c>
      <c r="P627" t="s">
        <v>198</v>
      </c>
      <c r="Q627" t="s">
        <v>199</v>
      </c>
      <c r="R627" s="3"/>
      <c r="W627" t="s">
        <v>200</v>
      </c>
      <c r="X627" s="25"/>
      <c r="Y627" s="26"/>
      <c r="Z627" s="27"/>
      <c r="AA627" t="s">
        <v>25</v>
      </c>
      <c r="AB627" t="s">
        <v>201</v>
      </c>
      <c r="AC627" s="3"/>
      <c r="AH627" t="s">
        <v>202</v>
      </c>
      <c r="AK627" t="s">
        <v>203</v>
      </c>
      <c r="AP627" t="s">
        <v>200</v>
      </c>
      <c r="AR627" s="25"/>
      <c r="AT627" s="25">
        <v>0</v>
      </c>
      <c r="AU627" s="26"/>
      <c r="AV627" s="26"/>
      <c r="AW627" s="26"/>
      <c r="AX627" s="26" t="str">
        <f t="shared" si="27"/>
        <v/>
      </c>
      <c r="AY627" t="str">
        <f t="shared" si="28"/>
        <v/>
      </c>
      <c r="AZ627" t="s">
        <v>200</v>
      </c>
      <c r="BA627" s="3"/>
      <c r="BB627" t="str">
        <f t="shared" si="29"/>
        <v>No scrap rate (No impact);</v>
      </c>
    </row>
    <row r="628" spans="1:54" x14ac:dyDescent="0.3">
      <c r="A628" t="s">
        <v>2260</v>
      </c>
      <c r="B628" t="s">
        <v>2261</v>
      </c>
      <c r="C628" t="s">
        <v>1256</v>
      </c>
      <c r="D628" t="s">
        <v>1257</v>
      </c>
      <c r="G628" t="s">
        <v>1615</v>
      </c>
      <c r="H628" t="s">
        <v>1616</v>
      </c>
      <c r="J628" t="s">
        <v>1046</v>
      </c>
      <c r="L628">
        <v>0</v>
      </c>
      <c r="M628">
        <v>0.01</v>
      </c>
      <c r="N628" t="s">
        <v>198</v>
      </c>
      <c r="O628">
        <v>0.01</v>
      </c>
      <c r="P628" t="s">
        <v>198</v>
      </c>
      <c r="Q628" t="s">
        <v>199</v>
      </c>
      <c r="R628" s="3"/>
      <c r="W628" t="s">
        <v>200</v>
      </c>
      <c r="X628" s="25"/>
      <c r="Y628" s="26"/>
      <c r="Z628" s="27"/>
      <c r="AA628" t="s">
        <v>25</v>
      </c>
      <c r="AB628" t="s">
        <v>201</v>
      </c>
      <c r="AC628" s="3"/>
      <c r="AH628" t="s">
        <v>202</v>
      </c>
      <c r="AK628" t="s">
        <v>203</v>
      </c>
      <c r="AP628" t="s">
        <v>200</v>
      </c>
      <c r="AR628" s="25"/>
      <c r="AT628" s="25">
        <v>0</v>
      </c>
      <c r="AU628" s="26"/>
      <c r="AV628" s="26"/>
      <c r="AW628" s="26"/>
      <c r="AX628" s="26" t="str">
        <f t="shared" si="27"/>
        <v/>
      </c>
      <c r="AY628" t="str">
        <f t="shared" si="28"/>
        <v/>
      </c>
      <c r="AZ628" t="s">
        <v>200</v>
      </c>
      <c r="BA628" s="3"/>
      <c r="BB628" t="str">
        <f t="shared" si="29"/>
        <v>No scrap rate (No impact);</v>
      </c>
    </row>
    <row r="629" spans="1:54" x14ac:dyDescent="0.3">
      <c r="A629" t="s">
        <v>2262</v>
      </c>
      <c r="B629" t="s">
        <v>2263</v>
      </c>
      <c r="C629" t="s">
        <v>1256</v>
      </c>
      <c r="D629" t="s">
        <v>1257</v>
      </c>
      <c r="G629" t="s">
        <v>1583</v>
      </c>
      <c r="H629" t="s">
        <v>1584</v>
      </c>
      <c r="J629" t="s">
        <v>1060</v>
      </c>
      <c r="L629">
        <v>0</v>
      </c>
      <c r="M629">
        <v>2E-3</v>
      </c>
      <c r="N629" t="s">
        <v>198</v>
      </c>
      <c r="O629">
        <v>2E-3</v>
      </c>
      <c r="P629" t="s">
        <v>198</v>
      </c>
      <c r="Q629" t="s">
        <v>199</v>
      </c>
      <c r="R629" s="3"/>
      <c r="W629" t="s">
        <v>200</v>
      </c>
      <c r="X629" s="25"/>
      <c r="Y629" s="26"/>
      <c r="Z629" s="27"/>
      <c r="AA629" t="s">
        <v>25</v>
      </c>
      <c r="AB629" t="s">
        <v>201</v>
      </c>
      <c r="AC629" s="3"/>
      <c r="AH629" t="s">
        <v>202</v>
      </c>
      <c r="AK629" t="s">
        <v>203</v>
      </c>
      <c r="AP629" t="s">
        <v>200</v>
      </c>
      <c r="AR629" s="25"/>
      <c r="AT629" s="25">
        <v>0</v>
      </c>
      <c r="AU629" s="26"/>
      <c r="AV629" s="26"/>
      <c r="AW629" s="26"/>
      <c r="AX629" s="26" t="str">
        <f t="shared" si="27"/>
        <v/>
      </c>
      <c r="AY629" t="str">
        <f t="shared" si="28"/>
        <v/>
      </c>
      <c r="AZ629" t="s">
        <v>200</v>
      </c>
      <c r="BA629" s="3"/>
      <c r="BB629" t="str">
        <f t="shared" si="29"/>
        <v>No scrap rate (No impact);</v>
      </c>
    </row>
    <row r="630" spans="1:54" x14ac:dyDescent="0.3">
      <c r="A630" t="s">
        <v>2264</v>
      </c>
      <c r="B630" t="s">
        <v>2265</v>
      </c>
      <c r="C630" t="s">
        <v>1256</v>
      </c>
      <c r="D630" t="s">
        <v>1257</v>
      </c>
      <c r="G630" t="s">
        <v>1583</v>
      </c>
      <c r="H630" t="s">
        <v>1584</v>
      </c>
      <c r="J630" t="s">
        <v>1046</v>
      </c>
      <c r="L630">
        <v>0</v>
      </c>
      <c r="M630">
        <v>1.2999999999999999E-2</v>
      </c>
      <c r="N630" t="s">
        <v>198</v>
      </c>
      <c r="O630">
        <v>1.2999999999999999E-2</v>
      </c>
      <c r="P630" t="s">
        <v>198</v>
      </c>
      <c r="Q630" t="s">
        <v>199</v>
      </c>
      <c r="R630" s="3"/>
      <c r="W630" t="s">
        <v>200</v>
      </c>
      <c r="X630" s="25"/>
      <c r="Y630" s="26"/>
      <c r="Z630" s="27"/>
      <c r="AA630" t="s">
        <v>25</v>
      </c>
      <c r="AB630" t="s">
        <v>201</v>
      </c>
      <c r="AC630" s="3"/>
      <c r="AH630" t="s">
        <v>202</v>
      </c>
      <c r="AK630" t="s">
        <v>203</v>
      </c>
      <c r="AP630" t="s">
        <v>200</v>
      </c>
      <c r="AR630" s="25"/>
      <c r="AT630" s="25">
        <v>0</v>
      </c>
      <c r="AU630" s="26"/>
      <c r="AV630" s="26"/>
      <c r="AW630" s="26"/>
      <c r="AX630" s="26" t="str">
        <f t="shared" si="27"/>
        <v/>
      </c>
      <c r="AY630" t="str">
        <f t="shared" si="28"/>
        <v/>
      </c>
      <c r="AZ630" t="s">
        <v>200</v>
      </c>
      <c r="BA630" s="3"/>
      <c r="BB630" t="str">
        <f t="shared" si="29"/>
        <v>No scrap rate (No impact);</v>
      </c>
    </row>
    <row r="631" spans="1:54" x14ac:dyDescent="0.3">
      <c r="A631" t="s">
        <v>2266</v>
      </c>
      <c r="B631" t="s">
        <v>2267</v>
      </c>
      <c r="C631" t="s">
        <v>1256</v>
      </c>
      <c r="D631" t="s">
        <v>1257</v>
      </c>
      <c r="G631" t="s">
        <v>196</v>
      </c>
      <c r="H631" t="s">
        <v>197</v>
      </c>
      <c r="J631" t="s">
        <v>1590</v>
      </c>
      <c r="L631">
        <v>0</v>
      </c>
      <c r="M631">
        <v>4.0000000000000001E-3</v>
      </c>
      <c r="N631" t="s">
        <v>198</v>
      </c>
      <c r="O631">
        <v>4.0000000000000001E-3</v>
      </c>
      <c r="P631" t="s">
        <v>198</v>
      </c>
      <c r="Q631" t="s">
        <v>199</v>
      </c>
      <c r="R631" s="3"/>
      <c r="W631" t="s">
        <v>200</v>
      </c>
      <c r="X631" s="25"/>
      <c r="Y631" s="26"/>
      <c r="Z631" s="27"/>
      <c r="AA631" t="s">
        <v>25</v>
      </c>
      <c r="AB631" t="s">
        <v>201</v>
      </c>
      <c r="AC631" s="3"/>
      <c r="AH631" t="s">
        <v>202</v>
      </c>
      <c r="AK631" t="s">
        <v>203</v>
      </c>
      <c r="AP631" t="s">
        <v>200</v>
      </c>
      <c r="AR631" s="25"/>
      <c r="AT631" s="25">
        <v>0</v>
      </c>
      <c r="AU631" s="26"/>
      <c r="AV631" s="26"/>
      <c r="AW631" s="26"/>
      <c r="AX631" s="26" t="str">
        <f t="shared" si="27"/>
        <v/>
      </c>
      <c r="AY631" t="str">
        <f t="shared" si="28"/>
        <v/>
      </c>
      <c r="AZ631" t="s">
        <v>200</v>
      </c>
      <c r="BA631" s="3"/>
      <c r="BB631" t="str">
        <f t="shared" si="29"/>
        <v>No scrap rate (No impact);</v>
      </c>
    </row>
    <row r="632" spans="1:54" x14ac:dyDescent="0.3">
      <c r="A632" t="s">
        <v>2268</v>
      </c>
      <c r="B632" t="s">
        <v>2269</v>
      </c>
      <c r="C632" t="s">
        <v>1256</v>
      </c>
      <c r="D632" t="s">
        <v>1257</v>
      </c>
      <c r="G632" t="s">
        <v>1615</v>
      </c>
      <c r="H632" t="s">
        <v>1616</v>
      </c>
      <c r="J632" t="s">
        <v>1060</v>
      </c>
      <c r="L632">
        <v>0</v>
      </c>
      <c r="M632">
        <v>7.0000000000000001E-3</v>
      </c>
      <c r="N632" t="s">
        <v>198</v>
      </c>
      <c r="O632">
        <v>7.0000000000000001E-3</v>
      </c>
      <c r="P632" t="s">
        <v>198</v>
      </c>
      <c r="Q632" t="s">
        <v>199</v>
      </c>
      <c r="R632" s="3"/>
      <c r="W632" t="s">
        <v>200</v>
      </c>
      <c r="X632" s="25"/>
      <c r="Y632" s="26"/>
      <c r="Z632" s="27"/>
      <c r="AA632" t="s">
        <v>25</v>
      </c>
      <c r="AB632" t="s">
        <v>201</v>
      </c>
      <c r="AC632" s="3"/>
      <c r="AH632" t="s">
        <v>202</v>
      </c>
      <c r="AK632" t="s">
        <v>203</v>
      </c>
      <c r="AP632" t="s">
        <v>200</v>
      </c>
      <c r="AR632" s="25"/>
      <c r="AT632" s="25">
        <v>0</v>
      </c>
      <c r="AU632" s="26"/>
      <c r="AV632" s="26"/>
      <c r="AW632" s="26"/>
      <c r="AX632" s="26" t="str">
        <f t="shared" si="27"/>
        <v/>
      </c>
      <c r="AY632" t="str">
        <f t="shared" si="28"/>
        <v/>
      </c>
      <c r="AZ632" t="s">
        <v>200</v>
      </c>
      <c r="BA632" s="3"/>
      <c r="BB632" t="str">
        <f t="shared" si="29"/>
        <v>No scrap rate (No impact);</v>
      </c>
    </row>
    <row r="633" spans="1:54" x14ac:dyDescent="0.3">
      <c r="A633" t="s">
        <v>2270</v>
      </c>
      <c r="B633" t="s">
        <v>2271</v>
      </c>
      <c r="C633" t="s">
        <v>1256</v>
      </c>
      <c r="D633" t="s">
        <v>1257</v>
      </c>
      <c r="G633" t="s">
        <v>196</v>
      </c>
      <c r="H633" t="s">
        <v>197</v>
      </c>
      <c r="J633" t="s">
        <v>1590</v>
      </c>
      <c r="L633">
        <v>0</v>
      </c>
      <c r="M633">
        <v>3.0000000000000001E-3</v>
      </c>
      <c r="N633" t="s">
        <v>198</v>
      </c>
      <c r="O633">
        <v>3.0000000000000001E-3</v>
      </c>
      <c r="P633" t="s">
        <v>198</v>
      </c>
      <c r="Q633" t="s">
        <v>199</v>
      </c>
      <c r="R633" s="3"/>
      <c r="W633" t="s">
        <v>200</v>
      </c>
      <c r="X633" s="25"/>
      <c r="Y633" s="26"/>
      <c r="Z633" s="27"/>
      <c r="AA633" t="s">
        <v>25</v>
      </c>
      <c r="AB633" t="s">
        <v>201</v>
      </c>
      <c r="AC633" s="3"/>
      <c r="AH633" t="s">
        <v>202</v>
      </c>
      <c r="AK633" t="s">
        <v>203</v>
      </c>
      <c r="AP633" t="s">
        <v>200</v>
      </c>
      <c r="AR633" s="25"/>
      <c r="AT633" s="25">
        <v>0</v>
      </c>
      <c r="AU633" s="26"/>
      <c r="AV633" s="26"/>
      <c r="AW633" s="26"/>
      <c r="AX633" s="26" t="str">
        <f t="shared" si="27"/>
        <v/>
      </c>
      <c r="AY633" t="str">
        <f t="shared" si="28"/>
        <v/>
      </c>
      <c r="AZ633" t="s">
        <v>200</v>
      </c>
      <c r="BA633" s="3"/>
      <c r="BB633" t="str">
        <f t="shared" si="29"/>
        <v>No scrap rate (No impact);</v>
      </c>
    </row>
    <row r="634" spans="1:54" x14ac:dyDescent="0.3">
      <c r="A634" t="s">
        <v>2272</v>
      </c>
      <c r="B634" t="s">
        <v>2273</v>
      </c>
      <c r="C634" t="s">
        <v>1256</v>
      </c>
      <c r="D634" t="s">
        <v>1257</v>
      </c>
      <c r="G634" t="s">
        <v>1615</v>
      </c>
      <c r="H634" t="s">
        <v>1616</v>
      </c>
      <c r="J634" t="s">
        <v>1060</v>
      </c>
      <c r="L634">
        <v>0</v>
      </c>
      <c r="M634">
        <v>7.0000000000000001E-3</v>
      </c>
      <c r="N634" t="s">
        <v>198</v>
      </c>
      <c r="O634">
        <v>7.0000000000000001E-3</v>
      </c>
      <c r="P634" t="s">
        <v>198</v>
      </c>
      <c r="Q634" t="s">
        <v>199</v>
      </c>
      <c r="R634" s="3"/>
      <c r="W634" t="s">
        <v>200</v>
      </c>
      <c r="X634" s="25"/>
      <c r="Y634" s="26"/>
      <c r="Z634" s="27"/>
      <c r="AA634" t="s">
        <v>25</v>
      </c>
      <c r="AB634" t="s">
        <v>201</v>
      </c>
      <c r="AC634" s="3"/>
      <c r="AH634" t="s">
        <v>202</v>
      </c>
      <c r="AK634" t="s">
        <v>203</v>
      </c>
      <c r="AP634" t="s">
        <v>200</v>
      </c>
      <c r="AR634" s="25"/>
      <c r="AT634" s="25">
        <v>0</v>
      </c>
      <c r="AU634" s="26"/>
      <c r="AV634" s="26"/>
      <c r="AW634" s="26"/>
      <c r="AX634" s="26" t="str">
        <f t="shared" si="27"/>
        <v/>
      </c>
      <c r="AY634" t="str">
        <f t="shared" si="28"/>
        <v/>
      </c>
      <c r="AZ634" t="s">
        <v>200</v>
      </c>
      <c r="BA634" s="3"/>
      <c r="BB634" t="str">
        <f t="shared" si="29"/>
        <v>No scrap rate (No impact);</v>
      </c>
    </row>
    <row r="635" spans="1:54" x14ac:dyDescent="0.3">
      <c r="A635" t="s">
        <v>2274</v>
      </c>
      <c r="B635" t="s">
        <v>2275</v>
      </c>
      <c r="C635" t="s">
        <v>1256</v>
      </c>
      <c r="D635" t="s">
        <v>1257</v>
      </c>
      <c r="G635" t="s">
        <v>196</v>
      </c>
      <c r="H635" t="s">
        <v>197</v>
      </c>
      <c r="J635" t="s">
        <v>1590</v>
      </c>
      <c r="L635">
        <v>0</v>
      </c>
      <c r="M635">
        <v>3.0000000000000001E-3</v>
      </c>
      <c r="N635" t="s">
        <v>198</v>
      </c>
      <c r="O635">
        <v>3.0000000000000001E-3</v>
      </c>
      <c r="P635" t="s">
        <v>198</v>
      </c>
      <c r="Q635" t="s">
        <v>199</v>
      </c>
      <c r="R635" s="3"/>
      <c r="W635" t="s">
        <v>200</v>
      </c>
      <c r="X635" s="25"/>
      <c r="Y635" s="26"/>
      <c r="Z635" s="27"/>
      <c r="AA635" t="s">
        <v>25</v>
      </c>
      <c r="AB635" t="s">
        <v>201</v>
      </c>
      <c r="AC635" s="3"/>
      <c r="AH635" t="s">
        <v>202</v>
      </c>
      <c r="AK635" t="s">
        <v>203</v>
      </c>
      <c r="AP635" t="s">
        <v>200</v>
      </c>
      <c r="AR635" s="25"/>
      <c r="AT635" s="25">
        <v>0</v>
      </c>
      <c r="AU635" s="26"/>
      <c r="AV635" s="26"/>
      <c r="AW635" s="26"/>
      <c r="AX635" s="26" t="str">
        <f t="shared" si="27"/>
        <v/>
      </c>
      <c r="AY635" t="str">
        <f t="shared" si="28"/>
        <v/>
      </c>
      <c r="AZ635" t="s">
        <v>200</v>
      </c>
      <c r="BA635" s="3"/>
      <c r="BB635" t="str">
        <f t="shared" si="29"/>
        <v>No scrap rate (No impact);</v>
      </c>
    </row>
    <row r="636" spans="1:54" x14ac:dyDescent="0.3">
      <c r="A636" t="s">
        <v>2276</v>
      </c>
      <c r="B636" t="s">
        <v>2277</v>
      </c>
      <c r="C636" t="s">
        <v>918</v>
      </c>
      <c r="D636" t="s">
        <v>919</v>
      </c>
      <c r="G636" t="s">
        <v>463</v>
      </c>
      <c r="H636" t="s">
        <v>464</v>
      </c>
      <c r="J636" t="s">
        <v>1067</v>
      </c>
      <c r="L636">
        <v>0</v>
      </c>
      <c r="M636">
        <v>6.5000000000000002E-2</v>
      </c>
      <c r="N636" t="s">
        <v>198</v>
      </c>
      <c r="O636">
        <v>6.5000000000000002E-2</v>
      </c>
      <c r="P636" t="s">
        <v>198</v>
      </c>
      <c r="Q636" t="s">
        <v>199</v>
      </c>
      <c r="R636" s="3"/>
      <c r="W636" t="s">
        <v>200</v>
      </c>
      <c r="X636" s="25"/>
      <c r="Y636" s="26"/>
      <c r="Z636" s="27"/>
      <c r="AA636" t="s">
        <v>25</v>
      </c>
      <c r="AB636" t="s">
        <v>201</v>
      </c>
      <c r="AC636" s="3"/>
      <c r="AH636" t="s">
        <v>202</v>
      </c>
      <c r="AK636" t="s">
        <v>203</v>
      </c>
      <c r="AP636" t="s">
        <v>200</v>
      </c>
      <c r="AR636" s="25"/>
      <c r="AT636" s="25">
        <v>0</v>
      </c>
      <c r="AU636" s="26"/>
      <c r="AV636" s="26"/>
      <c r="AW636" s="26"/>
      <c r="AX636" s="26" t="str">
        <f t="shared" si="27"/>
        <v/>
      </c>
      <c r="AY636" t="str">
        <f t="shared" si="28"/>
        <v/>
      </c>
      <c r="AZ636" t="s">
        <v>200</v>
      </c>
      <c r="BA636" s="3"/>
      <c r="BB636" t="str">
        <f t="shared" si="29"/>
        <v>No scrap rate (No impact);</v>
      </c>
    </row>
    <row r="637" spans="1:54" x14ac:dyDescent="0.3">
      <c r="A637" t="s">
        <v>2278</v>
      </c>
      <c r="B637" t="s">
        <v>2279</v>
      </c>
      <c r="C637" t="s">
        <v>1256</v>
      </c>
      <c r="D637" t="s">
        <v>1257</v>
      </c>
      <c r="G637" t="s">
        <v>463</v>
      </c>
      <c r="H637" t="s">
        <v>464</v>
      </c>
      <c r="J637" t="s">
        <v>1590</v>
      </c>
      <c r="L637">
        <v>0</v>
      </c>
      <c r="M637">
        <v>4.0000000000000001E-3</v>
      </c>
      <c r="N637" t="s">
        <v>198</v>
      </c>
      <c r="O637">
        <v>4.0000000000000001E-3</v>
      </c>
      <c r="P637" t="s">
        <v>198</v>
      </c>
      <c r="Q637" t="s">
        <v>199</v>
      </c>
      <c r="R637" s="3"/>
      <c r="W637" t="s">
        <v>200</v>
      </c>
      <c r="X637" s="25"/>
      <c r="Y637" s="26"/>
      <c r="Z637" s="27"/>
      <c r="AA637" t="s">
        <v>25</v>
      </c>
      <c r="AB637" t="s">
        <v>201</v>
      </c>
      <c r="AC637" s="3"/>
      <c r="AH637" t="s">
        <v>202</v>
      </c>
      <c r="AK637" t="s">
        <v>203</v>
      </c>
      <c r="AP637" t="s">
        <v>200</v>
      </c>
      <c r="AR637" s="25"/>
      <c r="AT637" s="25">
        <v>0</v>
      </c>
      <c r="AU637" s="26"/>
      <c r="AV637" s="26"/>
      <c r="AW637" s="26"/>
      <c r="AX637" s="26" t="str">
        <f t="shared" si="27"/>
        <v/>
      </c>
      <c r="AY637" t="str">
        <f t="shared" si="28"/>
        <v/>
      </c>
      <c r="AZ637" t="s">
        <v>200</v>
      </c>
      <c r="BA637" s="3"/>
      <c r="BB637" t="str">
        <f t="shared" si="29"/>
        <v>No scrap rate (No impact);</v>
      </c>
    </row>
    <row r="638" spans="1:54" x14ac:dyDescent="0.3">
      <c r="A638" t="s">
        <v>2280</v>
      </c>
      <c r="B638" t="s">
        <v>2281</v>
      </c>
      <c r="C638" t="s">
        <v>1256</v>
      </c>
      <c r="D638" t="s">
        <v>1257</v>
      </c>
      <c r="G638" t="s">
        <v>1615</v>
      </c>
      <c r="H638" t="s">
        <v>1616</v>
      </c>
      <c r="J638" t="s">
        <v>1060</v>
      </c>
      <c r="L638">
        <v>0</v>
      </c>
      <c r="M638">
        <v>1E-3</v>
      </c>
      <c r="N638" t="s">
        <v>198</v>
      </c>
      <c r="O638">
        <v>1E-3</v>
      </c>
      <c r="P638" t="s">
        <v>198</v>
      </c>
      <c r="Q638" t="s">
        <v>199</v>
      </c>
      <c r="R638" s="3"/>
      <c r="W638" t="s">
        <v>200</v>
      </c>
      <c r="X638" s="25"/>
      <c r="Y638" s="26"/>
      <c r="Z638" s="27"/>
      <c r="AA638" t="s">
        <v>25</v>
      </c>
      <c r="AB638" t="s">
        <v>201</v>
      </c>
      <c r="AC638" s="3"/>
      <c r="AH638" t="s">
        <v>202</v>
      </c>
      <c r="AK638" t="s">
        <v>203</v>
      </c>
      <c r="AP638" t="s">
        <v>200</v>
      </c>
      <c r="AR638" s="25"/>
      <c r="AT638" s="25">
        <v>0</v>
      </c>
      <c r="AU638" s="26"/>
      <c r="AV638" s="26"/>
      <c r="AW638" s="26"/>
      <c r="AX638" s="26" t="str">
        <f t="shared" si="27"/>
        <v/>
      </c>
      <c r="AY638" t="str">
        <f t="shared" si="28"/>
        <v/>
      </c>
      <c r="AZ638" t="s">
        <v>200</v>
      </c>
      <c r="BA638" s="3"/>
      <c r="BB638" t="str">
        <f t="shared" si="29"/>
        <v>No scrap rate (No impact);</v>
      </c>
    </row>
    <row r="639" spans="1:54" x14ac:dyDescent="0.3">
      <c r="A639" t="s">
        <v>2282</v>
      </c>
      <c r="B639" t="s">
        <v>2283</v>
      </c>
      <c r="C639" t="s">
        <v>1256</v>
      </c>
      <c r="D639" t="s">
        <v>1257</v>
      </c>
      <c r="G639" t="s">
        <v>196</v>
      </c>
      <c r="H639" t="s">
        <v>197</v>
      </c>
      <c r="J639" t="s">
        <v>1590</v>
      </c>
      <c r="L639">
        <v>0</v>
      </c>
      <c r="M639">
        <v>3.0000000000000001E-3</v>
      </c>
      <c r="N639" t="s">
        <v>198</v>
      </c>
      <c r="O639">
        <v>3.0000000000000001E-3</v>
      </c>
      <c r="P639" t="s">
        <v>198</v>
      </c>
      <c r="Q639" t="s">
        <v>199</v>
      </c>
      <c r="R639" s="3"/>
      <c r="W639" t="s">
        <v>200</v>
      </c>
      <c r="X639" s="25"/>
      <c r="Y639" s="26"/>
      <c r="Z639" s="27"/>
      <c r="AA639" t="s">
        <v>25</v>
      </c>
      <c r="AB639" t="s">
        <v>201</v>
      </c>
      <c r="AC639" s="3"/>
      <c r="AH639" t="s">
        <v>202</v>
      </c>
      <c r="AK639" t="s">
        <v>203</v>
      </c>
      <c r="AP639" t="s">
        <v>200</v>
      </c>
      <c r="AR639" s="25"/>
      <c r="AT639" s="25">
        <v>0</v>
      </c>
      <c r="AU639" s="26"/>
      <c r="AV639" s="26"/>
      <c r="AW639" s="26"/>
      <c r="AX639" s="26" t="str">
        <f t="shared" si="27"/>
        <v/>
      </c>
      <c r="AY639" t="str">
        <f t="shared" si="28"/>
        <v/>
      </c>
      <c r="AZ639" t="s">
        <v>200</v>
      </c>
      <c r="BA639" s="3"/>
      <c r="BB639" t="str">
        <f t="shared" si="29"/>
        <v>No scrap rate (No impact);</v>
      </c>
    </row>
    <row r="640" spans="1:54" x14ac:dyDescent="0.3">
      <c r="A640" t="s">
        <v>2284</v>
      </c>
      <c r="B640" t="s">
        <v>2285</v>
      </c>
      <c r="C640" t="s">
        <v>1256</v>
      </c>
      <c r="D640" t="s">
        <v>1257</v>
      </c>
      <c r="G640" t="s">
        <v>1615</v>
      </c>
      <c r="H640" t="s">
        <v>1616</v>
      </c>
      <c r="J640" t="s">
        <v>1046</v>
      </c>
      <c r="L640">
        <v>0</v>
      </c>
      <c r="M640">
        <v>1E-3</v>
      </c>
      <c r="N640" t="s">
        <v>198</v>
      </c>
      <c r="O640">
        <v>1E-3</v>
      </c>
      <c r="P640" t="s">
        <v>198</v>
      </c>
      <c r="Q640" t="s">
        <v>199</v>
      </c>
      <c r="R640" s="3"/>
      <c r="W640" t="s">
        <v>200</v>
      </c>
      <c r="X640" s="25"/>
      <c r="Y640" s="26"/>
      <c r="Z640" s="27"/>
      <c r="AA640" t="s">
        <v>25</v>
      </c>
      <c r="AB640" t="s">
        <v>201</v>
      </c>
      <c r="AC640" s="3"/>
      <c r="AH640" t="s">
        <v>202</v>
      </c>
      <c r="AK640" t="s">
        <v>203</v>
      </c>
      <c r="AP640" t="s">
        <v>200</v>
      </c>
      <c r="AR640" s="25"/>
      <c r="AT640" s="25">
        <v>0</v>
      </c>
      <c r="AU640" s="26"/>
      <c r="AV640" s="26"/>
      <c r="AW640" s="26"/>
      <c r="AX640" s="26" t="str">
        <f t="shared" si="27"/>
        <v/>
      </c>
      <c r="AY640" t="str">
        <f t="shared" si="28"/>
        <v/>
      </c>
      <c r="AZ640" t="s">
        <v>200</v>
      </c>
      <c r="BA640" s="3"/>
      <c r="BB640" t="str">
        <f t="shared" si="29"/>
        <v>No scrap rate (No impact);</v>
      </c>
    </row>
    <row r="641" spans="1:54" x14ac:dyDescent="0.3">
      <c r="A641" t="s">
        <v>2286</v>
      </c>
      <c r="B641" t="s">
        <v>2287</v>
      </c>
      <c r="C641" t="s">
        <v>966</v>
      </c>
      <c r="D641" t="s">
        <v>967</v>
      </c>
      <c r="G641" t="s">
        <v>575</v>
      </c>
      <c r="H641" t="s">
        <v>576</v>
      </c>
      <c r="J641" t="s">
        <v>1007</v>
      </c>
      <c r="L641">
        <v>0</v>
      </c>
      <c r="M641">
        <v>3.0000000000000001E-3</v>
      </c>
      <c r="N641" t="s">
        <v>198</v>
      </c>
      <c r="O641">
        <v>3.0000000000000001E-3</v>
      </c>
      <c r="P641" t="s">
        <v>198</v>
      </c>
      <c r="Q641" t="s">
        <v>199</v>
      </c>
      <c r="R641" s="3"/>
      <c r="W641" t="s">
        <v>200</v>
      </c>
      <c r="X641" s="25"/>
      <c r="Y641" s="26"/>
      <c r="Z641" s="27"/>
      <c r="AA641" t="s">
        <v>25</v>
      </c>
      <c r="AB641" t="s">
        <v>201</v>
      </c>
      <c r="AC641" s="3"/>
      <c r="AH641" t="s">
        <v>202</v>
      </c>
      <c r="AK641" t="s">
        <v>203</v>
      </c>
      <c r="AP641" t="s">
        <v>200</v>
      </c>
      <c r="AR641" s="25"/>
      <c r="AT641" s="25">
        <v>0</v>
      </c>
      <c r="AU641" s="26"/>
      <c r="AV641" s="26"/>
      <c r="AW641" s="26"/>
      <c r="AX641" s="26" t="str">
        <f t="shared" si="27"/>
        <v/>
      </c>
      <c r="AY641" t="str">
        <f t="shared" si="28"/>
        <v/>
      </c>
      <c r="AZ641" t="s">
        <v>200</v>
      </c>
      <c r="BA641" s="3"/>
      <c r="BB641" t="str">
        <f t="shared" si="29"/>
        <v>No scrap rate (No impact);</v>
      </c>
    </row>
    <row r="642" spans="1:54" x14ac:dyDescent="0.3">
      <c r="A642" t="s">
        <v>2288</v>
      </c>
      <c r="B642" t="s">
        <v>2289</v>
      </c>
      <c r="C642" t="s">
        <v>1110</v>
      </c>
      <c r="D642" t="s">
        <v>1111</v>
      </c>
      <c r="G642" t="s">
        <v>575</v>
      </c>
      <c r="H642" t="s">
        <v>576</v>
      </c>
      <c r="J642" t="s">
        <v>1089</v>
      </c>
      <c r="L642">
        <v>0</v>
      </c>
      <c r="M642">
        <v>0.17199999999999999</v>
      </c>
      <c r="N642" t="s">
        <v>198</v>
      </c>
      <c r="O642">
        <v>0.17199999999999999</v>
      </c>
      <c r="P642" t="s">
        <v>198</v>
      </c>
      <c r="Q642" t="s">
        <v>199</v>
      </c>
      <c r="R642" s="3"/>
      <c r="W642" t="s">
        <v>200</v>
      </c>
      <c r="X642" s="25"/>
      <c r="Y642" s="26"/>
      <c r="Z642" s="27"/>
      <c r="AA642" t="s">
        <v>25</v>
      </c>
      <c r="AB642" t="s">
        <v>201</v>
      </c>
      <c r="AC642" s="3"/>
      <c r="AH642" t="s">
        <v>202</v>
      </c>
      <c r="AK642" t="s">
        <v>203</v>
      </c>
      <c r="AP642" t="s">
        <v>200</v>
      </c>
      <c r="AR642" s="25"/>
      <c r="AT642" s="25">
        <v>0</v>
      </c>
      <c r="AU642" s="26"/>
      <c r="AV642" s="26"/>
      <c r="AW642" s="26"/>
      <c r="AX642" s="26" t="str">
        <f t="shared" si="27"/>
        <v/>
      </c>
      <c r="AY642" t="str">
        <f t="shared" si="28"/>
        <v/>
      </c>
      <c r="AZ642" t="s">
        <v>200</v>
      </c>
      <c r="BA642" s="3"/>
      <c r="BB642" t="str">
        <f t="shared" si="29"/>
        <v>No scrap rate (No impact);</v>
      </c>
    </row>
    <row r="643" spans="1:54" x14ac:dyDescent="0.3">
      <c r="A643" t="s">
        <v>2290</v>
      </c>
      <c r="B643" t="s">
        <v>2291</v>
      </c>
      <c r="C643" t="s">
        <v>1256</v>
      </c>
      <c r="D643" t="s">
        <v>1257</v>
      </c>
      <c r="G643" t="s">
        <v>575</v>
      </c>
      <c r="H643" t="s">
        <v>576</v>
      </c>
      <c r="J643" t="s">
        <v>1590</v>
      </c>
      <c r="L643">
        <v>0</v>
      </c>
      <c r="M643">
        <v>5.0000000000000001E-3</v>
      </c>
      <c r="N643" t="s">
        <v>198</v>
      </c>
      <c r="O643">
        <v>5.0000000000000001E-3</v>
      </c>
      <c r="P643" t="s">
        <v>198</v>
      </c>
      <c r="Q643" t="s">
        <v>199</v>
      </c>
      <c r="R643" s="3"/>
      <c r="W643" t="s">
        <v>200</v>
      </c>
      <c r="X643" s="25"/>
      <c r="Y643" s="26"/>
      <c r="Z643" s="27"/>
      <c r="AA643" t="s">
        <v>25</v>
      </c>
      <c r="AB643" t="s">
        <v>201</v>
      </c>
      <c r="AC643" s="3"/>
      <c r="AH643" t="s">
        <v>202</v>
      </c>
      <c r="AK643" t="s">
        <v>203</v>
      </c>
      <c r="AP643" t="s">
        <v>200</v>
      </c>
      <c r="AR643" s="25"/>
      <c r="AT643" s="25">
        <v>0</v>
      </c>
      <c r="AU643" s="26"/>
      <c r="AV643" s="26"/>
      <c r="AW643" s="26"/>
      <c r="AX643" s="26" t="str">
        <f t="shared" ref="AX643:AX706" si="30">IF(COUNT(AU643,AV643,AW643)=0,"",ROUND(AVERAGE(AU643,AV643,AW643),3))</f>
        <v/>
      </c>
      <c r="AY643" t="str">
        <f t="shared" ref="AY643:AY706" si="31">IF(AO643="","",ROUND(AO643*IF(M643="",0,M643)*(1+IF(AR643="",0,AR643)),5))</f>
        <v/>
      </c>
      <c r="AZ643" t="s">
        <v>200</v>
      </c>
      <c r="BA643" s="3"/>
      <c r="BB643" t="str">
        <f t="shared" ref="BB643:BB706" si="32">IF(AND(A643&lt;&gt;"",G643=""),"Supplier code empty (High);","")&amp;IF(AND(X643&lt;&gt;"",OR(X643&gt;1,X643&lt;0)),"Incorrect PDS value (High);",IF(AND(X643&lt;&gt;"",X643&gt;0.5),"High PDS value (Medium);",""))&amp;IF(AND(Y643&lt;&gt;"",OR(Y643&gt;5,Y643&lt;1)),"Incorrect DQR value (High);",IF(AND(Y643&lt;&gt;"",Y643&gt;4),"Incorrect DQR value (Medium);",IF(AND(Y643&lt;&gt;"",Y643&gt;3),"Incorrect DQR value (Low);","")))&amp;IF(AND(V643&lt;&gt;"",OR(V643&lt;=0,V643&gt;100)),"Unusual PCF value might be wrong (High);","")&amp;IF(AND(AT643&lt;&gt;"",OR(AT643&gt;1,AT643&lt;0)),"Incorrect PDS value (High);",IF(AND(AT643&lt;&gt;"",AT643&gt;0.5),"High PDS value (Medium);",""))&amp;IF(AND(AX643&lt;&gt;"",OR(AX643&gt;5,AX643&lt;1)),"Incorrect DQR value (High);",IF(AND(AX643&lt;&gt;"",AX643&gt;4),"Incorrect DQR value (Medium);",IF(AND(AX643&lt;&gt;"",AX643&gt;3),"Incorrect DQR value (Low);","")))&amp;IF(AND(AR643&lt;&gt;"",OR(AR643&gt;1,AR643&lt;0)),"Incorrect scrap rate (High);",IF(AND(A643&lt;&gt;"",AR643=0),"No scrap rate (No impact);",""))&amp;IF(AND(A643&lt;&gt;"",I643="",J643="",K643=""),"No raw material available (High);","")&amp;""</f>
        <v>No scrap rate (No impact);</v>
      </c>
    </row>
    <row r="644" spans="1:54" x14ac:dyDescent="0.3">
      <c r="A644" t="s">
        <v>2292</v>
      </c>
      <c r="B644" t="s">
        <v>2293</v>
      </c>
      <c r="C644" t="s">
        <v>966</v>
      </c>
      <c r="D644" t="s">
        <v>967</v>
      </c>
      <c r="G644" t="s">
        <v>575</v>
      </c>
      <c r="H644" t="s">
        <v>576</v>
      </c>
      <c r="J644" t="s">
        <v>1007</v>
      </c>
      <c r="L644">
        <v>0</v>
      </c>
      <c r="M644">
        <v>3.0000000000000001E-3</v>
      </c>
      <c r="N644" t="s">
        <v>198</v>
      </c>
      <c r="O644">
        <v>3.0000000000000001E-3</v>
      </c>
      <c r="P644" t="s">
        <v>198</v>
      </c>
      <c r="Q644" t="s">
        <v>199</v>
      </c>
      <c r="R644" s="3"/>
      <c r="W644" t="s">
        <v>200</v>
      </c>
      <c r="X644" s="25"/>
      <c r="Y644" s="26"/>
      <c r="Z644" s="27"/>
      <c r="AA644" t="s">
        <v>25</v>
      </c>
      <c r="AB644" t="s">
        <v>201</v>
      </c>
      <c r="AC644" s="3"/>
      <c r="AH644" t="s">
        <v>202</v>
      </c>
      <c r="AK644" t="s">
        <v>203</v>
      </c>
      <c r="AP644" t="s">
        <v>200</v>
      </c>
      <c r="AR644" s="25"/>
      <c r="AT644" s="25">
        <v>0</v>
      </c>
      <c r="AU644" s="26"/>
      <c r="AV644" s="26"/>
      <c r="AW644" s="26"/>
      <c r="AX644" s="26" t="str">
        <f t="shared" si="30"/>
        <v/>
      </c>
      <c r="AY644" t="str">
        <f t="shared" si="31"/>
        <v/>
      </c>
      <c r="AZ644" t="s">
        <v>200</v>
      </c>
      <c r="BA644" s="3"/>
      <c r="BB644" t="str">
        <f t="shared" si="32"/>
        <v>No scrap rate (No impact);</v>
      </c>
    </row>
    <row r="645" spans="1:54" x14ac:dyDescent="0.3">
      <c r="A645" t="s">
        <v>2294</v>
      </c>
      <c r="B645" t="s">
        <v>2295</v>
      </c>
      <c r="C645" t="s">
        <v>1110</v>
      </c>
      <c r="D645" t="s">
        <v>1111</v>
      </c>
      <c r="G645" t="s">
        <v>575</v>
      </c>
      <c r="H645" t="s">
        <v>576</v>
      </c>
      <c r="J645" t="s">
        <v>1089</v>
      </c>
      <c r="L645">
        <v>0</v>
      </c>
      <c r="M645">
        <v>1.7000000000000001E-2</v>
      </c>
      <c r="N645" t="s">
        <v>198</v>
      </c>
      <c r="O645">
        <v>1.7000000000000001E-2</v>
      </c>
      <c r="P645" t="s">
        <v>198</v>
      </c>
      <c r="Q645" t="s">
        <v>199</v>
      </c>
      <c r="R645" s="3"/>
      <c r="W645" t="s">
        <v>200</v>
      </c>
      <c r="X645" s="25"/>
      <c r="Y645" s="26"/>
      <c r="Z645" s="27"/>
      <c r="AA645" t="s">
        <v>25</v>
      </c>
      <c r="AB645" t="s">
        <v>201</v>
      </c>
      <c r="AC645" s="3"/>
      <c r="AH645" t="s">
        <v>202</v>
      </c>
      <c r="AK645" t="s">
        <v>203</v>
      </c>
      <c r="AP645" t="s">
        <v>200</v>
      </c>
      <c r="AR645" s="25"/>
      <c r="AT645" s="25">
        <v>0</v>
      </c>
      <c r="AU645" s="26"/>
      <c r="AV645" s="26"/>
      <c r="AW645" s="26"/>
      <c r="AX645" s="26" t="str">
        <f t="shared" si="30"/>
        <v/>
      </c>
      <c r="AY645" t="str">
        <f t="shared" si="31"/>
        <v/>
      </c>
      <c r="AZ645" t="s">
        <v>200</v>
      </c>
      <c r="BA645" s="3"/>
      <c r="BB645" t="str">
        <f t="shared" si="32"/>
        <v>No scrap rate (No impact);</v>
      </c>
    </row>
    <row r="646" spans="1:54" x14ac:dyDescent="0.3">
      <c r="A646" t="s">
        <v>2296</v>
      </c>
      <c r="B646" t="s">
        <v>2297</v>
      </c>
      <c r="C646" t="s">
        <v>1256</v>
      </c>
      <c r="D646" t="s">
        <v>1257</v>
      </c>
      <c r="G646" t="s">
        <v>575</v>
      </c>
      <c r="H646" t="s">
        <v>576</v>
      </c>
      <c r="J646" t="s">
        <v>1590</v>
      </c>
      <c r="L646">
        <v>0</v>
      </c>
      <c r="M646">
        <v>5.0000000000000001E-3</v>
      </c>
      <c r="N646" t="s">
        <v>198</v>
      </c>
      <c r="O646">
        <v>5.0000000000000001E-3</v>
      </c>
      <c r="P646" t="s">
        <v>198</v>
      </c>
      <c r="Q646" t="s">
        <v>199</v>
      </c>
      <c r="R646" s="3"/>
      <c r="W646" t="s">
        <v>200</v>
      </c>
      <c r="X646" s="25"/>
      <c r="Y646" s="26"/>
      <c r="Z646" s="27"/>
      <c r="AA646" t="s">
        <v>25</v>
      </c>
      <c r="AB646" t="s">
        <v>201</v>
      </c>
      <c r="AC646" s="3"/>
      <c r="AH646" t="s">
        <v>202</v>
      </c>
      <c r="AK646" t="s">
        <v>203</v>
      </c>
      <c r="AP646" t="s">
        <v>200</v>
      </c>
      <c r="AR646" s="25"/>
      <c r="AT646" s="25">
        <v>0</v>
      </c>
      <c r="AU646" s="26"/>
      <c r="AV646" s="26"/>
      <c r="AW646" s="26"/>
      <c r="AX646" s="26" t="str">
        <f t="shared" si="30"/>
        <v/>
      </c>
      <c r="AY646" t="str">
        <f t="shared" si="31"/>
        <v/>
      </c>
      <c r="AZ646" t="s">
        <v>200</v>
      </c>
      <c r="BA646" s="3"/>
      <c r="BB646" t="str">
        <f t="shared" si="32"/>
        <v>No scrap rate (No impact);</v>
      </c>
    </row>
    <row r="647" spans="1:54" x14ac:dyDescent="0.3">
      <c r="A647" t="s">
        <v>2298</v>
      </c>
      <c r="B647" t="s">
        <v>2299</v>
      </c>
      <c r="C647" t="s">
        <v>1256</v>
      </c>
      <c r="D647" t="s">
        <v>1257</v>
      </c>
      <c r="G647" t="s">
        <v>575</v>
      </c>
      <c r="H647" t="s">
        <v>576</v>
      </c>
      <c r="J647" t="s">
        <v>1590</v>
      </c>
      <c r="L647">
        <v>0</v>
      </c>
      <c r="M647">
        <v>1.9E-2</v>
      </c>
      <c r="N647" t="s">
        <v>198</v>
      </c>
      <c r="O647">
        <v>1.9E-2</v>
      </c>
      <c r="P647" t="s">
        <v>198</v>
      </c>
      <c r="Q647" t="s">
        <v>199</v>
      </c>
      <c r="R647" s="3"/>
      <c r="W647" t="s">
        <v>200</v>
      </c>
      <c r="X647" s="25"/>
      <c r="Y647" s="26"/>
      <c r="Z647" s="27"/>
      <c r="AA647" t="s">
        <v>25</v>
      </c>
      <c r="AB647" t="s">
        <v>201</v>
      </c>
      <c r="AC647" s="3"/>
      <c r="AH647" t="s">
        <v>202</v>
      </c>
      <c r="AK647" t="s">
        <v>203</v>
      </c>
      <c r="AP647" t="s">
        <v>200</v>
      </c>
      <c r="AR647" s="25"/>
      <c r="AT647" s="25">
        <v>0</v>
      </c>
      <c r="AU647" s="26"/>
      <c r="AV647" s="26"/>
      <c r="AW647" s="26"/>
      <c r="AX647" s="26" t="str">
        <f t="shared" si="30"/>
        <v/>
      </c>
      <c r="AY647" t="str">
        <f t="shared" si="31"/>
        <v/>
      </c>
      <c r="AZ647" t="s">
        <v>200</v>
      </c>
      <c r="BA647" s="3"/>
      <c r="BB647" t="str">
        <f t="shared" si="32"/>
        <v>No scrap rate (No impact);</v>
      </c>
    </row>
    <row r="648" spans="1:54" x14ac:dyDescent="0.3">
      <c r="A648" t="s">
        <v>2300</v>
      </c>
      <c r="B648" t="s">
        <v>2301</v>
      </c>
      <c r="C648" t="s">
        <v>1256</v>
      </c>
      <c r="D648" t="s">
        <v>1257</v>
      </c>
      <c r="G648" t="s">
        <v>575</v>
      </c>
      <c r="H648" t="s">
        <v>576</v>
      </c>
      <c r="J648" t="s">
        <v>1590</v>
      </c>
      <c r="L648">
        <v>0</v>
      </c>
      <c r="M648">
        <v>1.9E-2</v>
      </c>
      <c r="N648" t="s">
        <v>198</v>
      </c>
      <c r="O648">
        <v>1.9E-2</v>
      </c>
      <c r="P648" t="s">
        <v>198</v>
      </c>
      <c r="Q648" t="s">
        <v>199</v>
      </c>
      <c r="R648" s="3"/>
      <c r="W648" t="s">
        <v>200</v>
      </c>
      <c r="X648" s="25"/>
      <c r="Y648" s="26"/>
      <c r="Z648" s="27"/>
      <c r="AA648" t="s">
        <v>25</v>
      </c>
      <c r="AB648" t="s">
        <v>201</v>
      </c>
      <c r="AC648" s="3"/>
      <c r="AH648" t="s">
        <v>202</v>
      </c>
      <c r="AK648" t="s">
        <v>203</v>
      </c>
      <c r="AP648" t="s">
        <v>200</v>
      </c>
      <c r="AR648" s="25"/>
      <c r="AT648" s="25">
        <v>0</v>
      </c>
      <c r="AU648" s="26"/>
      <c r="AV648" s="26"/>
      <c r="AW648" s="26"/>
      <c r="AX648" s="26" t="str">
        <f t="shared" si="30"/>
        <v/>
      </c>
      <c r="AY648" t="str">
        <f t="shared" si="31"/>
        <v/>
      </c>
      <c r="AZ648" t="s">
        <v>200</v>
      </c>
      <c r="BA648" s="3"/>
      <c r="BB648" t="str">
        <f t="shared" si="32"/>
        <v>No scrap rate (No impact);</v>
      </c>
    </row>
    <row r="649" spans="1:54" x14ac:dyDescent="0.3">
      <c r="A649" t="s">
        <v>2302</v>
      </c>
      <c r="B649" t="s">
        <v>2303</v>
      </c>
      <c r="C649" t="s">
        <v>1256</v>
      </c>
      <c r="D649" t="s">
        <v>1257</v>
      </c>
      <c r="G649" t="s">
        <v>1615</v>
      </c>
      <c r="H649" t="s">
        <v>1616</v>
      </c>
      <c r="J649" t="s">
        <v>1046</v>
      </c>
      <c r="L649">
        <v>0</v>
      </c>
      <c r="M649">
        <v>4.0000000000000001E-3</v>
      </c>
      <c r="N649" t="s">
        <v>198</v>
      </c>
      <c r="O649">
        <v>4.0000000000000001E-3</v>
      </c>
      <c r="P649" t="s">
        <v>198</v>
      </c>
      <c r="Q649" t="s">
        <v>199</v>
      </c>
      <c r="R649" s="3"/>
      <c r="W649" t="s">
        <v>200</v>
      </c>
      <c r="X649" s="25"/>
      <c r="Y649" s="26"/>
      <c r="Z649" s="27"/>
      <c r="AA649" t="s">
        <v>25</v>
      </c>
      <c r="AB649" t="s">
        <v>201</v>
      </c>
      <c r="AC649" s="3"/>
      <c r="AH649" t="s">
        <v>202</v>
      </c>
      <c r="AK649" t="s">
        <v>203</v>
      </c>
      <c r="AP649" t="s">
        <v>200</v>
      </c>
      <c r="AR649" s="25"/>
      <c r="AT649" s="25">
        <v>0</v>
      </c>
      <c r="AU649" s="26"/>
      <c r="AV649" s="26"/>
      <c r="AW649" s="26"/>
      <c r="AX649" s="26" t="str">
        <f t="shared" si="30"/>
        <v/>
      </c>
      <c r="AY649" t="str">
        <f t="shared" si="31"/>
        <v/>
      </c>
      <c r="AZ649" t="s">
        <v>200</v>
      </c>
      <c r="BA649" s="3"/>
      <c r="BB649" t="str">
        <f t="shared" si="32"/>
        <v>No scrap rate (No impact);</v>
      </c>
    </row>
    <row r="650" spans="1:54" x14ac:dyDescent="0.3">
      <c r="A650" t="s">
        <v>2304</v>
      </c>
      <c r="B650" t="s">
        <v>2305</v>
      </c>
      <c r="C650" t="s">
        <v>1256</v>
      </c>
      <c r="D650" t="s">
        <v>1257</v>
      </c>
      <c r="G650" t="s">
        <v>1615</v>
      </c>
      <c r="H650" t="s">
        <v>1616</v>
      </c>
      <c r="J650" t="s">
        <v>1046</v>
      </c>
      <c r="L650">
        <v>0</v>
      </c>
      <c r="M650">
        <v>4.0000000000000001E-3</v>
      </c>
      <c r="N650" t="s">
        <v>198</v>
      </c>
      <c r="O650">
        <v>4.0000000000000001E-3</v>
      </c>
      <c r="P650" t="s">
        <v>198</v>
      </c>
      <c r="Q650" t="s">
        <v>199</v>
      </c>
      <c r="R650" s="3"/>
      <c r="W650" t="s">
        <v>200</v>
      </c>
      <c r="X650" s="25"/>
      <c r="Y650" s="26"/>
      <c r="Z650" s="27"/>
      <c r="AA650" t="s">
        <v>25</v>
      </c>
      <c r="AB650" t="s">
        <v>201</v>
      </c>
      <c r="AC650" s="3"/>
      <c r="AH650" t="s">
        <v>202</v>
      </c>
      <c r="AK650" t="s">
        <v>203</v>
      </c>
      <c r="AP650" t="s">
        <v>200</v>
      </c>
      <c r="AR650" s="25"/>
      <c r="AT650" s="25">
        <v>0</v>
      </c>
      <c r="AU650" s="26"/>
      <c r="AV650" s="26"/>
      <c r="AW650" s="26"/>
      <c r="AX650" s="26" t="str">
        <f t="shared" si="30"/>
        <v/>
      </c>
      <c r="AY650" t="str">
        <f t="shared" si="31"/>
        <v/>
      </c>
      <c r="AZ650" t="s">
        <v>200</v>
      </c>
      <c r="BA650" s="3"/>
      <c r="BB650" t="str">
        <f t="shared" si="32"/>
        <v>No scrap rate (No impact);</v>
      </c>
    </row>
    <row r="651" spans="1:54" x14ac:dyDescent="0.3">
      <c r="A651" t="s">
        <v>2306</v>
      </c>
      <c r="B651" t="s">
        <v>2307</v>
      </c>
      <c r="C651" t="s">
        <v>1256</v>
      </c>
      <c r="D651" t="s">
        <v>1257</v>
      </c>
      <c r="G651" t="s">
        <v>1428</v>
      </c>
      <c r="H651" t="s">
        <v>1429</v>
      </c>
      <c r="J651" t="s">
        <v>1590</v>
      </c>
      <c r="L651">
        <v>0</v>
      </c>
      <c r="M651">
        <v>3.0000000000000001E-3</v>
      </c>
      <c r="N651" t="s">
        <v>198</v>
      </c>
      <c r="O651">
        <v>3.0000000000000001E-3</v>
      </c>
      <c r="P651" t="s">
        <v>198</v>
      </c>
      <c r="Q651" t="s">
        <v>199</v>
      </c>
      <c r="R651" s="3"/>
      <c r="W651" t="s">
        <v>200</v>
      </c>
      <c r="X651" s="25"/>
      <c r="Y651" s="26"/>
      <c r="Z651" s="27"/>
      <c r="AA651" t="s">
        <v>25</v>
      </c>
      <c r="AB651" t="s">
        <v>201</v>
      </c>
      <c r="AC651" s="3"/>
      <c r="AH651" t="s">
        <v>202</v>
      </c>
      <c r="AK651" t="s">
        <v>203</v>
      </c>
      <c r="AP651" t="s">
        <v>200</v>
      </c>
      <c r="AR651" s="25"/>
      <c r="AT651" s="25">
        <v>0</v>
      </c>
      <c r="AU651" s="26"/>
      <c r="AV651" s="26"/>
      <c r="AW651" s="26"/>
      <c r="AX651" s="26" t="str">
        <f t="shared" si="30"/>
        <v/>
      </c>
      <c r="AY651" t="str">
        <f t="shared" si="31"/>
        <v/>
      </c>
      <c r="AZ651" t="s">
        <v>200</v>
      </c>
      <c r="BA651" s="3"/>
      <c r="BB651" t="str">
        <f t="shared" si="32"/>
        <v>No scrap rate (No impact);</v>
      </c>
    </row>
    <row r="652" spans="1:54" x14ac:dyDescent="0.3">
      <c r="A652" t="s">
        <v>2308</v>
      </c>
      <c r="B652" t="s">
        <v>2309</v>
      </c>
      <c r="C652" t="s">
        <v>966</v>
      </c>
      <c r="D652" t="s">
        <v>967</v>
      </c>
      <c r="G652" t="s">
        <v>1299</v>
      </c>
      <c r="H652" t="s">
        <v>1300</v>
      </c>
      <c r="J652" t="s">
        <v>1046</v>
      </c>
      <c r="L652">
        <v>0</v>
      </c>
      <c r="M652">
        <v>3.0000000000000001E-3</v>
      </c>
      <c r="N652" t="s">
        <v>198</v>
      </c>
      <c r="O652">
        <v>3.0000000000000001E-3</v>
      </c>
      <c r="P652" t="s">
        <v>198</v>
      </c>
      <c r="Q652" t="s">
        <v>199</v>
      </c>
      <c r="R652" s="3"/>
      <c r="W652" t="s">
        <v>200</v>
      </c>
      <c r="X652" s="25"/>
      <c r="Y652" s="26"/>
      <c r="Z652" s="27"/>
      <c r="AA652" t="s">
        <v>25</v>
      </c>
      <c r="AB652" t="s">
        <v>201</v>
      </c>
      <c r="AC652" s="3"/>
      <c r="AH652" t="s">
        <v>202</v>
      </c>
      <c r="AK652" t="s">
        <v>203</v>
      </c>
      <c r="AP652" t="s">
        <v>200</v>
      </c>
      <c r="AR652" s="25"/>
      <c r="AT652" s="25">
        <v>0</v>
      </c>
      <c r="AU652" s="26"/>
      <c r="AV652" s="26"/>
      <c r="AW652" s="26"/>
      <c r="AX652" s="26" t="str">
        <f t="shared" si="30"/>
        <v/>
      </c>
      <c r="AY652" t="str">
        <f t="shared" si="31"/>
        <v/>
      </c>
      <c r="AZ652" t="s">
        <v>200</v>
      </c>
      <c r="BA652" s="3"/>
      <c r="BB652" t="str">
        <f t="shared" si="32"/>
        <v>No scrap rate (No impact);</v>
      </c>
    </row>
    <row r="653" spans="1:54" x14ac:dyDescent="0.3">
      <c r="A653" t="s">
        <v>2310</v>
      </c>
      <c r="B653" t="s">
        <v>2311</v>
      </c>
      <c r="C653" t="s">
        <v>1110</v>
      </c>
      <c r="D653" t="s">
        <v>1111</v>
      </c>
      <c r="G653" t="s">
        <v>433</v>
      </c>
      <c r="H653" t="s">
        <v>434</v>
      </c>
      <c r="J653" t="s">
        <v>1089</v>
      </c>
      <c r="L653">
        <v>0</v>
      </c>
      <c r="M653">
        <v>5.1999999999999998E-2</v>
      </c>
      <c r="N653" t="s">
        <v>198</v>
      </c>
      <c r="O653">
        <v>5.1999999999999998E-2</v>
      </c>
      <c r="P653" t="s">
        <v>198</v>
      </c>
      <c r="Q653" t="s">
        <v>199</v>
      </c>
      <c r="R653" s="3"/>
      <c r="W653" t="s">
        <v>200</v>
      </c>
      <c r="X653" s="25"/>
      <c r="Y653" s="26"/>
      <c r="Z653" s="27"/>
      <c r="AA653" t="s">
        <v>25</v>
      </c>
      <c r="AB653" t="s">
        <v>201</v>
      </c>
      <c r="AC653" s="3"/>
      <c r="AH653" t="s">
        <v>202</v>
      </c>
      <c r="AK653" t="s">
        <v>203</v>
      </c>
      <c r="AP653" t="s">
        <v>200</v>
      </c>
      <c r="AR653" s="25"/>
      <c r="AT653" s="25">
        <v>0</v>
      </c>
      <c r="AU653" s="26"/>
      <c r="AV653" s="26"/>
      <c r="AW653" s="26"/>
      <c r="AX653" s="26" t="str">
        <f t="shared" si="30"/>
        <v/>
      </c>
      <c r="AY653" t="str">
        <f t="shared" si="31"/>
        <v/>
      </c>
      <c r="AZ653" t="s">
        <v>200</v>
      </c>
      <c r="BA653" s="3"/>
      <c r="BB653" t="str">
        <f t="shared" si="32"/>
        <v>No scrap rate (No impact);</v>
      </c>
    </row>
    <row r="654" spans="1:54" x14ac:dyDescent="0.3">
      <c r="A654" t="s">
        <v>2312</v>
      </c>
      <c r="B654" t="s">
        <v>2313</v>
      </c>
      <c r="C654" t="s">
        <v>1256</v>
      </c>
      <c r="D654" t="s">
        <v>1257</v>
      </c>
      <c r="G654" t="s">
        <v>433</v>
      </c>
      <c r="H654" t="s">
        <v>434</v>
      </c>
      <c r="J654" t="s">
        <v>1590</v>
      </c>
      <c r="L654">
        <v>0</v>
      </c>
      <c r="M654">
        <v>4.0000000000000001E-3</v>
      </c>
      <c r="N654" t="s">
        <v>198</v>
      </c>
      <c r="O654">
        <v>4.0000000000000001E-3</v>
      </c>
      <c r="P654" t="s">
        <v>198</v>
      </c>
      <c r="Q654" t="s">
        <v>199</v>
      </c>
      <c r="R654" s="3"/>
      <c r="W654" t="s">
        <v>200</v>
      </c>
      <c r="X654" s="25"/>
      <c r="Y654" s="26"/>
      <c r="Z654" s="27"/>
      <c r="AA654" t="s">
        <v>25</v>
      </c>
      <c r="AB654" t="s">
        <v>201</v>
      </c>
      <c r="AC654" s="3"/>
      <c r="AH654" t="s">
        <v>202</v>
      </c>
      <c r="AK654" t="s">
        <v>203</v>
      </c>
      <c r="AP654" t="s">
        <v>200</v>
      </c>
      <c r="AR654" s="25"/>
      <c r="AT654" s="25">
        <v>0</v>
      </c>
      <c r="AU654" s="26"/>
      <c r="AV654" s="26"/>
      <c r="AW654" s="26"/>
      <c r="AX654" s="26" t="str">
        <f t="shared" si="30"/>
        <v/>
      </c>
      <c r="AY654" t="str">
        <f t="shared" si="31"/>
        <v/>
      </c>
      <c r="AZ654" t="s">
        <v>200</v>
      </c>
      <c r="BA654" s="3"/>
      <c r="BB654" t="str">
        <f t="shared" si="32"/>
        <v>No scrap rate (No impact);</v>
      </c>
    </row>
    <row r="655" spans="1:54" x14ac:dyDescent="0.3">
      <c r="A655" t="s">
        <v>2314</v>
      </c>
      <c r="B655" t="s">
        <v>2315</v>
      </c>
      <c r="C655" t="s">
        <v>1256</v>
      </c>
      <c r="D655" t="s">
        <v>1257</v>
      </c>
      <c r="G655" t="s">
        <v>433</v>
      </c>
      <c r="H655" t="s">
        <v>434</v>
      </c>
      <c r="J655" t="s">
        <v>1590</v>
      </c>
      <c r="L655">
        <v>0</v>
      </c>
      <c r="M655">
        <v>5.0000000000000001E-3</v>
      </c>
      <c r="N655" t="s">
        <v>198</v>
      </c>
      <c r="O655">
        <v>5.0000000000000001E-3</v>
      </c>
      <c r="P655" t="s">
        <v>198</v>
      </c>
      <c r="Q655" t="s">
        <v>199</v>
      </c>
      <c r="R655" s="3"/>
      <c r="W655" t="s">
        <v>200</v>
      </c>
      <c r="X655" s="25"/>
      <c r="Y655" s="26"/>
      <c r="Z655" s="27"/>
      <c r="AA655" t="s">
        <v>25</v>
      </c>
      <c r="AB655" t="s">
        <v>201</v>
      </c>
      <c r="AC655" s="3"/>
      <c r="AH655" t="s">
        <v>202</v>
      </c>
      <c r="AK655" t="s">
        <v>203</v>
      </c>
      <c r="AP655" t="s">
        <v>200</v>
      </c>
      <c r="AR655" s="25"/>
      <c r="AT655" s="25">
        <v>0</v>
      </c>
      <c r="AU655" s="26"/>
      <c r="AV655" s="26"/>
      <c r="AW655" s="26"/>
      <c r="AX655" s="26" t="str">
        <f t="shared" si="30"/>
        <v/>
      </c>
      <c r="AY655" t="str">
        <f t="shared" si="31"/>
        <v/>
      </c>
      <c r="AZ655" t="s">
        <v>200</v>
      </c>
      <c r="BA655" s="3"/>
      <c r="BB655" t="str">
        <f t="shared" si="32"/>
        <v>No scrap rate (No impact);</v>
      </c>
    </row>
    <row r="656" spans="1:54" x14ac:dyDescent="0.3">
      <c r="A656" t="s">
        <v>2316</v>
      </c>
      <c r="B656" t="s">
        <v>2317</v>
      </c>
      <c r="C656" t="s">
        <v>1256</v>
      </c>
      <c r="D656" t="s">
        <v>1257</v>
      </c>
      <c r="G656" t="s">
        <v>1615</v>
      </c>
      <c r="H656" t="s">
        <v>1616</v>
      </c>
      <c r="J656" t="s">
        <v>1046</v>
      </c>
      <c r="L656">
        <v>0</v>
      </c>
      <c r="M656">
        <v>0.01</v>
      </c>
      <c r="N656" t="s">
        <v>198</v>
      </c>
      <c r="O656">
        <v>0.01</v>
      </c>
      <c r="P656" t="s">
        <v>198</v>
      </c>
      <c r="Q656" t="s">
        <v>199</v>
      </c>
      <c r="R656" s="3"/>
      <c r="W656" t="s">
        <v>200</v>
      </c>
      <c r="X656" s="25"/>
      <c r="Y656" s="26"/>
      <c r="Z656" s="27"/>
      <c r="AA656" t="s">
        <v>25</v>
      </c>
      <c r="AB656" t="s">
        <v>201</v>
      </c>
      <c r="AC656" s="3"/>
      <c r="AH656" t="s">
        <v>202</v>
      </c>
      <c r="AK656" t="s">
        <v>203</v>
      </c>
      <c r="AP656" t="s">
        <v>200</v>
      </c>
      <c r="AR656" s="25"/>
      <c r="AT656" s="25">
        <v>0</v>
      </c>
      <c r="AU656" s="26"/>
      <c r="AV656" s="26"/>
      <c r="AW656" s="26"/>
      <c r="AX656" s="26" t="str">
        <f t="shared" si="30"/>
        <v/>
      </c>
      <c r="AY656" t="str">
        <f t="shared" si="31"/>
        <v/>
      </c>
      <c r="AZ656" t="s">
        <v>200</v>
      </c>
      <c r="BA656" s="3"/>
      <c r="BB656" t="str">
        <f t="shared" si="32"/>
        <v>No scrap rate (No impact);</v>
      </c>
    </row>
    <row r="657" spans="1:54" x14ac:dyDescent="0.3">
      <c r="A657" t="s">
        <v>2318</v>
      </c>
      <c r="B657" t="s">
        <v>2319</v>
      </c>
      <c r="C657" t="s">
        <v>1256</v>
      </c>
      <c r="D657" t="s">
        <v>1257</v>
      </c>
      <c r="G657" t="s">
        <v>1615</v>
      </c>
      <c r="H657" t="s">
        <v>1616</v>
      </c>
      <c r="J657" t="s">
        <v>1046</v>
      </c>
      <c r="L657">
        <v>0</v>
      </c>
      <c r="M657">
        <v>8.9999999999999993E-3</v>
      </c>
      <c r="N657" t="s">
        <v>198</v>
      </c>
      <c r="O657">
        <v>8.9999999999999993E-3</v>
      </c>
      <c r="P657" t="s">
        <v>198</v>
      </c>
      <c r="Q657" t="s">
        <v>199</v>
      </c>
      <c r="R657" s="3"/>
      <c r="W657" t="s">
        <v>200</v>
      </c>
      <c r="X657" s="25"/>
      <c r="Y657" s="26"/>
      <c r="Z657" s="27"/>
      <c r="AA657" t="s">
        <v>25</v>
      </c>
      <c r="AB657" t="s">
        <v>201</v>
      </c>
      <c r="AC657" s="3"/>
      <c r="AH657" t="s">
        <v>202</v>
      </c>
      <c r="AK657" t="s">
        <v>203</v>
      </c>
      <c r="AP657" t="s">
        <v>200</v>
      </c>
      <c r="AR657" s="25"/>
      <c r="AT657" s="25">
        <v>0</v>
      </c>
      <c r="AU657" s="26"/>
      <c r="AV657" s="26"/>
      <c r="AW657" s="26"/>
      <c r="AX657" s="26" t="str">
        <f t="shared" si="30"/>
        <v/>
      </c>
      <c r="AY657" t="str">
        <f t="shared" si="31"/>
        <v/>
      </c>
      <c r="AZ657" t="s">
        <v>200</v>
      </c>
      <c r="BA657" s="3"/>
      <c r="BB657" t="str">
        <f t="shared" si="32"/>
        <v>No scrap rate (No impact);</v>
      </c>
    </row>
    <row r="658" spans="1:54" x14ac:dyDescent="0.3">
      <c r="A658" t="s">
        <v>2320</v>
      </c>
      <c r="B658" t="s">
        <v>2321</v>
      </c>
      <c r="C658" t="s">
        <v>1110</v>
      </c>
      <c r="D658" t="s">
        <v>1111</v>
      </c>
      <c r="G658" t="s">
        <v>1428</v>
      </c>
      <c r="H658" t="s">
        <v>1429</v>
      </c>
      <c r="J658" t="s">
        <v>1089</v>
      </c>
      <c r="L658">
        <v>0</v>
      </c>
      <c r="M658">
        <v>2.3E-2</v>
      </c>
      <c r="N658" t="s">
        <v>198</v>
      </c>
      <c r="O658">
        <v>2.3E-2</v>
      </c>
      <c r="P658" t="s">
        <v>198</v>
      </c>
      <c r="Q658" t="s">
        <v>199</v>
      </c>
      <c r="R658" s="3"/>
      <c r="W658" t="s">
        <v>200</v>
      </c>
      <c r="X658" s="25"/>
      <c r="Y658" s="26"/>
      <c r="Z658" s="27"/>
      <c r="AA658" t="s">
        <v>25</v>
      </c>
      <c r="AB658" t="s">
        <v>201</v>
      </c>
      <c r="AC658" s="3"/>
      <c r="AH658" t="s">
        <v>202</v>
      </c>
      <c r="AK658" t="s">
        <v>203</v>
      </c>
      <c r="AP658" t="s">
        <v>200</v>
      </c>
      <c r="AR658" s="25"/>
      <c r="AT658" s="25">
        <v>0</v>
      </c>
      <c r="AU658" s="26"/>
      <c r="AV658" s="26"/>
      <c r="AW658" s="26"/>
      <c r="AX658" s="26" t="str">
        <f t="shared" si="30"/>
        <v/>
      </c>
      <c r="AY658" t="str">
        <f t="shared" si="31"/>
        <v/>
      </c>
      <c r="AZ658" t="s">
        <v>200</v>
      </c>
      <c r="BA658" s="3"/>
      <c r="BB658" t="str">
        <f t="shared" si="32"/>
        <v>No scrap rate (No impact);</v>
      </c>
    </row>
    <row r="659" spans="1:54" x14ac:dyDescent="0.3">
      <c r="A659" t="s">
        <v>2322</v>
      </c>
      <c r="B659" t="s">
        <v>2323</v>
      </c>
      <c r="C659" t="s">
        <v>966</v>
      </c>
      <c r="D659" t="s">
        <v>967</v>
      </c>
      <c r="G659" t="s">
        <v>2324</v>
      </c>
      <c r="H659" t="s">
        <v>2325</v>
      </c>
      <c r="L659">
        <v>0</v>
      </c>
      <c r="M659">
        <v>0</v>
      </c>
      <c r="N659" t="s">
        <v>1466</v>
      </c>
      <c r="O659">
        <v>0</v>
      </c>
      <c r="P659" t="s">
        <v>1466</v>
      </c>
      <c r="Q659" t="s">
        <v>199</v>
      </c>
      <c r="R659" s="3"/>
      <c r="W659" t="s">
        <v>200</v>
      </c>
      <c r="X659" s="25"/>
      <c r="Y659" s="26"/>
      <c r="Z659" s="27"/>
      <c r="AA659" t="s">
        <v>25</v>
      </c>
      <c r="AB659" t="s">
        <v>201</v>
      </c>
      <c r="AC659" s="3"/>
      <c r="AH659" t="s">
        <v>202</v>
      </c>
      <c r="AK659" t="s">
        <v>203</v>
      </c>
      <c r="AP659" t="s">
        <v>200</v>
      </c>
      <c r="AR659" s="25"/>
      <c r="AT659" s="25">
        <v>0</v>
      </c>
      <c r="AU659" s="26"/>
      <c r="AV659" s="26"/>
      <c r="AW659" s="26"/>
      <c r="AX659" s="26" t="str">
        <f t="shared" si="30"/>
        <v/>
      </c>
      <c r="AY659" t="str">
        <f t="shared" si="31"/>
        <v/>
      </c>
      <c r="AZ659" t="s">
        <v>200</v>
      </c>
      <c r="BA659" s="3"/>
      <c r="BB659" t="str">
        <f t="shared" si="32"/>
        <v>No scrap rate (No impact);No raw material available (High);</v>
      </c>
    </row>
    <row r="660" spans="1:54" x14ac:dyDescent="0.3">
      <c r="A660" t="s">
        <v>2326</v>
      </c>
      <c r="B660" t="s">
        <v>2327</v>
      </c>
      <c r="C660" t="s">
        <v>966</v>
      </c>
      <c r="D660" t="s">
        <v>967</v>
      </c>
      <c r="G660" t="s">
        <v>2324</v>
      </c>
      <c r="H660" t="s">
        <v>2325</v>
      </c>
      <c r="J660" t="s">
        <v>1060</v>
      </c>
      <c r="L660">
        <v>0</v>
      </c>
      <c r="M660">
        <v>2.8000000000000001E-2</v>
      </c>
      <c r="N660" t="s">
        <v>198</v>
      </c>
      <c r="O660">
        <v>2.8000000000000001E-2</v>
      </c>
      <c r="P660" t="s">
        <v>198</v>
      </c>
      <c r="Q660" t="s">
        <v>199</v>
      </c>
      <c r="R660" s="3"/>
      <c r="W660" t="s">
        <v>200</v>
      </c>
      <c r="X660" s="25"/>
      <c r="Y660" s="26"/>
      <c r="Z660" s="27"/>
      <c r="AA660" t="s">
        <v>25</v>
      </c>
      <c r="AB660" t="s">
        <v>201</v>
      </c>
      <c r="AC660" s="3"/>
      <c r="AH660" t="s">
        <v>202</v>
      </c>
      <c r="AK660" t="s">
        <v>203</v>
      </c>
      <c r="AP660" t="s">
        <v>200</v>
      </c>
      <c r="AR660" s="25"/>
      <c r="AT660" s="25">
        <v>0</v>
      </c>
      <c r="AU660" s="26"/>
      <c r="AV660" s="26"/>
      <c r="AW660" s="26"/>
      <c r="AX660" s="26" t="str">
        <f t="shared" si="30"/>
        <v/>
      </c>
      <c r="AY660" t="str">
        <f t="shared" si="31"/>
        <v/>
      </c>
      <c r="AZ660" t="s">
        <v>200</v>
      </c>
      <c r="BA660" s="3"/>
      <c r="BB660" t="str">
        <f t="shared" si="32"/>
        <v>No scrap rate (No impact);</v>
      </c>
    </row>
    <row r="661" spans="1:54" x14ac:dyDescent="0.3">
      <c r="A661" t="s">
        <v>2328</v>
      </c>
      <c r="B661" t="s">
        <v>2329</v>
      </c>
      <c r="C661" t="s">
        <v>1256</v>
      </c>
      <c r="D661" t="s">
        <v>1257</v>
      </c>
      <c r="G661" t="s">
        <v>2330</v>
      </c>
      <c r="H661" t="s">
        <v>2331</v>
      </c>
      <c r="L661">
        <v>0</v>
      </c>
      <c r="M661">
        <v>0</v>
      </c>
      <c r="N661" t="s">
        <v>1466</v>
      </c>
      <c r="O661">
        <v>0</v>
      </c>
      <c r="P661" t="s">
        <v>1466</v>
      </c>
      <c r="Q661" t="s">
        <v>199</v>
      </c>
      <c r="R661" s="3"/>
      <c r="W661" t="s">
        <v>200</v>
      </c>
      <c r="X661" s="25"/>
      <c r="Y661" s="26"/>
      <c r="Z661" s="27"/>
      <c r="AA661" t="s">
        <v>25</v>
      </c>
      <c r="AB661" t="s">
        <v>201</v>
      </c>
      <c r="AC661" s="3"/>
      <c r="AH661" t="s">
        <v>202</v>
      </c>
      <c r="AK661" t="s">
        <v>203</v>
      </c>
      <c r="AP661" t="s">
        <v>200</v>
      </c>
      <c r="AR661" s="25"/>
      <c r="AT661" s="25">
        <v>0</v>
      </c>
      <c r="AU661" s="26"/>
      <c r="AV661" s="26"/>
      <c r="AW661" s="26"/>
      <c r="AX661" s="26" t="str">
        <f t="shared" si="30"/>
        <v/>
      </c>
      <c r="AY661" t="str">
        <f t="shared" si="31"/>
        <v/>
      </c>
      <c r="AZ661" t="s">
        <v>200</v>
      </c>
      <c r="BA661" s="3"/>
      <c r="BB661" t="str">
        <f t="shared" si="32"/>
        <v>No scrap rate (No impact);No raw material available (High);</v>
      </c>
    </row>
    <row r="662" spans="1:54" x14ac:dyDescent="0.3">
      <c r="A662" t="s">
        <v>2332</v>
      </c>
      <c r="B662" t="s">
        <v>2333</v>
      </c>
      <c r="C662" t="s">
        <v>1256</v>
      </c>
      <c r="D662" t="s">
        <v>1257</v>
      </c>
      <c r="G662" t="s">
        <v>2330</v>
      </c>
      <c r="H662" t="s">
        <v>2331</v>
      </c>
      <c r="L662">
        <v>0</v>
      </c>
      <c r="M662">
        <v>0</v>
      </c>
      <c r="N662" t="s">
        <v>1466</v>
      </c>
      <c r="O662">
        <v>0</v>
      </c>
      <c r="P662" t="s">
        <v>1466</v>
      </c>
      <c r="Q662" t="s">
        <v>199</v>
      </c>
      <c r="R662" s="3"/>
      <c r="W662" t="s">
        <v>200</v>
      </c>
      <c r="X662" s="25"/>
      <c r="Y662" s="26"/>
      <c r="Z662" s="27"/>
      <c r="AA662" t="s">
        <v>25</v>
      </c>
      <c r="AB662" t="s">
        <v>201</v>
      </c>
      <c r="AC662" s="3"/>
      <c r="AH662" t="s">
        <v>202</v>
      </c>
      <c r="AK662" t="s">
        <v>203</v>
      </c>
      <c r="AP662" t="s">
        <v>200</v>
      </c>
      <c r="AR662" s="25"/>
      <c r="AT662" s="25">
        <v>0</v>
      </c>
      <c r="AU662" s="26"/>
      <c r="AV662" s="26"/>
      <c r="AW662" s="26"/>
      <c r="AX662" s="26" t="str">
        <f t="shared" si="30"/>
        <v/>
      </c>
      <c r="AY662" t="str">
        <f t="shared" si="31"/>
        <v/>
      </c>
      <c r="AZ662" t="s">
        <v>200</v>
      </c>
      <c r="BA662" s="3"/>
      <c r="BB662" t="str">
        <f t="shared" si="32"/>
        <v>No scrap rate (No impact);No raw material available (High);</v>
      </c>
    </row>
    <row r="663" spans="1:54" x14ac:dyDescent="0.3">
      <c r="A663" t="s">
        <v>2334</v>
      </c>
      <c r="B663" t="s">
        <v>2335</v>
      </c>
      <c r="C663" t="s">
        <v>966</v>
      </c>
      <c r="D663" t="s">
        <v>967</v>
      </c>
      <c r="G663" t="s">
        <v>2336</v>
      </c>
      <c r="H663" t="s">
        <v>2337</v>
      </c>
      <c r="J663" t="s">
        <v>1060</v>
      </c>
      <c r="L663">
        <v>0</v>
      </c>
      <c r="M663">
        <v>9.7000000000000003E-2</v>
      </c>
      <c r="N663" t="s">
        <v>198</v>
      </c>
      <c r="O663">
        <v>9.7000000000000003E-2</v>
      </c>
      <c r="P663" t="s">
        <v>198</v>
      </c>
      <c r="Q663" t="s">
        <v>199</v>
      </c>
      <c r="R663" s="3"/>
      <c r="W663" t="s">
        <v>200</v>
      </c>
      <c r="X663" s="25"/>
      <c r="Y663" s="26"/>
      <c r="Z663" s="27"/>
      <c r="AA663" t="s">
        <v>25</v>
      </c>
      <c r="AB663" t="s">
        <v>201</v>
      </c>
      <c r="AC663" s="3"/>
      <c r="AH663" t="s">
        <v>202</v>
      </c>
      <c r="AK663" t="s">
        <v>203</v>
      </c>
      <c r="AP663" t="s">
        <v>200</v>
      </c>
      <c r="AR663" s="25"/>
      <c r="AT663" s="25">
        <v>0</v>
      </c>
      <c r="AU663" s="26"/>
      <c r="AV663" s="26"/>
      <c r="AW663" s="26"/>
      <c r="AX663" s="26" t="str">
        <f t="shared" si="30"/>
        <v/>
      </c>
      <c r="AY663" t="str">
        <f t="shared" si="31"/>
        <v/>
      </c>
      <c r="AZ663" t="s">
        <v>200</v>
      </c>
      <c r="BA663" s="3"/>
      <c r="BB663" t="str">
        <f t="shared" si="32"/>
        <v>No scrap rate (No impact);</v>
      </c>
    </row>
    <row r="664" spans="1:54" x14ac:dyDescent="0.3">
      <c r="A664" t="s">
        <v>2338</v>
      </c>
      <c r="B664" t="s">
        <v>2339</v>
      </c>
      <c r="C664" t="s">
        <v>966</v>
      </c>
      <c r="D664" t="s">
        <v>967</v>
      </c>
      <c r="G664" t="s">
        <v>1078</v>
      </c>
      <c r="H664" t="s">
        <v>1079</v>
      </c>
      <c r="L664">
        <v>0</v>
      </c>
      <c r="M664">
        <v>0</v>
      </c>
      <c r="N664" t="s">
        <v>198</v>
      </c>
      <c r="O664">
        <v>0</v>
      </c>
      <c r="P664" t="s">
        <v>198</v>
      </c>
      <c r="Q664" t="s">
        <v>199</v>
      </c>
      <c r="R664" s="3"/>
      <c r="W664" t="s">
        <v>200</v>
      </c>
      <c r="X664" s="25"/>
      <c r="Y664" s="26"/>
      <c r="Z664" s="27"/>
      <c r="AA664" t="s">
        <v>25</v>
      </c>
      <c r="AB664" t="s">
        <v>201</v>
      </c>
      <c r="AC664" s="3"/>
      <c r="AH664" t="s">
        <v>202</v>
      </c>
      <c r="AK664" t="s">
        <v>203</v>
      </c>
      <c r="AP664" t="s">
        <v>200</v>
      </c>
      <c r="AR664" s="25"/>
      <c r="AT664" s="25">
        <v>0</v>
      </c>
      <c r="AU664" s="26"/>
      <c r="AV664" s="26"/>
      <c r="AW664" s="26"/>
      <c r="AX664" s="26" t="str">
        <f t="shared" si="30"/>
        <v/>
      </c>
      <c r="AY664" t="str">
        <f t="shared" si="31"/>
        <v/>
      </c>
      <c r="AZ664" t="s">
        <v>200</v>
      </c>
      <c r="BA664" s="3"/>
      <c r="BB664" t="str">
        <f t="shared" si="32"/>
        <v>No scrap rate (No impact);No raw material available (High);</v>
      </c>
    </row>
    <row r="665" spans="1:54" x14ac:dyDescent="0.3">
      <c r="A665" t="s">
        <v>2340</v>
      </c>
      <c r="B665" t="s">
        <v>2341</v>
      </c>
      <c r="C665" t="s">
        <v>966</v>
      </c>
      <c r="D665" t="s">
        <v>967</v>
      </c>
      <c r="G665" t="s">
        <v>1078</v>
      </c>
      <c r="H665" t="s">
        <v>1079</v>
      </c>
      <c r="J665" t="s">
        <v>1060</v>
      </c>
      <c r="L665">
        <v>0</v>
      </c>
      <c r="M665">
        <v>0.06</v>
      </c>
      <c r="N665" t="s">
        <v>198</v>
      </c>
      <c r="O665">
        <v>0</v>
      </c>
      <c r="P665" t="s">
        <v>198</v>
      </c>
      <c r="Q665" t="s">
        <v>199</v>
      </c>
      <c r="R665" s="3"/>
      <c r="W665" t="s">
        <v>200</v>
      </c>
      <c r="X665" s="25"/>
      <c r="Y665" s="26"/>
      <c r="Z665" s="27"/>
      <c r="AA665" t="s">
        <v>25</v>
      </c>
      <c r="AB665" t="s">
        <v>201</v>
      </c>
      <c r="AC665" s="3"/>
      <c r="AH665" t="s">
        <v>202</v>
      </c>
      <c r="AK665" t="s">
        <v>203</v>
      </c>
      <c r="AP665" t="s">
        <v>200</v>
      </c>
      <c r="AR665" s="25"/>
      <c r="AT665" s="25">
        <v>0</v>
      </c>
      <c r="AU665" s="26"/>
      <c r="AV665" s="26"/>
      <c r="AW665" s="26"/>
      <c r="AX665" s="26" t="str">
        <f t="shared" si="30"/>
        <v/>
      </c>
      <c r="AY665" t="str">
        <f t="shared" si="31"/>
        <v/>
      </c>
      <c r="AZ665" t="s">
        <v>200</v>
      </c>
      <c r="BA665" s="3"/>
      <c r="BB665" t="str">
        <f t="shared" si="32"/>
        <v>No scrap rate (No impact);</v>
      </c>
    </row>
    <row r="666" spans="1:54" x14ac:dyDescent="0.3">
      <c r="A666" t="s">
        <v>2342</v>
      </c>
      <c r="B666" t="s">
        <v>2343</v>
      </c>
      <c r="C666" t="s">
        <v>966</v>
      </c>
      <c r="D666" t="s">
        <v>967</v>
      </c>
      <c r="G666" t="s">
        <v>1078</v>
      </c>
      <c r="H666" t="s">
        <v>1079</v>
      </c>
      <c r="J666" t="s">
        <v>1060</v>
      </c>
      <c r="L666">
        <v>0</v>
      </c>
      <c r="M666">
        <v>0.13800000000000001</v>
      </c>
      <c r="N666" t="s">
        <v>198</v>
      </c>
      <c r="O666">
        <v>0</v>
      </c>
      <c r="P666" t="s">
        <v>198</v>
      </c>
      <c r="Q666" t="s">
        <v>199</v>
      </c>
      <c r="R666" s="3"/>
      <c r="W666" t="s">
        <v>200</v>
      </c>
      <c r="X666" s="25"/>
      <c r="Y666" s="26"/>
      <c r="Z666" s="27"/>
      <c r="AA666" t="s">
        <v>25</v>
      </c>
      <c r="AB666" t="s">
        <v>201</v>
      </c>
      <c r="AC666" s="3"/>
      <c r="AH666" t="s">
        <v>202</v>
      </c>
      <c r="AK666" t="s">
        <v>203</v>
      </c>
      <c r="AP666" t="s">
        <v>200</v>
      </c>
      <c r="AR666" s="25"/>
      <c r="AT666" s="25">
        <v>0</v>
      </c>
      <c r="AU666" s="26"/>
      <c r="AV666" s="26"/>
      <c r="AW666" s="26"/>
      <c r="AX666" s="26" t="str">
        <f t="shared" si="30"/>
        <v/>
      </c>
      <c r="AY666" t="str">
        <f t="shared" si="31"/>
        <v/>
      </c>
      <c r="AZ666" t="s">
        <v>200</v>
      </c>
      <c r="BA666" s="3"/>
      <c r="BB666" t="str">
        <f t="shared" si="32"/>
        <v>No scrap rate (No impact);</v>
      </c>
    </row>
    <row r="667" spans="1:54" x14ac:dyDescent="0.3">
      <c r="A667" t="s">
        <v>2344</v>
      </c>
      <c r="B667" t="s">
        <v>2345</v>
      </c>
      <c r="C667" t="s">
        <v>966</v>
      </c>
      <c r="D667" t="s">
        <v>967</v>
      </c>
      <c r="G667" t="s">
        <v>2336</v>
      </c>
      <c r="H667" t="s">
        <v>2337</v>
      </c>
      <c r="J667" t="s">
        <v>1060</v>
      </c>
      <c r="L667">
        <v>0</v>
      </c>
      <c r="M667">
        <v>0.13800000000000001</v>
      </c>
      <c r="N667" t="s">
        <v>198</v>
      </c>
      <c r="O667">
        <v>0</v>
      </c>
      <c r="P667" t="s">
        <v>198</v>
      </c>
      <c r="Q667" t="s">
        <v>199</v>
      </c>
      <c r="R667" s="3"/>
      <c r="W667" t="s">
        <v>200</v>
      </c>
      <c r="X667" s="25"/>
      <c r="Y667" s="26"/>
      <c r="Z667" s="27"/>
      <c r="AA667" t="s">
        <v>25</v>
      </c>
      <c r="AB667" t="s">
        <v>201</v>
      </c>
      <c r="AC667" s="3"/>
      <c r="AH667" t="s">
        <v>202</v>
      </c>
      <c r="AK667" t="s">
        <v>203</v>
      </c>
      <c r="AP667" t="s">
        <v>200</v>
      </c>
      <c r="AR667" s="25"/>
      <c r="AT667" s="25">
        <v>0</v>
      </c>
      <c r="AU667" s="26"/>
      <c r="AV667" s="26"/>
      <c r="AW667" s="26"/>
      <c r="AX667" s="26" t="str">
        <f t="shared" si="30"/>
        <v/>
      </c>
      <c r="AY667" t="str">
        <f t="shared" si="31"/>
        <v/>
      </c>
      <c r="AZ667" t="s">
        <v>200</v>
      </c>
      <c r="BA667" s="3"/>
      <c r="BB667" t="str">
        <f t="shared" si="32"/>
        <v>No scrap rate (No impact);</v>
      </c>
    </row>
    <row r="668" spans="1:54" x14ac:dyDescent="0.3">
      <c r="A668" t="s">
        <v>2346</v>
      </c>
      <c r="B668" t="s">
        <v>2347</v>
      </c>
      <c r="C668" t="s">
        <v>966</v>
      </c>
      <c r="D668" t="s">
        <v>967</v>
      </c>
      <c r="G668" t="s">
        <v>2336</v>
      </c>
      <c r="H668" t="s">
        <v>2337</v>
      </c>
      <c r="J668" t="s">
        <v>1060</v>
      </c>
      <c r="L668">
        <v>0</v>
      </c>
      <c r="M668">
        <v>0.13800000000000001</v>
      </c>
      <c r="N668" t="s">
        <v>198</v>
      </c>
      <c r="O668">
        <v>0</v>
      </c>
      <c r="P668" t="s">
        <v>198</v>
      </c>
      <c r="Q668" t="s">
        <v>199</v>
      </c>
      <c r="R668" s="3"/>
      <c r="W668" t="s">
        <v>200</v>
      </c>
      <c r="X668" s="25"/>
      <c r="Y668" s="26"/>
      <c r="Z668" s="27"/>
      <c r="AA668" t="s">
        <v>25</v>
      </c>
      <c r="AB668" t="s">
        <v>201</v>
      </c>
      <c r="AC668" s="3"/>
      <c r="AH668" t="s">
        <v>202</v>
      </c>
      <c r="AK668" t="s">
        <v>203</v>
      </c>
      <c r="AP668" t="s">
        <v>200</v>
      </c>
      <c r="AR668" s="25"/>
      <c r="AT668" s="25">
        <v>0</v>
      </c>
      <c r="AU668" s="26"/>
      <c r="AV668" s="26"/>
      <c r="AW668" s="26"/>
      <c r="AX668" s="26" t="str">
        <f t="shared" si="30"/>
        <v/>
      </c>
      <c r="AY668" t="str">
        <f t="shared" si="31"/>
        <v/>
      </c>
      <c r="AZ668" t="s">
        <v>200</v>
      </c>
      <c r="BA668" s="3"/>
      <c r="BB668" t="str">
        <f t="shared" si="32"/>
        <v>No scrap rate (No impact);</v>
      </c>
    </row>
    <row r="669" spans="1:54" x14ac:dyDescent="0.3">
      <c r="A669" t="s">
        <v>2348</v>
      </c>
      <c r="B669" t="s">
        <v>2349</v>
      </c>
      <c r="C669" t="s">
        <v>966</v>
      </c>
      <c r="D669" t="s">
        <v>967</v>
      </c>
      <c r="G669" t="s">
        <v>1078</v>
      </c>
      <c r="H669" t="s">
        <v>1079</v>
      </c>
      <c r="J669" t="s">
        <v>1060</v>
      </c>
      <c r="L669">
        <v>0</v>
      </c>
      <c r="M669">
        <v>7.3999999999999996E-2</v>
      </c>
      <c r="N669" t="s">
        <v>198</v>
      </c>
      <c r="O669">
        <v>0</v>
      </c>
      <c r="P669" t="s">
        <v>198</v>
      </c>
      <c r="Q669" t="s">
        <v>199</v>
      </c>
      <c r="R669" s="3"/>
      <c r="W669" t="s">
        <v>200</v>
      </c>
      <c r="X669" s="25"/>
      <c r="Y669" s="26"/>
      <c r="Z669" s="27"/>
      <c r="AA669" t="s">
        <v>25</v>
      </c>
      <c r="AB669" t="s">
        <v>201</v>
      </c>
      <c r="AC669" s="3"/>
      <c r="AH669" t="s">
        <v>202</v>
      </c>
      <c r="AK669" t="s">
        <v>203</v>
      </c>
      <c r="AP669" t="s">
        <v>200</v>
      </c>
      <c r="AR669" s="25"/>
      <c r="AT669" s="25">
        <v>0</v>
      </c>
      <c r="AU669" s="26"/>
      <c r="AV669" s="26"/>
      <c r="AW669" s="26"/>
      <c r="AX669" s="26" t="str">
        <f t="shared" si="30"/>
        <v/>
      </c>
      <c r="AY669" t="str">
        <f t="shared" si="31"/>
        <v/>
      </c>
      <c r="AZ669" t="s">
        <v>200</v>
      </c>
      <c r="BA669" s="3"/>
      <c r="BB669" t="str">
        <f t="shared" si="32"/>
        <v>No scrap rate (No impact);</v>
      </c>
    </row>
    <row r="670" spans="1:54" x14ac:dyDescent="0.3">
      <c r="A670" t="s">
        <v>2350</v>
      </c>
      <c r="B670" t="s">
        <v>2351</v>
      </c>
      <c r="C670" t="s">
        <v>966</v>
      </c>
      <c r="D670" t="s">
        <v>967</v>
      </c>
      <c r="G670" t="s">
        <v>2352</v>
      </c>
      <c r="H670" t="s">
        <v>2353</v>
      </c>
      <c r="J670" t="s">
        <v>1060</v>
      </c>
      <c r="L670">
        <v>0</v>
      </c>
      <c r="M670">
        <v>8.6999999999999994E-2</v>
      </c>
      <c r="N670" t="s">
        <v>198</v>
      </c>
      <c r="O670">
        <v>0</v>
      </c>
      <c r="P670" t="s">
        <v>198</v>
      </c>
      <c r="Q670" t="s">
        <v>199</v>
      </c>
      <c r="R670" s="3"/>
      <c r="W670" t="s">
        <v>200</v>
      </c>
      <c r="X670" s="25"/>
      <c r="Y670" s="26"/>
      <c r="Z670" s="27"/>
      <c r="AA670" t="s">
        <v>25</v>
      </c>
      <c r="AB670" t="s">
        <v>201</v>
      </c>
      <c r="AC670" s="3"/>
      <c r="AH670" t="s">
        <v>202</v>
      </c>
      <c r="AK670" t="s">
        <v>203</v>
      </c>
      <c r="AP670" t="s">
        <v>200</v>
      </c>
      <c r="AR670" s="25"/>
      <c r="AT670" s="25">
        <v>0</v>
      </c>
      <c r="AU670" s="26"/>
      <c r="AV670" s="26"/>
      <c r="AW670" s="26"/>
      <c r="AX670" s="26" t="str">
        <f t="shared" si="30"/>
        <v/>
      </c>
      <c r="AY670" t="str">
        <f t="shared" si="31"/>
        <v/>
      </c>
      <c r="AZ670" t="s">
        <v>200</v>
      </c>
      <c r="BA670" s="3"/>
      <c r="BB670" t="str">
        <f t="shared" si="32"/>
        <v>No scrap rate (No impact);</v>
      </c>
    </row>
    <row r="671" spans="1:54" x14ac:dyDescent="0.3">
      <c r="A671" t="s">
        <v>2354</v>
      </c>
      <c r="B671" t="s">
        <v>2355</v>
      </c>
      <c r="C671" t="s">
        <v>966</v>
      </c>
      <c r="D671" t="s">
        <v>967</v>
      </c>
      <c r="G671" t="s">
        <v>2336</v>
      </c>
      <c r="H671" t="s">
        <v>2337</v>
      </c>
      <c r="J671" t="s">
        <v>910</v>
      </c>
      <c r="L671">
        <v>0</v>
      </c>
      <c r="M671">
        <v>7.4999999999999997E-2</v>
      </c>
      <c r="N671" t="s">
        <v>1466</v>
      </c>
      <c r="O671">
        <v>0</v>
      </c>
      <c r="P671" t="s">
        <v>1466</v>
      </c>
      <c r="Q671" t="s">
        <v>199</v>
      </c>
      <c r="R671" s="3"/>
      <c r="W671" t="s">
        <v>200</v>
      </c>
      <c r="X671" s="25"/>
      <c r="Y671" s="26"/>
      <c r="Z671" s="27"/>
      <c r="AA671" t="s">
        <v>25</v>
      </c>
      <c r="AB671" t="s">
        <v>201</v>
      </c>
      <c r="AC671" s="3"/>
      <c r="AH671" t="s">
        <v>202</v>
      </c>
      <c r="AK671" t="s">
        <v>203</v>
      </c>
      <c r="AP671" t="s">
        <v>200</v>
      </c>
      <c r="AR671" s="25"/>
      <c r="AT671" s="25">
        <v>0</v>
      </c>
      <c r="AU671" s="26"/>
      <c r="AV671" s="26"/>
      <c r="AW671" s="26"/>
      <c r="AX671" s="26" t="str">
        <f t="shared" si="30"/>
        <v/>
      </c>
      <c r="AY671" t="str">
        <f t="shared" si="31"/>
        <v/>
      </c>
      <c r="AZ671" t="s">
        <v>200</v>
      </c>
      <c r="BA671" s="3"/>
      <c r="BB671" t="str">
        <f t="shared" si="32"/>
        <v>No scrap rate (No impact);</v>
      </c>
    </row>
    <row r="672" spans="1:54" x14ac:dyDescent="0.3">
      <c r="A672" t="s">
        <v>2356</v>
      </c>
      <c r="B672" t="s">
        <v>2357</v>
      </c>
      <c r="C672" t="s">
        <v>966</v>
      </c>
      <c r="D672" t="s">
        <v>967</v>
      </c>
      <c r="G672" t="s">
        <v>1078</v>
      </c>
      <c r="H672" t="s">
        <v>1079</v>
      </c>
      <c r="J672" t="s">
        <v>910</v>
      </c>
      <c r="L672">
        <v>0</v>
      </c>
      <c r="M672">
        <v>7.4999999999999997E-2</v>
      </c>
      <c r="N672" t="s">
        <v>198</v>
      </c>
      <c r="O672">
        <v>0</v>
      </c>
      <c r="P672" t="s">
        <v>198</v>
      </c>
      <c r="Q672" t="s">
        <v>199</v>
      </c>
      <c r="R672" s="3"/>
      <c r="W672" t="s">
        <v>200</v>
      </c>
      <c r="X672" s="25"/>
      <c r="Y672" s="26"/>
      <c r="Z672" s="27"/>
      <c r="AA672" t="s">
        <v>25</v>
      </c>
      <c r="AB672" t="s">
        <v>201</v>
      </c>
      <c r="AC672" s="3"/>
      <c r="AH672" t="s">
        <v>202</v>
      </c>
      <c r="AK672" t="s">
        <v>203</v>
      </c>
      <c r="AP672" t="s">
        <v>200</v>
      </c>
      <c r="AR672" s="25"/>
      <c r="AT672" s="25">
        <v>0</v>
      </c>
      <c r="AU672" s="26"/>
      <c r="AV672" s="26"/>
      <c r="AW672" s="26"/>
      <c r="AX672" s="26" t="str">
        <f t="shared" si="30"/>
        <v/>
      </c>
      <c r="AY672" t="str">
        <f t="shared" si="31"/>
        <v/>
      </c>
      <c r="AZ672" t="s">
        <v>200</v>
      </c>
      <c r="BA672" s="3"/>
      <c r="BB672" t="str">
        <f t="shared" si="32"/>
        <v>No scrap rate (No impact);</v>
      </c>
    </row>
    <row r="673" spans="1:54" x14ac:dyDescent="0.3">
      <c r="A673" t="s">
        <v>2358</v>
      </c>
      <c r="B673" t="s">
        <v>2359</v>
      </c>
      <c r="C673" t="s">
        <v>966</v>
      </c>
      <c r="D673" t="s">
        <v>967</v>
      </c>
      <c r="G673" t="s">
        <v>2324</v>
      </c>
      <c r="H673" t="s">
        <v>2325</v>
      </c>
      <c r="L673">
        <v>0</v>
      </c>
      <c r="M673">
        <v>1</v>
      </c>
      <c r="N673" t="s">
        <v>1466</v>
      </c>
      <c r="O673">
        <v>0</v>
      </c>
      <c r="P673" t="s">
        <v>1466</v>
      </c>
      <c r="Q673" t="s">
        <v>199</v>
      </c>
      <c r="R673" s="3"/>
      <c r="W673" t="s">
        <v>200</v>
      </c>
      <c r="X673" s="25"/>
      <c r="Y673" s="26"/>
      <c r="Z673" s="27"/>
      <c r="AA673" t="s">
        <v>25</v>
      </c>
      <c r="AB673" t="s">
        <v>201</v>
      </c>
      <c r="AC673" s="3"/>
      <c r="AH673" t="s">
        <v>202</v>
      </c>
      <c r="AK673" t="s">
        <v>203</v>
      </c>
      <c r="AP673" t="s">
        <v>200</v>
      </c>
      <c r="AR673" s="25"/>
      <c r="AT673" s="25">
        <v>0</v>
      </c>
      <c r="AU673" s="26"/>
      <c r="AV673" s="26"/>
      <c r="AW673" s="26"/>
      <c r="AX673" s="26" t="str">
        <f t="shared" si="30"/>
        <v/>
      </c>
      <c r="AY673" t="str">
        <f t="shared" si="31"/>
        <v/>
      </c>
      <c r="AZ673" t="s">
        <v>200</v>
      </c>
      <c r="BA673" s="3"/>
      <c r="BB673" t="str">
        <f t="shared" si="32"/>
        <v>No scrap rate (No impact);No raw material available (High);</v>
      </c>
    </row>
    <row r="674" spans="1:54" x14ac:dyDescent="0.3">
      <c r="A674" t="s">
        <v>2360</v>
      </c>
      <c r="B674" t="s">
        <v>2361</v>
      </c>
      <c r="C674" t="s">
        <v>918</v>
      </c>
      <c r="D674" t="s">
        <v>919</v>
      </c>
      <c r="G674" t="s">
        <v>997</v>
      </c>
      <c r="H674" t="s">
        <v>998</v>
      </c>
      <c r="J674" t="s">
        <v>1046</v>
      </c>
      <c r="L674">
        <v>0</v>
      </c>
      <c r="M674">
        <v>0</v>
      </c>
      <c r="N674" t="s">
        <v>198</v>
      </c>
      <c r="O674">
        <v>0</v>
      </c>
      <c r="P674" t="s">
        <v>198</v>
      </c>
      <c r="Q674" t="s">
        <v>199</v>
      </c>
      <c r="R674" s="3"/>
      <c r="W674" t="s">
        <v>200</v>
      </c>
      <c r="X674" s="25"/>
      <c r="Y674" s="26"/>
      <c r="Z674" s="27"/>
      <c r="AA674" t="s">
        <v>25</v>
      </c>
      <c r="AB674" t="s">
        <v>201</v>
      </c>
      <c r="AC674" s="3"/>
      <c r="AH674" t="s">
        <v>202</v>
      </c>
      <c r="AK674" t="s">
        <v>203</v>
      </c>
      <c r="AP674" t="s">
        <v>200</v>
      </c>
      <c r="AR674" s="25"/>
      <c r="AT674" s="25">
        <v>0</v>
      </c>
      <c r="AU674" s="26"/>
      <c r="AV674" s="26"/>
      <c r="AW674" s="26"/>
      <c r="AX674" s="26" t="str">
        <f t="shared" si="30"/>
        <v/>
      </c>
      <c r="AY674" t="str">
        <f t="shared" si="31"/>
        <v/>
      </c>
      <c r="AZ674" t="s">
        <v>200</v>
      </c>
      <c r="BA674" s="3"/>
      <c r="BB674" t="str">
        <f t="shared" si="32"/>
        <v>No scrap rate (No impact);</v>
      </c>
    </row>
    <row r="675" spans="1:54" x14ac:dyDescent="0.3">
      <c r="A675" t="s">
        <v>2362</v>
      </c>
      <c r="B675" t="s">
        <v>2363</v>
      </c>
      <c r="C675" t="s">
        <v>747</v>
      </c>
      <c r="D675" t="s">
        <v>748</v>
      </c>
      <c r="J675" t="s">
        <v>1475</v>
      </c>
      <c r="L675">
        <v>0</v>
      </c>
      <c r="M675">
        <v>2.7E-2</v>
      </c>
      <c r="N675" t="s">
        <v>1466</v>
      </c>
      <c r="O675">
        <v>0</v>
      </c>
      <c r="P675" t="s">
        <v>1466</v>
      </c>
      <c r="Q675" t="s">
        <v>199</v>
      </c>
      <c r="R675" s="3"/>
      <c r="W675" t="s">
        <v>200</v>
      </c>
      <c r="X675" s="25"/>
      <c r="Y675" s="26"/>
      <c r="Z675" s="27"/>
      <c r="AA675" t="s">
        <v>25</v>
      </c>
      <c r="AB675" t="s">
        <v>201</v>
      </c>
      <c r="AC675" s="3"/>
      <c r="AH675" t="s">
        <v>202</v>
      </c>
      <c r="AK675" t="s">
        <v>203</v>
      </c>
      <c r="AP675" t="s">
        <v>200</v>
      </c>
      <c r="AR675" s="25"/>
      <c r="AT675" s="25">
        <v>0</v>
      </c>
      <c r="AU675" s="26"/>
      <c r="AV675" s="26"/>
      <c r="AW675" s="26"/>
      <c r="AX675" s="26" t="str">
        <f t="shared" si="30"/>
        <v/>
      </c>
      <c r="AY675" t="str">
        <f t="shared" si="31"/>
        <v/>
      </c>
      <c r="AZ675" t="s">
        <v>200</v>
      </c>
      <c r="BA675" s="3"/>
      <c r="BB675" t="str">
        <f t="shared" si="32"/>
        <v>Supplier code empty (High);No scrap rate (No impact);</v>
      </c>
    </row>
    <row r="676" spans="1:54" x14ac:dyDescent="0.3">
      <c r="A676" t="s">
        <v>2364</v>
      </c>
      <c r="B676" t="s">
        <v>2365</v>
      </c>
      <c r="C676" t="s">
        <v>1256</v>
      </c>
      <c r="D676" t="s">
        <v>1257</v>
      </c>
      <c r="G676" t="s">
        <v>433</v>
      </c>
      <c r="H676" t="s">
        <v>434</v>
      </c>
      <c r="J676" t="s">
        <v>1046</v>
      </c>
      <c r="L676">
        <v>0</v>
      </c>
      <c r="M676">
        <v>1E-3</v>
      </c>
      <c r="N676" t="s">
        <v>198</v>
      </c>
      <c r="O676">
        <v>1E-3</v>
      </c>
      <c r="P676" t="s">
        <v>198</v>
      </c>
      <c r="Q676" t="s">
        <v>199</v>
      </c>
      <c r="R676" s="3"/>
      <c r="W676" t="s">
        <v>200</v>
      </c>
      <c r="X676" s="25"/>
      <c r="Y676" s="26"/>
      <c r="Z676" s="27"/>
      <c r="AA676" t="s">
        <v>25</v>
      </c>
      <c r="AB676" t="s">
        <v>201</v>
      </c>
      <c r="AC676" s="3"/>
      <c r="AH676" t="s">
        <v>202</v>
      </c>
      <c r="AK676" t="s">
        <v>203</v>
      </c>
      <c r="AP676" t="s">
        <v>200</v>
      </c>
      <c r="AR676" s="25"/>
      <c r="AT676" s="25">
        <v>0</v>
      </c>
      <c r="AU676" s="26"/>
      <c r="AV676" s="26"/>
      <c r="AW676" s="26"/>
      <c r="AX676" s="26" t="str">
        <f t="shared" si="30"/>
        <v/>
      </c>
      <c r="AY676" t="str">
        <f t="shared" si="31"/>
        <v/>
      </c>
      <c r="AZ676" t="s">
        <v>200</v>
      </c>
      <c r="BA676" s="3"/>
      <c r="BB676" t="str">
        <f t="shared" si="32"/>
        <v>No scrap rate (No impact);</v>
      </c>
    </row>
    <row r="677" spans="1:54" x14ac:dyDescent="0.3">
      <c r="A677" t="s">
        <v>2366</v>
      </c>
      <c r="B677" t="s">
        <v>2367</v>
      </c>
      <c r="C677" t="s">
        <v>1256</v>
      </c>
      <c r="D677" t="s">
        <v>1257</v>
      </c>
      <c r="G677" t="s">
        <v>433</v>
      </c>
      <c r="H677" t="s">
        <v>434</v>
      </c>
      <c r="J677" t="s">
        <v>1046</v>
      </c>
      <c r="L677">
        <v>0</v>
      </c>
      <c r="M677">
        <v>1E-3</v>
      </c>
      <c r="N677" t="s">
        <v>198</v>
      </c>
      <c r="O677">
        <v>1E-3</v>
      </c>
      <c r="P677" t="s">
        <v>198</v>
      </c>
      <c r="Q677" t="s">
        <v>199</v>
      </c>
      <c r="R677" s="3"/>
      <c r="W677" t="s">
        <v>200</v>
      </c>
      <c r="X677" s="25"/>
      <c r="Y677" s="26"/>
      <c r="Z677" s="27"/>
      <c r="AA677" t="s">
        <v>25</v>
      </c>
      <c r="AB677" t="s">
        <v>201</v>
      </c>
      <c r="AC677" s="3"/>
      <c r="AH677" t="s">
        <v>202</v>
      </c>
      <c r="AK677" t="s">
        <v>203</v>
      </c>
      <c r="AP677" t="s">
        <v>200</v>
      </c>
      <c r="AR677" s="25"/>
      <c r="AT677" s="25">
        <v>0</v>
      </c>
      <c r="AU677" s="26"/>
      <c r="AV677" s="26"/>
      <c r="AW677" s="26"/>
      <c r="AX677" s="26" t="str">
        <f t="shared" si="30"/>
        <v/>
      </c>
      <c r="AY677" t="str">
        <f t="shared" si="31"/>
        <v/>
      </c>
      <c r="AZ677" t="s">
        <v>200</v>
      </c>
      <c r="BA677" s="3"/>
      <c r="BB677" t="str">
        <f t="shared" si="32"/>
        <v>No scrap rate (No impact);</v>
      </c>
    </row>
    <row r="678" spans="1:54" x14ac:dyDescent="0.3">
      <c r="A678" t="s">
        <v>2368</v>
      </c>
      <c r="B678" t="s">
        <v>2369</v>
      </c>
      <c r="C678" t="s">
        <v>966</v>
      </c>
      <c r="D678" t="s">
        <v>967</v>
      </c>
      <c r="G678" t="s">
        <v>1299</v>
      </c>
      <c r="H678" t="s">
        <v>1300</v>
      </c>
      <c r="J678" t="s">
        <v>1046</v>
      </c>
      <c r="L678">
        <v>1</v>
      </c>
      <c r="M678">
        <v>3.0000000000000001E-3</v>
      </c>
      <c r="N678" t="s">
        <v>198</v>
      </c>
      <c r="O678">
        <v>3.0000000000000001E-3</v>
      </c>
      <c r="P678" t="s">
        <v>198</v>
      </c>
      <c r="Q678" t="s">
        <v>199</v>
      </c>
      <c r="R678" s="3"/>
      <c r="W678" t="s">
        <v>200</v>
      </c>
      <c r="X678" s="25"/>
      <c r="Y678" s="26"/>
      <c r="Z678" s="27"/>
      <c r="AA678" t="s">
        <v>25</v>
      </c>
      <c r="AB678" t="s">
        <v>201</v>
      </c>
      <c r="AC678" s="3"/>
      <c r="AH678" t="s">
        <v>202</v>
      </c>
      <c r="AK678" t="s">
        <v>203</v>
      </c>
      <c r="AP678" t="s">
        <v>200</v>
      </c>
      <c r="AR678" s="25"/>
      <c r="AT678" s="25">
        <v>0</v>
      </c>
      <c r="AU678" s="26"/>
      <c r="AV678" s="26"/>
      <c r="AW678" s="26"/>
      <c r="AX678" s="26" t="str">
        <f t="shared" si="30"/>
        <v/>
      </c>
      <c r="AY678" t="str">
        <f t="shared" si="31"/>
        <v/>
      </c>
      <c r="AZ678" t="s">
        <v>200</v>
      </c>
      <c r="BA678" s="3"/>
      <c r="BB678" t="str">
        <f t="shared" si="32"/>
        <v>No scrap rate (No impact);</v>
      </c>
    </row>
    <row r="679" spans="1:54" x14ac:dyDescent="0.3">
      <c r="A679" t="s">
        <v>2370</v>
      </c>
      <c r="B679" t="s">
        <v>2371</v>
      </c>
      <c r="C679" t="s">
        <v>1256</v>
      </c>
      <c r="D679" t="s">
        <v>1257</v>
      </c>
      <c r="G679" t="s">
        <v>1615</v>
      </c>
      <c r="H679" t="s">
        <v>1616</v>
      </c>
      <c r="J679" t="s">
        <v>1046</v>
      </c>
      <c r="L679">
        <v>0</v>
      </c>
      <c r="M679">
        <v>2E-3</v>
      </c>
      <c r="N679" t="s">
        <v>198</v>
      </c>
      <c r="O679">
        <v>2E-3</v>
      </c>
      <c r="P679" t="s">
        <v>198</v>
      </c>
      <c r="Q679" t="s">
        <v>199</v>
      </c>
      <c r="R679" s="3"/>
      <c r="W679" t="s">
        <v>200</v>
      </c>
      <c r="X679" s="25"/>
      <c r="Y679" s="26"/>
      <c r="Z679" s="27"/>
      <c r="AA679" t="s">
        <v>25</v>
      </c>
      <c r="AB679" t="s">
        <v>201</v>
      </c>
      <c r="AC679" s="3"/>
      <c r="AH679" t="s">
        <v>202</v>
      </c>
      <c r="AK679" t="s">
        <v>203</v>
      </c>
      <c r="AP679" t="s">
        <v>200</v>
      </c>
      <c r="AR679" s="25"/>
      <c r="AT679" s="25">
        <v>0</v>
      </c>
      <c r="AU679" s="26"/>
      <c r="AV679" s="26"/>
      <c r="AW679" s="26"/>
      <c r="AX679" s="26" t="str">
        <f t="shared" si="30"/>
        <v/>
      </c>
      <c r="AY679" t="str">
        <f t="shared" si="31"/>
        <v/>
      </c>
      <c r="AZ679" t="s">
        <v>200</v>
      </c>
      <c r="BA679" s="3"/>
      <c r="BB679" t="str">
        <f t="shared" si="32"/>
        <v>No scrap rate (No impact);</v>
      </c>
    </row>
    <row r="680" spans="1:54" x14ac:dyDescent="0.3">
      <c r="A680" t="s">
        <v>2372</v>
      </c>
      <c r="B680" t="s">
        <v>2373</v>
      </c>
      <c r="C680" t="s">
        <v>1256</v>
      </c>
      <c r="D680" t="s">
        <v>1257</v>
      </c>
      <c r="G680" t="s">
        <v>1428</v>
      </c>
      <c r="H680" t="s">
        <v>1429</v>
      </c>
      <c r="J680" t="s">
        <v>1590</v>
      </c>
      <c r="L680">
        <v>0</v>
      </c>
      <c r="M680">
        <v>3.0000000000000001E-3</v>
      </c>
      <c r="N680" t="s">
        <v>198</v>
      </c>
      <c r="O680">
        <v>3.0000000000000001E-3</v>
      </c>
      <c r="P680" t="s">
        <v>198</v>
      </c>
      <c r="Q680" t="s">
        <v>199</v>
      </c>
      <c r="R680" s="3"/>
      <c r="W680" t="s">
        <v>200</v>
      </c>
      <c r="X680" s="25"/>
      <c r="Y680" s="26"/>
      <c r="Z680" s="27"/>
      <c r="AA680" t="s">
        <v>25</v>
      </c>
      <c r="AB680" t="s">
        <v>201</v>
      </c>
      <c r="AC680" s="3"/>
      <c r="AH680" t="s">
        <v>202</v>
      </c>
      <c r="AK680" t="s">
        <v>203</v>
      </c>
      <c r="AP680" t="s">
        <v>200</v>
      </c>
      <c r="AR680" s="25"/>
      <c r="AT680" s="25">
        <v>0</v>
      </c>
      <c r="AU680" s="26"/>
      <c r="AV680" s="26"/>
      <c r="AW680" s="26"/>
      <c r="AX680" s="26" t="str">
        <f t="shared" si="30"/>
        <v/>
      </c>
      <c r="AY680" t="str">
        <f t="shared" si="31"/>
        <v/>
      </c>
      <c r="AZ680" t="s">
        <v>200</v>
      </c>
      <c r="BA680" s="3"/>
      <c r="BB680" t="str">
        <f t="shared" si="32"/>
        <v>No scrap rate (No impact);</v>
      </c>
    </row>
    <row r="681" spans="1:54" x14ac:dyDescent="0.3">
      <c r="A681" t="s">
        <v>2374</v>
      </c>
      <c r="B681" t="s">
        <v>2375</v>
      </c>
      <c r="C681" t="s">
        <v>1256</v>
      </c>
      <c r="D681" t="s">
        <v>1257</v>
      </c>
      <c r="G681" t="s">
        <v>1428</v>
      </c>
      <c r="H681" t="s">
        <v>1429</v>
      </c>
      <c r="J681" t="s">
        <v>1590</v>
      </c>
      <c r="L681">
        <v>0</v>
      </c>
      <c r="M681">
        <v>3.0000000000000001E-3</v>
      </c>
      <c r="N681" t="s">
        <v>198</v>
      </c>
      <c r="O681">
        <v>3.0000000000000001E-3</v>
      </c>
      <c r="P681" t="s">
        <v>198</v>
      </c>
      <c r="Q681" t="s">
        <v>199</v>
      </c>
      <c r="R681" s="3"/>
      <c r="W681" t="s">
        <v>200</v>
      </c>
      <c r="X681" s="25"/>
      <c r="Y681" s="26"/>
      <c r="Z681" s="27"/>
      <c r="AA681" t="s">
        <v>25</v>
      </c>
      <c r="AB681" t="s">
        <v>201</v>
      </c>
      <c r="AC681" s="3"/>
      <c r="AH681" t="s">
        <v>202</v>
      </c>
      <c r="AK681" t="s">
        <v>203</v>
      </c>
      <c r="AP681" t="s">
        <v>200</v>
      </c>
      <c r="AR681" s="25"/>
      <c r="AT681" s="25">
        <v>0</v>
      </c>
      <c r="AU681" s="26"/>
      <c r="AV681" s="26"/>
      <c r="AW681" s="26"/>
      <c r="AX681" s="26" t="str">
        <f t="shared" si="30"/>
        <v/>
      </c>
      <c r="AY681" t="str">
        <f t="shared" si="31"/>
        <v/>
      </c>
      <c r="AZ681" t="s">
        <v>200</v>
      </c>
      <c r="BA681" s="3"/>
      <c r="BB681" t="str">
        <f t="shared" si="32"/>
        <v>No scrap rate (No impact);</v>
      </c>
    </row>
    <row r="682" spans="1:54" x14ac:dyDescent="0.3">
      <c r="A682" t="s">
        <v>2376</v>
      </c>
      <c r="B682" t="s">
        <v>2377</v>
      </c>
      <c r="C682" t="s">
        <v>1256</v>
      </c>
      <c r="D682" t="s">
        <v>1257</v>
      </c>
      <c r="G682" t="s">
        <v>903</v>
      </c>
      <c r="H682" t="s">
        <v>361</v>
      </c>
      <c r="J682" t="s">
        <v>1590</v>
      </c>
      <c r="L682">
        <v>0</v>
      </c>
      <c r="M682">
        <v>3.0000000000000001E-3</v>
      </c>
      <c r="N682" t="s">
        <v>198</v>
      </c>
      <c r="O682">
        <v>3.0000000000000001E-3</v>
      </c>
      <c r="P682" t="s">
        <v>198</v>
      </c>
      <c r="Q682" t="s">
        <v>199</v>
      </c>
      <c r="R682" s="3"/>
      <c r="W682" t="s">
        <v>200</v>
      </c>
      <c r="X682" s="25"/>
      <c r="Y682" s="26"/>
      <c r="Z682" s="27"/>
      <c r="AA682" t="s">
        <v>25</v>
      </c>
      <c r="AB682" t="s">
        <v>201</v>
      </c>
      <c r="AC682" s="3"/>
      <c r="AH682" t="s">
        <v>202</v>
      </c>
      <c r="AK682" t="s">
        <v>203</v>
      </c>
      <c r="AP682" t="s">
        <v>200</v>
      </c>
      <c r="AR682" s="25"/>
      <c r="AT682" s="25">
        <v>0</v>
      </c>
      <c r="AU682" s="26"/>
      <c r="AV682" s="26"/>
      <c r="AW682" s="26"/>
      <c r="AX682" s="26" t="str">
        <f t="shared" si="30"/>
        <v/>
      </c>
      <c r="AY682" t="str">
        <f t="shared" si="31"/>
        <v/>
      </c>
      <c r="AZ682" t="s">
        <v>200</v>
      </c>
      <c r="BA682" s="3"/>
      <c r="BB682" t="str">
        <f t="shared" si="32"/>
        <v>No scrap rate (No impact);</v>
      </c>
    </row>
    <row r="683" spans="1:54" x14ac:dyDescent="0.3">
      <c r="A683" t="s">
        <v>2378</v>
      </c>
      <c r="B683" t="s">
        <v>2379</v>
      </c>
      <c r="C683" t="s">
        <v>1256</v>
      </c>
      <c r="D683" t="s">
        <v>1257</v>
      </c>
      <c r="G683" t="s">
        <v>1615</v>
      </c>
      <c r="H683" t="s">
        <v>1616</v>
      </c>
      <c r="J683" t="s">
        <v>1046</v>
      </c>
      <c r="L683">
        <v>0</v>
      </c>
      <c r="M683">
        <v>2E-3</v>
      </c>
      <c r="N683" t="s">
        <v>198</v>
      </c>
      <c r="O683">
        <v>2E-3</v>
      </c>
      <c r="P683" t="s">
        <v>198</v>
      </c>
      <c r="Q683" t="s">
        <v>199</v>
      </c>
      <c r="R683" s="3"/>
      <c r="W683" t="s">
        <v>200</v>
      </c>
      <c r="X683" s="25"/>
      <c r="Y683" s="26"/>
      <c r="Z683" s="27"/>
      <c r="AA683" t="s">
        <v>25</v>
      </c>
      <c r="AB683" t="s">
        <v>201</v>
      </c>
      <c r="AC683" s="3"/>
      <c r="AH683" t="s">
        <v>202</v>
      </c>
      <c r="AK683" t="s">
        <v>203</v>
      </c>
      <c r="AP683" t="s">
        <v>200</v>
      </c>
      <c r="AR683" s="25"/>
      <c r="AT683" s="25">
        <v>0</v>
      </c>
      <c r="AU683" s="26"/>
      <c r="AV683" s="26"/>
      <c r="AW683" s="26"/>
      <c r="AX683" s="26" t="str">
        <f t="shared" si="30"/>
        <v/>
      </c>
      <c r="AY683" t="str">
        <f t="shared" si="31"/>
        <v/>
      </c>
      <c r="AZ683" t="s">
        <v>200</v>
      </c>
      <c r="BA683" s="3"/>
      <c r="BB683" t="str">
        <f t="shared" si="32"/>
        <v>No scrap rate (No impact);</v>
      </c>
    </row>
    <row r="684" spans="1:54" x14ac:dyDescent="0.3">
      <c r="A684" t="s">
        <v>2380</v>
      </c>
      <c r="B684" t="s">
        <v>2381</v>
      </c>
      <c r="C684" t="s">
        <v>1256</v>
      </c>
      <c r="D684" t="s">
        <v>1257</v>
      </c>
      <c r="G684" t="s">
        <v>903</v>
      </c>
      <c r="H684" t="s">
        <v>361</v>
      </c>
      <c r="J684" t="s">
        <v>1590</v>
      </c>
      <c r="L684">
        <v>0</v>
      </c>
      <c r="M684">
        <v>3.0000000000000001E-3</v>
      </c>
      <c r="N684" t="s">
        <v>198</v>
      </c>
      <c r="O684">
        <v>3.0000000000000001E-3</v>
      </c>
      <c r="P684" t="s">
        <v>198</v>
      </c>
      <c r="Q684" t="s">
        <v>199</v>
      </c>
      <c r="R684" s="3"/>
      <c r="W684" t="s">
        <v>200</v>
      </c>
      <c r="X684" s="25"/>
      <c r="Y684" s="26"/>
      <c r="Z684" s="27"/>
      <c r="AA684" t="s">
        <v>25</v>
      </c>
      <c r="AB684" t="s">
        <v>201</v>
      </c>
      <c r="AC684" s="3"/>
      <c r="AH684" t="s">
        <v>202</v>
      </c>
      <c r="AK684" t="s">
        <v>203</v>
      </c>
      <c r="AP684" t="s">
        <v>200</v>
      </c>
      <c r="AR684" s="25"/>
      <c r="AT684" s="25">
        <v>0</v>
      </c>
      <c r="AU684" s="26"/>
      <c r="AV684" s="26"/>
      <c r="AW684" s="26"/>
      <c r="AX684" s="26" t="str">
        <f t="shared" si="30"/>
        <v/>
      </c>
      <c r="AY684" t="str">
        <f t="shared" si="31"/>
        <v/>
      </c>
      <c r="AZ684" t="s">
        <v>200</v>
      </c>
      <c r="BA684" s="3"/>
      <c r="BB684" t="str">
        <f t="shared" si="32"/>
        <v>No scrap rate (No impact);</v>
      </c>
    </row>
    <row r="685" spans="1:54" x14ac:dyDescent="0.3">
      <c r="A685" t="s">
        <v>2382</v>
      </c>
      <c r="B685" t="s">
        <v>2383</v>
      </c>
      <c r="C685" t="s">
        <v>1256</v>
      </c>
      <c r="D685" t="s">
        <v>1257</v>
      </c>
      <c r="G685" t="s">
        <v>903</v>
      </c>
      <c r="H685" t="s">
        <v>361</v>
      </c>
      <c r="J685" t="s">
        <v>1590</v>
      </c>
      <c r="L685">
        <v>0</v>
      </c>
      <c r="M685">
        <v>2E-3</v>
      </c>
      <c r="N685" t="s">
        <v>198</v>
      </c>
      <c r="O685">
        <v>2E-3</v>
      </c>
      <c r="P685" t="s">
        <v>198</v>
      </c>
      <c r="Q685" t="s">
        <v>199</v>
      </c>
      <c r="R685" s="3"/>
      <c r="W685" t="s">
        <v>200</v>
      </c>
      <c r="X685" s="25"/>
      <c r="Y685" s="26"/>
      <c r="Z685" s="27"/>
      <c r="AA685" t="s">
        <v>25</v>
      </c>
      <c r="AB685" t="s">
        <v>201</v>
      </c>
      <c r="AC685" s="3"/>
      <c r="AH685" t="s">
        <v>202</v>
      </c>
      <c r="AK685" t="s">
        <v>203</v>
      </c>
      <c r="AP685" t="s">
        <v>200</v>
      </c>
      <c r="AR685" s="25"/>
      <c r="AT685" s="25">
        <v>0</v>
      </c>
      <c r="AU685" s="26"/>
      <c r="AV685" s="26"/>
      <c r="AW685" s="26"/>
      <c r="AX685" s="26" t="str">
        <f t="shared" si="30"/>
        <v/>
      </c>
      <c r="AY685" t="str">
        <f t="shared" si="31"/>
        <v/>
      </c>
      <c r="AZ685" t="s">
        <v>200</v>
      </c>
      <c r="BA685" s="3"/>
      <c r="BB685" t="str">
        <f t="shared" si="32"/>
        <v>No scrap rate (No impact);</v>
      </c>
    </row>
    <row r="686" spans="1:54" x14ac:dyDescent="0.3">
      <c r="A686" t="s">
        <v>2384</v>
      </c>
      <c r="B686" t="s">
        <v>2385</v>
      </c>
      <c r="C686" t="s">
        <v>1256</v>
      </c>
      <c r="D686" t="s">
        <v>1257</v>
      </c>
      <c r="G686" t="s">
        <v>1615</v>
      </c>
      <c r="H686" t="s">
        <v>1616</v>
      </c>
      <c r="J686" t="s">
        <v>1046</v>
      </c>
      <c r="L686">
        <v>0</v>
      </c>
      <c r="M686">
        <v>2E-3</v>
      </c>
      <c r="N686" t="s">
        <v>198</v>
      </c>
      <c r="O686">
        <v>2E-3</v>
      </c>
      <c r="P686" t="s">
        <v>198</v>
      </c>
      <c r="Q686" t="s">
        <v>199</v>
      </c>
      <c r="R686" s="3"/>
      <c r="W686" t="s">
        <v>200</v>
      </c>
      <c r="X686" s="25"/>
      <c r="Y686" s="26"/>
      <c r="Z686" s="27"/>
      <c r="AA686" t="s">
        <v>25</v>
      </c>
      <c r="AB686" t="s">
        <v>201</v>
      </c>
      <c r="AC686" s="3"/>
      <c r="AH686" t="s">
        <v>202</v>
      </c>
      <c r="AK686" t="s">
        <v>203</v>
      </c>
      <c r="AP686" t="s">
        <v>200</v>
      </c>
      <c r="AR686" s="25"/>
      <c r="AT686" s="25">
        <v>0</v>
      </c>
      <c r="AU686" s="26"/>
      <c r="AV686" s="26"/>
      <c r="AW686" s="26"/>
      <c r="AX686" s="26" t="str">
        <f t="shared" si="30"/>
        <v/>
      </c>
      <c r="AY686" t="str">
        <f t="shared" si="31"/>
        <v/>
      </c>
      <c r="AZ686" t="s">
        <v>200</v>
      </c>
      <c r="BA686" s="3"/>
      <c r="BB686" t="str">
        <f t="shared" si="32"/>
        <v>No scrap rate (No impact);</v>
      </c>
    </row>
    <row r="687" spans="1:54" x14ac:dyDescent="0.3">
      <c r="A687" t="s">
        <v>2386</v>
      </c>
      <c r="B687" t="s">
        <v>2387</v>
      </c>
      <c r="C687" t="s">
        <v>1256</v>
      </c>
      <c r="D687" t="s">
        <v>1257</v>
      </c>
      <c r="G687" t="s">
        <v>903</v>
      </c>
      <c r="H687" t="s">
        <v>361</v>
      </c>
      <c r="J687" t="s">
        <v>1590</v>
      </c>
      <c r="L687">
        <v>0</v>
      </c>
      <c r="M687">
        <v>3.0000000000000001E-3</v>
      </c>
      <c r="N687" t="s">
        <v>198</v>
      </c>
      <c r="O687">
        <v>3.0000000000000001E-3</v>
      </c>
      <c r="P687" t="s">
        <v>198</v>
      </c>
      <c r="Q687" t="s">
        <v>199</v>
      </c>
      <c r="R687" s="3"/>
      <c r="W687" t="s">
        <v>200</v>
      </c>
      <c r="X687" s="25"/>
      <c r="Y687" s="26"/>
      <c r="Z687" s="27"/>
      <c r="AA687" t="s">
        <v>25</v>
      </c>
      <c r="AB687" t="s">
        <v>201</v>
      </c>
      <c r="AC687" s="3"/>
      <c r="AH687" t="s">
        <v>202</v>
      </c>
      <c r="AK687" t="s">
        <v>203</v>
      </c>
      <c r="AP687" t="s">
        <v>200</v>
      </c>
      <c r="AR687" s="25"/>
      <c r="AT687" s="25">
        <v>0</v>
      </c>
      <c r="AU687" s="26"/>
      <c r="AV687" s="26"/>
      <c r="AW687" s="26"/>
      <c r="AX687" s="26" t="str">
        <f t="shared" si="30"/>
        <v/>
      </c>
      <c r="AY687" t="str">
        <f t="shared" si="31"/>
        <v/>
      </c>
      <c r="AZ687" t="s">
        <v>200</v>
      </c>
      <c r="BA687" s="3"/>
      <c r="BB687" t="str">
        <f t="shared" si="32"/>
        <v>No scrap rate (No impact);</v>
      </c>
    </row>
    <row r="688" spans="1:54" x14ac:dyDescent="0.3">
      <c r="A688" t="s">
        <v>2388</v>
      </c>
      <c r="B688" t="s">
        <v>2389</v>
      </c>
      <c r="C688" t="s">
        <v>1256</v>
      </c>
      <c r="D688" t="s">
        <v>1257</v>
      </c>
      <c r="G688" t="s">
        <v>903</v>
      </c>
      <c r="H688" t="s">
        <v>361</v>
      </c>
      <c r="J688" t="s">
        <v>1590</v>
      </c>
      <c r="L688">
        <v>0</v>
      </c>
      <c r="M688">
        <v>2E-3</v>
      </c>
      <c r="N688" t="s">
        <v>198</v>
      </c>
      <c r="O688">
        <v>2E-3</v>
      </c>
      <c r="P688" t="s">
        <v>198</v>
      </c>
      <c r="Q688" t="s">
        <v>199</v>
      </c>
      <c r="R688" s="3"/>
      <c r="W688" t="s">
        <v>200</v>
      </c>
      <c r="X688" s="25"/>
      <c r="Y688" s="26"/>
      <c r="Z688" s="27"/>
      <c r="AA688" t="s">
        <v>25</v>
      </c>
      <c r="AB688" t="s">
        <v>201</v>
      </c>
      <c r="AC688" s="3"/>
      <c r="AH688" t="s">
        <v>202</v>
      </c>
      <c r="AK688" t="s">
        <v>203</v>
      </c>
      <c r="AP688" t="s">
        <v>200</v>
      </c>
      <c r="AR688" s="25"/>
      <c r="AT688" s="25">
        <v>0</v>
      </c>
      <c r="AU688" s="26"/>
      <c r="AV688" s="26"/>
      <c r="AW688" s="26"/>
      <c r="AX688" s="26" t="str">
        <f t="shared" si="30"/>
        <v/>
      </c>
      <c r="AY688" t="str">
        <f t="shared" si="31"/>
        <v/>
      </c>
      <c r="AZ688" t="s">
        <v>200</v>
      </c>
      <c r="BA688" s="3"/>
      <c r="BB688" t="str">
        <f t="shared" si="32"/>
        <v>No scrap rate (No impact);</v>
      </c>
    </row>
    <row r="689" spans="1:54" x14ac:dyDescent="0.3">
      <c r="A689" t="s">
        <v>2390</v>
      </c>
      <c r="B689" t="s">
        <v>2391</v>
      </c>
      <c r="C689" t="s">
        <v>1256</v>
      </c>
      <c r="D689" t="s">
        <v>1257</v>
      </c>
      <c r="G689" t="s">
        <v>903</v>
      </c>
      <c r="H689" t="s">
        <v>361</v>
      </c>
      <c r="J689" t="s">
        <v>1590</v>
      </c>
      <c r="L689">
        <v>0</v>
      </c>
      <c r="M689">
        <v>3.0000000000000001E-3</v>
      </c>
      <c r="N689" t="s">
        <v>198</v>
      </c>
      <c r="O689">
        <v>3.0000000000000001E-3</v>
      </c>
      <c r="P689" t="s">
        <v>198</v>
      </c>
      <c r="Q689" t="s">
        <v>199</v>
      </c>
      <c r="R689" s="3"/>
      <c r="W689" t="s">
        <v>200</v>
      </c>
      <c r="X689" s="25"/>
      <c r="Y689" s="26"/>
      <c r="Z689" s="27"/>
      <c r="AA689" t="s">
        <v>25</v>
      </c>
      <c r="AB689" t="s">
        <v>201</v>
      </c>
      <c r="AC689" s="3"/>
      <c r="AH689" t="s">
        <v>202</v>
      </c>
      <c r="AK689" t="s">
        <v>203</v>
      </c>
      <c r="AP689" t="s">
        <v>200</v>
      </c>
      <c r="AR689" s="25"/>
      <c r="AT689" s="25">
        <v>0</v>
      </c>
      <c r="AU689" s="26"/>
      <c r="AV689" s="26"/>
      <c r="AW689" s="26"/>
      <c r="AX689" s="26" t="str">
        <f t="shared" si="30"/>
        <v/>
      </c>
      <c r="AY689" t="str">
        <f t="shared" si="31"/>
        <v/>
      </c>
      <c r="AZ689" t="s">
        <v>200</v>
      </c>
      <c r="BA689" s="3"/>
      <c r="BB689" t="str">
        <f t="shared" si="32"/>
        <v>No scrap rate (No impact);</v>
      </c>
    </row>
    <row r="690" spans="1:54" x14ac:dyDescent="0.3">
      <c r="A690" t="s">
        <v>2392</v>
      </c>
      <c r="B690" t="s">
        <v>2393</v>
      </c>
      <c r="C690" t="s">
        <v>1256</v>
      </c>
      <c r="D690" t="s">
        <v>1257</v>
      </c>
      <c r="G690" t="s">
        <v>1615</v>
      </c>
      <c r="H690" t="s">
        <v>1616</v>
      </c>
      <c r="J690" t="s">
        <v>1046</v>
      </c>
      <c r="L690">
        <v>0</v>
      </c>
      <c r="M690">
        <v>4.0000000000000001E-3</v>
      </c>
      <c r="N690" t="s">
        <v>198</v>
      </c>
      <c r="O690">
        <v>4.0000000000000001E-3</v>
      </c>
      <c r="P690" t="s">
        <v>198</v>
      </c>
      <c r="Q690" t="s">
        <v>199</v>
      </c>
      <c r="R690" s="3"/>
      <c r="W690" t="s">
        <v>200</v>
      </c>
      <c r="X690" s="25"/>
      <c r="Y690" s="26"/>
      <c r="Z690" s="27"/>
      <c r="AA690" t="s">
        <v>25</v>
      </c>
      <c r="AB690" t="s">
        <v>201</v>
      </c>
      <c r="AC690" s="3"/>
      <c r="AH690" t="s">
        <v>202</v>
      </c>
      <c r="AK690" t="s">
        <v>203</v>
      </c>
      <c r="AP690" t="s">
        <v>200</v>
      </c>
      <c r="AR690" s="25"/>
      <c r="AT690" s="25">
        <v>0</v>
      </c>
      <c r="AU690" s="26"/>
      <c r="AV690" s="26"/>
      <c r="AW690" s="26"/>
      <c r="AX690" s="26" t="str">
        <f t="shared" si="30"/>
        <v/>
      </c>
      <c r="AY690" t="str">
        <f t="shared" si="31"/>
        <v/>
      </c>
      <c r="AZ690" t="s">
        <v>200</v>
      </c>
      <c r="BA690" s="3"/>
      <c r="BB690" t="str">
        <f t="shared" si="32"/>
        <v>No scrap rate (No impact);</v>
      </c>
    </row>
    <row r="691" spans="1:54" x14ac:dyDescent="0.3">
      <c r="A691" t="s">
        <v>2394</v>
      </c>
      <c r="B691" t="s">
        <v>2395</v>
      </c>
      <c r="C691" t="s">
        <v>1256</v>
      </c>
      <c r="D691" t="s">
        <v>1257</v>
      </c>
      <c r="G691" t="s">
        <v>1615</v>
      </c>
      <c r="H691" t="s">
        <v>1616</v>
      </c>
      <c r="J691" t="s">
        <v>1046</v>
      </c>
      <c r="L691">
        <v>0</v>
      </c>
      <c r="M691">
        <v>4.2000000000000003E-2</v>
      </c>
      <c r="N691" t="s">
        <v>198</v>
      </c>
      <c r="O691">
        <v>4.2000000000000003E-2</v>
      </c>
      <c r="P691" t="s">
        <v>198</v>
      </c>
      <c r="Q691" t="s">
        <v>199</v>
      </c>
      <c r="R691" s="3"/>
      <c r="W691" t="s">
        <v>200</v>
      </c>
      <c r="X691" s="25"/>
      <c r="Y691" s="26"/>
      <c r="Z691" s="27"/>
      <c r="AA691" t="s">
        <v>25</v>
      </c>
      <c r="AB691" t="s">
        <v>201</v>
      </c>
      <c r="AC691" s="3"/>
      <c r="AH691" t="s">
        <v>202</v>
      </c>
      <c r="AK691" t="s">
        <v>203</v>
      </c>
      <c r="AP691" t="s">
        <v>200</v>
      </c>
      <c r="AR691" s="25"/>
      <c r="AT691" s="25">
        <v>0</v>
      </c>
      <c r="AU691" s="26"/>
      <c r="AV691" s="26"/>
      <c r="AW691" s="26"/>
      <c r="AX691" s="26" t="str">
        <f t="shared" si="30"/>
        <v/>
      </c>
      <c r="AY691" t="str">
        <f t="shared" si="31"/>
        <v/>
      </c>
      <c r="AZ691" t="s">
        <v>200</v>
      </c>
      <c r="BA691" s="3"/>
      <c r="BB691" t="str">
        <f t="shared" si="32"/>
        <v>No scrap rate (No impact);</v>
      </c>
    </row>
    <row r="692" spans="1:54" x14ac:dyDescent="0.3">
      <c r="A692" t="s">
        <v>2396</v>
      </c>
      <c r="B692" t="s">
        <v>2397</v>
      </c>
      <c r="C692" t="s">
        <v>1256</v>
      </c>
      <c r="D692" t="s">
        <v>1257</v>
      </c>
      <c r="G692" t="s">
        <v>1615</v>
      </c>
      <c r="H692" t="s">
        <v>1616</v>
      </c>
      <c r="J692" t="s">
        <v>1046</v>
      </c>
      <c r="L692">
        <v>0</v>
      </c>
      <c r="M692">
        <v>0.01</v>
      </c>
      <c r="N692" t="s">
        <v>198</v>
      </c>
      <c r="O692">
        <v>0.01</v>
      </c>
      <c r="P692" t="s">
        <v>198</v>
      </c>
      <c r="Q692" t="s">
        <v>199</v>
      </c>
      <c r="R692" s="3"/>
      <c r="W692" t="s">
        <v>200</v>
      </c>
      <c r="X692" s="25"/>
      <c r="Y692" s="26"/>
      <c r="Z692" s="27"/>
      <c r="AA692" t="s">
        <v>25</v>
      </c>
      <c r="AB692" t="s">
        <v>201</v>
      </c>
      <c r="AC692" s="3"/>
      <c r="AH692" t="s">
        <v>202</v>
      </c>
      <c r="AK692" t="s">
        <v>203</v>
      </c>
      <c r="AP692" t="s">
        <v>200</v>
      </c>
      <c r="AR692" s="25"/>
      <c r="AT692" s="25">
        <v>0</v>
      </c>
      <c r="AU692" s="26"/>
      <c r="AV692" s="26"/>
      <c r="AW692" s="26"/>
      <c r="AX692" s="26" t="str">
        <f t="shared" si="30"/>
        <v/>
      </c>
      <c r="AY692" t="str">
        <f t="shared" si="31"/>
        <v/>
      </c>
      <c r="AZ692" t="s">
        <v>200</v>
      </c>
      <c r="BA692" s="3"/>
      <c r="BB692" t="str">
        <f t="shared" si="32"/>
        <v>No scrap rate (No impact);</v>
      </c>
    </row>
    <row r="693" spans="1:54" x14ac:dyDescent="0.3">
      <c r="A693" t="s">
        <v>2398</v>
      </c>
      <c r="B693" t="s">
        <v>2399</v>
      </c>
      <c r="C693" t="s">
        <v>1256</v>
      </c>
      <c r="D693" t="s">
        <v>1257</v>
      </c>
      <c r="G693" t="s">
        <v>196</v>
      </c>
      <c r="H693" t="s">
        <v>197</v>
      </c>
      <c r="J693" t="s">
        <v>1590</v>
      </c>
      <c r="L693">
        <v>0</v>
      </c>
      <c r="M693">
        <v>4.0000000000000001E-3</v>
      </c>
      <c r="N693" t="s">
        <v>198</v>
      </c>
      <c r="O693">
        <v>4.0000000000000001E-3</v>
      </c>
      <c r="P693" t="s">
        <v>198</v>
      </c>
      <c r="Q693" t="s">
        <v>199</v>
      </c>
      <c r="R693" s="3"/>
      <c r="W693" t="s">
        <v>200</v>
      </c>
      <c r="X693" s="25"/>
      <c r="Y693" s="26"/>
      <c r="Z693" s="27"/>
      <c r="AA693" t="s">
        <v>25</v>
      </c>
      <c r="AB693" t="s">
        <v>201</v>
      </c>
      <c r="AC693" s="3"/>
      <c r="AH693" t="s">
        <v>202</v>
      </c>
      <c r="AK693" t="s">
        <v>203</v>
      </c>
      <c r="AP693" t="s">
        <v>200</v>
      </c>
      <c r="AR693" s="25"/>
      <c r="AT693" s="25">
        <v>0</v>
      </c>
      <c r="AU693" s="26"/>
      <c r="AV693" s="26"/>
      <c r="AW693" s="26"/>
      <c r="AX693" s="26" t="str">
        <f t="shared" si="30"/>
        <v/>
      </c>
      <c r="AY693" t="str">
        <f t="shared" si="31"/>
        <v/>
      </c>
      <c r="AZ693" t="s">
        <v>200</v>
      </c>
      <c r="BA693" s="3"/>
      <c r="BB693" t="str">
        <f t="shared" si="32"/>
        <v>No scrap rate (No impact);</v>
      </c>
    </row>
    <row r="694" spans="1:54" x14ac:dyDescent="0.3">
      <c r="A694" t="s">
        <v>2400</v>
      </c>
      <c r="B694" t="s">
        <v>2401</v>
      </c>
      <c r="C694" t="s">
        <v>1256</v>
      </c>
      <c r="D694" t="s">
        <v>1257</v>
      </c>
      <c r="G694" t="s">
        <v>2402</v>
      </c>
      <c r="H694" t="s">
        <v>2403</v>
      </c>
      <c r="J694" t="s">
        <v>1590</v>
      </c>
      <c r="L694">
        <v>0</v>
      </c>
      <c r="M694">
        <v>3.0000000000000001E-3</v>
      </c>
      <c r="N694" t="s">
        <v>198</v>
      </c>
      <c r="O694">
        <v>3.0000000000000001E-3</v>
      </c>
      <c r="P694" t="s">
        <v>198</v>
      </c>
      <c r="Q694" t="s">
        <v>199</v>
      </c>
      <c r="R694" s="3"/>
      <c r="W694" t="s">
        <v>200</v>
      </c>
      <c r="X694" s="25"/>
      <c r="Y694" s="26"/>
      <c r="Z694" s="27"/>
      <c r="AA694" t="s">
        <v>25</v>
      </c>
      <c r="AB694" t="s">
        <v>201</v>
      </c>
      <c r="AC694" s="3"/>
      <c r="AH694" t="s">
        <v>202</v>
      </c>
      <c r="AK694" t="s">
        <v>203</v>
      </c>
      <c r="AP694" t="s">
        <v>200</v>
      </c>
      <c r="AR694" s="25"/>
      <c r="AT694" s="25">
        <v>0</v>
      </c>
      <c r="AU694" s="26"/>
      <c r="AV694" s="26"/>
      <c r="AW694" s="26"/>
      <c r="AX694" s="26" t="str">
        <f t="shared" si="30"/>
        <v/>
      </c>
      <c r="AY694" t="str">
        <f t="shared" si="31"/>
        <v/>
      </c>
      <c r="AZ694" t="s">
        <v>200</v>
      </c>
      <c r="BA694" s="3"/>
      <c r="BB694" t="str">
        <f t="shared" si="32"/>
        <v>No scrap rate (No impact);</v>
      </c>
    </row>
    <row r="695" spans="1:54" x14ac:dyDescent="0.3">
      <c r="A695" t="s">
        <v>2404</v>
      </c>
      <c r="B695" t="s">
        <v>2405</v>
      </c>
      <c r="C695" t="s">
        <v>1256</v>
      </c>
      <c r="D695" t="s">
        <v>1257</v>
      </c>
      <c r="G695" t="s">
        <v>1615</v>
      </c>
      <c r="H695" t="s">
        <v>1616</v>
      </c>
      <c r="J695" t="s">
        <v>1060</v>
      </c>
      <c r="L695">
        <v>0</v>
      </c>
      <c r="M695">
        <v>2E-3</v>
      </c>
      <c r="N695" t="s">
        <v>198</v>
      </c>
      <c r="O695">
        <v>2E-3</v>
      </c>
      <c r="P695" t="s">
        <v>198</v>
      </c>
      <c r="Q695" t="s">
        <v>199</v>
      </c>
      <c r="R695" s="3"/>
      <c r="W695" t="s">
        <v>200</v>
      </c>
      <c r="X695" s="25"/>
      <c r="Y695" s="26"/>
      <c r="Z695" s="27"/>
      <c r="AA695" t="s">
        <v>25</v>
      </c>
      <c r="AB695" t="s">
        <v>201</v>
      </c>
      <c r="AC695" s="3"/>
      <c r="AH695" t="s">
        <v>202</v>
      </c>
      <c r="AK695" t="s">
        <v>203</v>
      </c>
      <c r="AP695" t="s">
        <v>200</v>
      </c>
      <c r="AR695" s="25"/>
      <c r="AT695" s="25">
        <v>0</v>
      </c>
      <c r="AU695" s="26"/>
      <c r="AV695" s="26"/>
      <c r="AW695" s="26"/>
      <c r="AX695" s="26" t="str">
        <f t="shared" si="30"/>
        <v/>
      </c>
      <c r="AY695" t="str">
        <f t="shared" si="31"/>
        <v/>
      </c>
      <c r="AZ695" t="s">
        <v>200</v>
      </c>
      <c r="BA695" s="3"/>
      <c r="BB695" t="str">
        <f t="shared" si="32"/>
        <v>No scrap rate (No impact);</v>
      </c>
    </row>
    <row r="696" spans="1:54" x14ac:dyDescent="0.3">
      <c r="A696" t="s">
        <v>2406</v>
      </c>
      <c r="B696" t="s">
        <v>2407</v>
      </c>
      <c r="C696" t="s">
        <v>1256</v>
      </c>
      <c r="D696" t="s">
        <v>1257</v>
      </c>
      <c r="G696" t="s">
        <v>1615</v>
      </c>
      <c r="H696" t="s">
        <v>1616</v>
      </c>
      <c r="J696" t="s">
        <v>1046</v>
      </c>
      <c r="L696">
        <v>0</v>
      </c>
      <c r="M696">
        <v>2E-3</v>
      </c>
      <c r="N696" t="s">
        <v>198</v>
      </c>
      <c r="O696">
        <v>2E-3</v>
      </c>
      <c r="P696" t="s">
        <v>198</v>
      </c>
      <c r="Q696" t="s">
        <v>199</v>
      </c>
      <c r="R696" s="3"/>
      <c r="W696" t="s">
        <v>200</v>
      </c>
      <c r="X696" s="25"/>
      <c r="Y696" s="26"/>
      <c r="Z696" s="27"/>
      <c r="AA696" t="s">
        <v>25</v>
      </c>
      <c r="AB696" t="s">
        <v>201</v>
      </c>
      <c r="AC696" s="3"/>
      <c r="AH696" t="s">
        <v>202</v>
      </c>
      <c r="AK696" t="s">
        <v>203</v>
      </c>
      <c r="AP696" t="s">
        <v>200</v>
      </c>
      <c r="AR696" s="25"/>
      <c r="AT696" s="25">
        <v>0</v>
      </c>
      <c r="AU696" s="26"/>
      <c r="AV696" s="26"/>
      <c r="AW696" s="26"/>
      <c r="AX696" s="26" t="str">
        <f t="shared" si="30"/>
        <v/>
      </c>
      <c r="AY696" t="str">
        <f t="shared" si="31"/>
        <v/>
      </c>
      <c r="AZ696" t="s">
        <v>200</v>
      </c>
      <c r="BA696" s="3"/>
      <c r="BB696" t="str">
        <f t="shared" si="32"/>
        <v>No scrap rate (No impact);</v>
      </c>
    </row>
    <row r="697" spans="1:54" x14ac:dyDescent="0.3">
      <c r="A697" t="s">
        <v>2408</v>
      </c>
      <c r="B697" t="s">
        <v>2409</v>
      </c>
      <c r="C697" t="s">
        <v>1256</v>
      </c>
      <c r="D697" t="s">
        <v>1257</v>
      </c>
      <c r="G697" t="s">
        <v>196</v>
      </c>
      <c r="H697" t="s">
        <v>197</v>
      </c>
      <c r="J697" t="s">
        <v>1590</v>
      </c>
      <c r="L697">
        <v>0</v>
      </c>
      <c r="M697">
        <v>4.0000000000000001E-3</v>
      </c>
      <c r="N697" t="s">
        <v>198</v>
      </c>
      <c r="O697">
        <v>4.0000000000000001E-3</v>
      </c>
      <c r="P697" t="s">
        <v>198</v>
      </c>
      <c r="Q697" t="s">
        <v>199</v>
      </c>
      <c r="R697" s="3"/>
      <c r="W697" t="s">
        <v>200</v>
      </c>
      <c r="X697" s="25"/>
      <c r="Y697" s="26"/>
      <c r="Z697" s="27"/>
      <c r="AA697" t="s">
        <v>25</v>
      </c>
      <c r="AB697" t="s">
        <v>201</v>
      </c>
      <c r="AC697" s="3"/>
      <c r="AH697" t="s">
        <v>202</v>
      </c>
      <c r="AK697" t="s">
        <v>203</v>
      </c>
      <c r="AP697" t="s">
        <v>200</v>
      </c>
      <c r="AR697" s="25"/>
      <c r="AT697" s="25">
        <v>0</v>
      </c>
      <c r="AU697" s="26"/>
      <c r="AV697" s="26"/>
      <c r="AW697" s="26"/>
      <c r="AX697" s="26" t="str">
        <f t="shared" si="30"/>
        <v/>
      </c>
      <c r="AY697" t="str">
        <f t="shared" si="31"/>
        <v/>
      </c>
      <c r="AZ697" t="s">
        <v>200</v>
      </c>
      <c r="BA697" s="3"/>
      <c r="BB697" t="str">
        <f t="shared" si="32"/>
        <v>No scrap rate (No impact);</v>
      </c>
    </row>
    <row r="698" spans="1:54" x14ac:dyDescent="0.3">
      <c r="A698" t="s">
        <v>2410</v>
      </c>
      <c r="B698" t="s">
        <v>2411</v>
      </c>
      <c r="C698" t="s">
        <v>966</v>
      </c>
      <c r="D698" t="s">
        <v>967</v>
      </c>
      <c r="G698" t="s">
        <v>246</v>
      </c>
      <c r="H698" t="s">
        <v>247</v>
      </c>
      <c r="J698" t="s">
        <v>1046</v>
      </c>
      <c r="L698">
        <v>0</v>
      </c>
      <c r="M698">
        <v>1E-3</v>
      </c>
      <c r="N698" t="s">
        <v>198</v>
      </c>
      <c r="O698">
        <v>1E-3</v>
      </c>
      <c r="P698" t="s">
        <v>198</v>
      </c>
      <c r="Q698" t="s">
        <v>199</v>
      </c>
      <c r="R698" s="3"/>
      <c r="W698" t="s">
        <v>200</v>
      </c>
      <c r="X698" s="25"/>
      <c r="Y698" s="26"/>
      <c r="Z698" s="27"/>
      <c r="AA698" t="s">
        <v>25</v>
      </c>
      <c r="AB698" t="s">
        <v>201</v>
      </c>
      <c r="AC698" s="3"/>
      <c r="AH698" t="s">
        <v>202</v>
      </c>
      <c r="AK698" t="s">
        <v>203</v>
      </c>
      <c r="AP698" t="s">
        <v>200</v>
      </c>
      <c r="AR698" s="25"/>
      <c r="AT698" s="25">
        <v>0</v>
      </c>
      <c r="AU698" s="26"/>
      <c r="AV698" s="26"/>
      <c r="AW698" s="26"/>
      <c r="AX698" s="26" t="str">
        <f t="shared" si="30"/>
        <v/>
      </c>
      <c r="AY698" t="str">
        <f t="shared" si="31"/>
        <v/>
      </c>
      <c r="AZ698" t="s">
        <v>200</v>
      </c>
      <c r="BA698" s="3"/>
      <c r="BB698" t="str">
        <f t="shared" si="32"/>
        <v>No scrap rate (No impact);</v>
      </c>
    </row>
    <row r="699" spans="1:54" x14ac:dyDescent="0.3">
      <c r="A699" t="s">
        <v>2412</v>
      </c>
      <c r="B699" t="s">
        <v>2413</v>
      </c>
      <c r="C699" t="s">
        <v>1110</v>
      </c>
      <c r="D699" t="s">
        <v>1111</v>
      </c>
      <c r="G699" t="s">
        <v>246</v>
      </c>
      <c r="H699" t="s">
        <v>247</v>
      </c>
      <c r="L699">
        <v>0</v>
      </c>
      <c r="M699">
        <v>0</v>
      </c>
      <c r="N699" t="s">
        <v>198</v>
      </c>
      <c r="O699">
        <v>0</v>
      </c>
      <c r="P699" t="s">
        <v>198</v>
      </c>
      <c r="Q699" t="s">
        <v>199</v>
      </c>
      <c r="R699" s="3"/>
      <c r="W699" t="s">
        <v>200</v>
      </c>
      <c r="X699" s="25"/>
      <c r="Y699" s="26"/>
      <c r="Z699" s="27"/>
      <c r="AA699" t="s">
        <v>25</v>
      </c>
      <c r="AB699" t="s">
        <v>201</v>
      </c>
      <c r="AC699" s="3"/>
      <c r="AH699" t="s">
        <v>202</v>
      </c>
      <c r="AK699" t="s">
        <v>203</v>
      </c>
      <c r="AP699" t="s">
        <v>200</v>
      </c>
      <c r="AR699" s="25"/>
      <c r="AT699" s="25">
        <v>0</v>
      </c>
      <c r="AU699" s="26"/>
      <c r="AV699" s="26"/>
      <c r="AW699" s="26"/>
      <c r="AX699" s="26" t="str">
        <f t="shared" si="30"/>
        <v/>
      </c>
      <c r="AY699" t="str">
        <f t="shared" si="31"/>
        <v/>
      </c>
      <c r="AZ699" t="s">
        <v>200</v>
      </c>
      <c r="BA699" s="3"/>
      <c r="BB699" t="str">
        <f t="shared" si="32"/>
        <v>No scrap rate (No impact);No raw material available (High);</v>
      </c>
    </row>
    <row r="700" spans="1:54" x14ac:dyDescent="0.3">
      <c r="A700" t="s">
        <v>2414</v>
      </c>
      <c r="B700" t="s">
        <v>2415</v>
      </c>
      <c r="C700" t="s">
        <v>1256</v>
      </c>
      <c r="D700" t="s">
        <v>1257</v>
      </c>
      <c r="G700" t="s">
        <v>246</v>
      </c>
      <c r="H700" t="s">
        <v>247</v>
      </c>
      <c r="J700" t="s">
        <v>1590</v>
      </c>
      <c r="L700">
        <v>0</v>
      </c>
      <c r="M700">
        <v>1.7999999999999999E-2</v>
      </c>
      <c r="N700" t="s">
        <v>198</v>
      </c>
      <c r="O700">
        <v>1.7999999999999999E-2</v>
      </c>
      <c r="P700" t="s">
        <v>198</v>
      </c>
      <c r="Q700" t="s">
        <v>199</v>
      </c>
      <c r="R700" s="3"/>
      <c r="W700" t="s">
        <v>200</v>
      </c>
      <c r="X700" s="25"/>
      <c r="Y700" s="26"/>
      <c r="Z700" s="27"/>
      <c r="AA700" t="s">
        <v>25</v>
      </c>
      <c r="AB700" t="s">
        <v>201</v>
      </c>
      <c r="AC700" s="3"/>
      <c r="AH700" t="s">
        <v>202</v>
      </c>
      <c r="AK700" t="s">
        <v>203</v>
      </c>
      <c r="AP700" t="s">
        <v>200</v>
      </c>
      <c r="AR700" s="25"/>
      <c r="AT700" s="25">
        <v>0</v>
      </c>
      <c r="AU700" s="26"/>
      <c r="AV700" s="26"/>
      <c r="AW700" s="26"/>
      <c r="AX700" s="26" t="str">
        <f t="shared" si="30"/>
        <v/>
      </c>
      <c r="AY700" t="str">
        <f t="shared" si="31"/>
        <v/>
      </c>
      <c r="AZ700" t="s">
        <v>200</v>
      </c>
      <c r="BA700" s="3"/>
      <c r="BB700" t="str">
        <f t="shared" si="32"/>
        <v>No scrap rate (No impact);</v>
      </c>
    </row>
    <row r="701" spans="1:54" x14ac:dyDescent="0.3">
      <c r="A701" t="s">
        <v>2416</v>
      </c>
      <c r="B701" t="s">
        <v>2417</v>
      </c>
      <c r="C701" t="s">
        <v>1256</v>
      </c>
      <c r="D701" t="s">
        <v>1257</v>
      </c>
      <c r="G701" t="s">
        <v>1731</v>
      </c>
      <c r="H701" t="s">
        <v>1732</v>
      </c>
      <c r="J701" t="s">
        <v>1060</v>
      </c>
      <c r="L701">
        <v>0</v>
      </c>
      <c r="M701">
        <v>5.0000000000000001E-3</v>
      </c>
      <c r="N701" t="s">
        <v>198</v>
      </c>
      <c r="O701">
        <v>5.0000000000000001E-3</v>
      </c>
      <c r="P701" t="s">
        <v>198</v>
      </c>
      <c r="Q701" t="s">
        <v>199</v>
      </c>
      <c r="R701" s="3"/>
      <c r="W701" t="s">
        <v>200</v>
      </c>
      <c r="X701" s="25"/>
      <c r="Y701" s="26"/>
      <c r="Z701" s="27"/>
      <c r="AA701" t="s">
        <v>25</v>
      </c>
      <c r="AB701" t="s">
        <v>201</v>
      </c>
      <c r="AC701" s="3"/>
      <c r="AH701" t="s">
        <v>202</v>
      </c>
      <c r="AK701" t="s">
        <v>203</v>
      </c>
      <c r="AP701" t="s">
        <v>200</v>
      </c>
      <c r="AR701" s="25"/>
      <c r="AT701" s="25">
        <v>0</v>
      </c>
      <c r="AU701" s="26"/>
      <c r="AV701" s="26"/>
      <c r="AW701" s="26"/>
      <c r="AX701" s="26" t="str">
        <f t="shared" si="30"/>
        <v/>
      </c>
      <c r="AY701" t="str">
        <f t="shared" si="31"/>
        <v/>
      </c>
      <c r="AZ701" t="s">
        <v>200</v>
      </c>
      <c r="BA701" s="3"/>
      <c r="BB701" t="str">
        <f t="shared" si="32"/>
        <v>No scrap rate (No impact);</v>
      </c>
    </row>
    <row r="702" spans="1:54" x14ac:dyDescent="0.3">
      <c r="A702" t="s">
        <v>2418</v>
      </c>
      <c r="B702" t="s">
        <v>2419</v>
      </c>
      <c r="C702" t="s">
        <v>1256</v>
      </c>
      <c r="D702" t="s">
        <v>1257</v>
      </c>
      <c r="G702" t="s">
        <v>196</v>
      </c>
      <c r="H702" t="s">
        <v>197</v>
      </c>
      <c r="J702" t="s">
        <v>1590</v>
      </c>
      <c r="L702">
        <v>0</v>
      </c>
      <c r="M702">
        <v>4.0000000000000001E-3</v>
      </c>
      <c r="N702" t="s">
        <v>198</v>
      </c>
      <c r="O702">
        <v>4.0000000000000001E-3</v>
      </c>
      <c r="P702" t="s">
        <v>198</v>
      </c>
      <c r="Q702" t="s">
        <v>199</v>
      </c>
      <c r="R702" s="3"/>
      <c r="W702" t="s">
        <v>200</v>
      </c>
      <c r="X702" s="25"/>
      <c r="Y702" s="26"/>
      <c r="Z702" s="27"/>
      <c r="AA702" t="s">
        <v>25</v>
      </c>
      <c r="AB702" t="s">
        <v>201</v>
      </c>
      <c r="AC702" s="3"/>
      <c r="AH702" t="s">
        <v>202</v>
      </c>
      <c r="AK702" t="s">
        <v>203</v>
      </c>
      <c r="AP702" t="s">
        <v>200</v>
      </c>
      <c r="AR702" s="25"/>
      <c r="AT702" s="25">
        <v>0</v>
      </c>
      <c r="AU702" s="26"/>
      <c r="AV702" s="26"/>
      <c r="AW702" s="26"/>
      <c r="AX702" s="26" t="str">
        <f t="shared" si="30"/>
        <v/>
      </c>
      <c r="AY702" t="str">
        <f t="shared" si="31"/>
        <v/>
      </c>
      <c r="AZ702" t="s">
        <v>200</v>
      </c>
      <c r="BA702" s="3"/>
      <c r="BB702" t="str">
        <f t="shared" si="32"/>
        <v>No scrap rate (No impact);</v>
      </c>
    </row>
    <row r="703" spans="1:54" x14ac:dyDescent="0.3">
      <c r="A703" t="s">
        <v>2420</v>
      </c>
      <c r="B703" t="s">
        <v>2421</v>
      </c>
      <c r="C703" t="s">
        <v>1110</v>
      </c>
      <c r="D703" t="s">
        <v>1111</v>
      </c>
      <c r="G703" t="s">
        <v>368</v>
      </c>
      <c r="H703" t="s">
        <v>369</v>
      </c>
      <c r="J703" t="s">
        <v>1089</v>
      </c>
      <c r="L703">
        <v>0</v>
      </c>
      <c r="M703">
        <v>3.1E-2</v>
      </c>
      <c r="N703" t="s">
        <v>198</v>
      </c>
      <c r="O703">
        <v>3.1E-2</v>
      </c>
      <c r="P703" t="s">
        <v>198</v>
      </c>
      <c r="Q703" t="s">
        <v>199</v>
      </c>
      <c r="R703" s="3"/>
      <c r="W703" t="s">
        <v>200</v>
      </c>
      <c r="X703" s="25"/>
      <c r="Y703" s="26"/>
      <c r="Z703" s="27"/>
      <c r="AA703" t="s">
        <v>25</v>
      </c>
      <c r="AB703" t="s">
        <v>201</v>
      </c>
      <c r="AC703" s="3"/>
      <c r="AH703" t="s">
        <v>202</v>
      </c>
      <c r="AK703" t="s">
        <v>203</v>
      </c>
      <c r="AP703" t="s">
        <v>200</v>
      </c>
      <c r="AR703" s="25"/>
      <c r="AT703" s="25">
        <v>0</v>
      </c>
      <c r="AU703" s="26"/>
      <c r="AV703" s="26"/>
      <c r="AW703" s="26"/>
      <c r="AX703" s="26" t="str">
        <f t="shared" si="30"/>
        <v/>
      </c>
      <c r="AY703" t="str">
        <f t="shared" si="31"/>
        <v/>
      </c>
      <c r="AZ703" t="s">
        <v>200</v>
      </c>
      <c r="BA703" s="3"/>
      <c r="BB703" t="str">
        <f t="shared" si="32"/>
        <v>No scrap rate (No impact);</v>
      </c>
    </row>
    <row r="704" spans="1:54" x14ac:dyDescent="0.3">
      <c r="A704" t="s">
        <v>2422</v>
      </c>
      <c r="B704" t="s">
        <v>2423</v>
      </c>
      <c r="C704" t="s">
        <v>1256</v>
      </c>
      <c r="D704" t="s">
        <v>1257</v>
      </c>
      <c r="G704" t="s">
        <v>368</v>
      </c>
      <c r="H704" t="s">
        <v>369</v>
      </c>
      <c r="J704" t="s">
        <v>1590</v>
      </c>
      <c r="L704">
        <v>0</v>
      </c>
      <c r="M704">
        <v>1E-3</v>
      </c>
      <c r="N704" t="s">
        <v>198</v>
      </c>
      <c r="O704">
        <v>1E-3</v>
      </c>
      <c r="P704" t="s">
        <v>198</v>
      </c>
      <c r="Q704" t="s">
        <v>199</v>
      </c>
      <c r="R704" s="3"/>
      <c r="W704" t="s">
        <v>200</v>
      </c>
      <c r="X704" s="25"/>
      <c r="Y704" s="26"/>
      <c r="Z704" s="27"/>
      <c r="AA704" t="s">
        <v>25</v>
      </c>
      <c r="AB704" t="s">
        <v>201</v>
      </c>
      <c r="AC704" s="3"/>
      <c r="AH704" t="s">
        <v>202</v>
      </c>
      <c r="AK704" t="s">
        <v>203</v>
      </c>
      <c r="AP704" t="s">
        <v>200</v>
      </c>
      <c r="AR704" s="25"/>
      <c r="AT704" s="25">
        <v>0</v>
      </c>
      <c r="AU704" s="26"/>
      <c r="AV704" s="26"/>
      <c r="AW704" s="26"/>
      <c r="AX704" s="26" t="str">
        <f t="shared" si="30"/>
        <v/>
      </c>
      <c r="AY704" t="str">
        <f t="shared" si="31"/>
        <v/>
      </c>
      <c r="AZ704" t="s">
        <v>200</v>
      </c>
      <c r="BA704" s="3"/>
      <c r="BB704" t="str">
        <f t="shared" si="32"/>
        <v>No scrap rate (No impact);</v>
      </c>
    </row>
    <row r="705" spans="1:54" x14ac:dyDescent="0.3">
      <c r="A705" t="s">
        <v>2424</v>
      </c>
      <c r="B705" t="s">
        <v>2425</v>
      </c>
      <c r="C705" t="s">
        <v>966</v>
      </c>
      <c r="D705" t="s">
        <v>967</v>
      </c>
      <c r="G705" t="s">
        <v>2336</v>
      </c>
      <c r="H705" t="s">
        <v>2337</v>
      </c>
      <c r="J705" t="s">
        <v>1060</v>
      </c>
      <c r="L705">
        <v>0</v>
      </c>
      <c r="M705">
        <v>4.1000000000000002E-2</v>
      </c>
      <c r="N705" t="s">
        <v>198</v>
      </c>
      <c r="O705">
        <v>4.1000000000000002E-2</v>
      </c>
      <c r="P705" t="s">
        <v>198</v>
      </c>
      <c r="Q705" t="s">
        <v>199</v>
      </c>
      <c r="R705" s="3"/>
      <c r="W705" t="s">
        <v>200</v>
      </c>
      <c r="X705" s="25"/>
      <c r="Y705" s="26"/>
      <c r="Z705" s="27"/>
      <c r="AA705" t="s">
        <v>25</v>
      </c>
      <c r="AB705" t="s">
        <v>201</v>
      </c>
      <c r="AC705" s="3"/>
      <c r="AH705" t="s">
        <v>202</v>
      </c>
      <c r="AK705" t="s">
        <v>203</v>
      </c>
      <c r="AP705" t="s">
        <v>200</v>
      </c>
      <c r="AR705" s="25"/>
      <c r="AT705" s="25">
        <v>0</v>
      </c>
      <c r="AU705" s="26"/>
      <c r="AV705" s="26"/>
      <c r="AW705" s="26"/>
      <c r="AX705" s="26" t="str">
        <f t="shared" si="30"/>
        <v/>
      </c>
      <c r="AY705" t="str">
        <f t="shared" si="31"/>
        <v/>
      </c>
      <c r="AZ705" t="s">
        <v>200</v>
      </c>
      <c r="BA705" s="3"/>
      <c r="BB705" t="str">
        <f t="shared" si="32"/>
        <v>No scrap rate (No impact);</v>
      </c>
    </row>
    <row r="706" spans="1:54" x14ac:dyDescent="0.3">
      <c r="A706" t="s">
        <v>2426</v>
      </c>
      <c r="B706" t="s">
        <v>2427</v>
      </c>
      <c r="C706" t="s">
        <v>966</v>
      </c>
      <c r="D706" t="s">
        <v>967</v>
      </c>
      <c r="G706" t="s">
        <v>1078</v>
      </c>
      <c r="H706" t="s">
        <v>1079</v>
      </c>
      <c r="J706" t="s">
        <v>1060</v>
      </c>
      <c r="L706">
        <v>0</v>
      </c>
      <c r="M706">
        <v>7.0000000000000007E-2</v>
      </c>
      <c r="N706" t="s">
        <v>198</v>
      </c>
      <c r="O706">
        <v>7.0000000000000007E-2</v>
      </c>
      <c r="P706" t="s">
        <v>198</v>
      </c>
      <c r="Q706" t="s">
        <v>199</v>
      </c>
      <c r="R706" s="3"/>
      <c r="W706" t="s">
        <v>200</v>
      </c>
      <c r="X706" s="25"/>
      <c r="Y706" s="26"/>
      <c r="Z706" s="27"/>
      <c r="AA706" t="s">
        <v>25</v>
      </c>
      <c r="AB706" t="s">
        <v>201</v>
      </c>
      <c r="AC706" s="3"/>
      <c r="AH706" t="s">
        <v>202</v>
      </c>
      <c r="AK706" t="s">
        <v>203</v>
      </c>
      <c r="AP706" t="s">
        <v>200</v>
      </c>
      <c r="AR706" s="25"/>
      <c r="AT706" s="25">
        <v>0</v>
      </c>
      <c r="AU706" s="26"/>
      <c r="AV706" s="26"/>
      <c r="AW706" s="26"/>
      <c r="AX706" s="26" t="str">
        <f t="shared" si="30"/>
        <v/>
      </c>
      <c r="AY706" t="str">
        <f t="shared" si="31"/>
        <v/>
      </c>
      <c r="AZ706" t="s">
        <v>200</v>
      </c>
      <c r="BA706" s="3"/>
      <c r="BB706" t="str">
        <f t="shared" si="32"/>
        <v>No scrap rate (No impact);</v>
      </c>
    </row>
    <row r="707" spans="1:54" x14ac:dyDescent="0.3">
      <c r="A707" t="s">
        <v>2428</v>
      </c>
      <c r="B707" t="s">
        <v>2429</v>
      </c>
      <c r="C707" t="s">
        <v>966</v>
      </c>
      <c r="D707" t="s">
        <v>967</v>
      </c>
      <c r="G707" t="s">
        <v>1078</v>
      </c>
      <c r="H707" t="s">
        <v>1079</v>
      </c>
      <c r="J707" t="s">
        <v>1060</v>
      </c>
      <c r="L707">
        <v>0</v>
      </c>
      <c r="M707">
        <v>0.109</v>
      </c>
      <c r="N707" t="s">
        <v>198</v>
      </c>
      <c r="O707">
        <v>0.109</v>
      </c>
      <c r="P707" t="s">
        <v>198</v>
      </c>
      <c r="Q707" t="s">
        <v>199</v>
      </c>
      <c r="R707" s="3"/>
      <c r="W707" t="s">
        <v>200</v>
      </c>
      <c r="X707" s="25"/>
      <c r="Y707" s="26"/>
      <c r="Z707" s="27"/>
      <c r="AA707" t="s">
        <v>25</v>
      </c>
      <c r="AB707" t="s">
        <v>201</v>
      </c>
      <c r="AC707" s="3"/>
      <c r="AH707" t="s">
        <v>202</v>
      </c>
      <c r="AK707" t="s">
        <v>203</v>
      </c>
      <c r="AP707" t="s">
        <v>200</v>
      </c>
      <c r="AR707" s="25"/>
      <c r="AT707" s="25">
        <v>0</v>
      </c>
      <c r="AU707" s="26"/>
      <c r="AV707" s="26"/>
      <c r="AW707" s="26"/>
      <c r="AX707" s="26" t="str">
        <f t="shared" ref="AX707:AX770" si="33">IF(COUNT(AU707,AV707,AW707)=0,"",ROUND(AVERAGE(AU707,AV707,AW707),3))</f>
        <v/>
      </c>
      <c r="AY707" t="str">
        <f t="shared" ref="AY707:AY770" si="34">IF(AO707="","",ROUND(AO707*IF(M707="",0,M707)*(1+IF(AR707="",0,AR707)),5))</f>
        <v/>
      </c>
      <c r="AZ707" t="s">
        <v>200</v>
      </c>
      <c r="BA707" s="3"/>
      <c r="BB707" t="str">
        <f t="shared" ref="BB707:BB770" si="35">IF(AND(A707&lt;&gt;"",G707=""),"Supplier code empty (High);","")&amp;IF(AND(X707&lt;&gt;"",OR(X707&gt;1,X707&lt;0)),"Incorrect PDS value (High);",IF(AND(X707&lt;&gt;"",X707&gt;0.5),"High PDS value (Medium);",""))&amp;IF(AND(Y707&lt;&gt;"",OR(Y707&gt;5,Y707&lt;1)),"Incorrect DQR value (High);",IF(AND(Y707&lt;&gt;"",Y707&gt;4),"Incorrect DQR value (Medium);",IF(AND(Y707&lt;&gt;"",Y707&gt;3),"Incorrect DQR value (Low);","")))&amp;IF(AND(V707&lt;&gt;"",OR(V707&lt;=0,V707&gt;100)),"Unusual PCF value might be wrong (High);","")&amp;IF(AND(AT707&lt;&gt;"",OR(AT707&gt;1,AT707&lt;0)),"Incorrect PDS value (High);",IF(AND(AT707&lt;&gt;"",AT707&gt;0.5),"High PDS value (Medium);",""))&amp;IF(AND(AX707&lt;&gt;"",OR(AX707&gt;5,AX707&lt;1)),"Incorrect DQR value (High);",IF(AND(AX707&lt;&gt;"",AX707&gt;4),"Incorrect DQR value (Medium);",IF(AND(AX707&lt;&gt;"",AX707&gt;3),"Incorrect DQR value (Low);","")))&amp;IF(AND(AR707&lt;&gt;"",OR(AR707&gt;1,AR707&lt;0)),"Incorrect scrap rate (High);",IF(AND(A707&lt;&gt;"",AR707=0),"No scrap rate (No impact);",""))&amp;IF(AND(A707&lt;&gt;"",I707="",J707="",K707=""),"No raw material available (High);","")&amp;""</f>
        <v>No scrap rate (No impact);</v>
      </c>
    </row>
    <row r="708" spans="1:54" x14ac:dyDescent="0.3">
      <c r="A708" t="s">
        <v>2430</v>
      </c>
      <c r="B708" t="s">
        <v>2431</v>
      </c>
      <c r="C708" t="s">
        <v>1256</v>
      </c>
      <c r="D708" t="s">
        <v>1257</v>
      </c>
      <c r="G708" t="s">
        <v>777</v>
      </c>
      <c r="H708" t="s">
        <v>313</v>
      </c>
      <c r="J708" t="s">
        <v>1046</v>
      </c>
      <c r="L708">
        <v>0</v>
      </c>
      <c r="M708">
        <v>2E-3</v>
      </c>
      <c r="N708" t="s">
        <v>198</v>
      </c>
      <c r="O708">
        <v>2E-3</v>
      </c>
      <c r="P708" t="s">
        <v>198</v>
      </c>
      <c r="Q708" t="s">
        <v>199</v>
      </c>
      <c r="R708" s="3"/>
      <c r="W708" t="s">
        <v>200</v>
      </c>
      <c r="X708" s="25"/>
      <c r="Y708" s="26"/>
      <c r="Z708" s="27"/>
      <c r="AA708" t="s">
        <v>25</v>
      </c>
      <c r="AB708" t="s">
        <v>201</v>
      </c>
      <c r="AC708" s="3"/>
      <c r="AH708" t="s">
        <v>202</v>
      </c>
      <c r="AK708" t="s">
        <v>203</v>
      </c>
      <c r="AP708" t="s">
        <v>200</v>
      </c>
      <c r="AR708" s="25"/>
      <c r="AT708" s="25">
        <v>0</v>
      </c>
      <c r="AU708" s="26"/>
      <c r="AV708" s="26"/>
      <c r="AW708" s="26"/>
      <c r="AX708" s="26" t="str">
        <f t="shared" si="33"/>
        <v/>
      </c>
      <c r="AY708" t="str">
        <f t="shared" si="34"/>
        <v/>
      </c>
      <c r="AZ708" t="s">
        <v>200</v>
      </c>
      <c r="BA708" s="3"/>
      <c r="BB708" t="str">
        <f t="shared" si="35"/>
        <v>No scrap rate (No impact);</v>
      </c>
    </row>
    <row r="709" spans="1:54" x14ac:dyDescent="0.3">
      <c r="A709" t="s">
        <v>2432</v>
      </c>
      <c r="B709" t="s">
        <v>2433</v>
      </c>
      <c r="C709" t="s">
        <v>966</v>
      </c>
      <c r="D709" t="s">
        <v>967</v>
      </c>
      <c r="G709" t="s">
        <v>2336</v>
      </c>
      <c r="H709" t="s">
        <v>2337</v>
      </c>
      <c r="J709" t="s">
        <v>1060</v>
      </c>
      <c r="L709">
        <v>0</v>
      </c>
      <c r="M709">
        <v>6.7000000000000004E-2</v>
      </c>
      <c r="N709" t="s">
        <v>198</v>
      </c>
      <c r="O709">
        <v>6.7000000000000004E-2</v>
      </c>
      <c r="P709" t="s">
        <v>198</v>
      </c>
      <c r="Q709" t="s">
        <v>199</v>
      </c>
      <c r="R709" s="3"/>
      <c r="W709" t="s">
        <v>200</v>
      </c>
      <c r="X709" s="25"/>
      <c r="Y709" s="26"/>
      <c r="Z709" s="27"/>
      <c r="AA709" t="s">
        <v>25</v>
      </c>
      <c r="AB709" t="s">
        <v>201</v>
      </c>
      <c r="AC709" s="3"/>
      <c r="AH709" t="s">
        <v>202</v>
      </c>
      <c r="AK709" t="s">
        <v>203</v>
      </c>
      <c r="AP709" t="s">
        <v>200</v>
      </c>
      <c r="AR709" s="25"/>
      <c r="AT709" s="25">
        <v>0</v>
      </c>
      <c r="AU709" s="26"/>
      <c r="AV709" s="26"/>
      <c r="AW709" s="26"/>
      <c r="AX709" s="26" t="str">
        <f t="shared" si="33"/>
        <v/>
      </c>
      <c r="AY709" t="str">
        <f t="shared" si="34"/>
        <v/>
      </c>
      <c r="AZ709" t="s">
        <v>200</v>
      </c>
      <c r="BA709" s="3"/>
      <c r="BB709" t="str">
        <f t="shared" si="35"/>
        <v>No scrap rate (No impact);</v>
      </c>
    </row>
    <row r="710" spans="1:54" x14ac:dyDescent="0.3">
      <c r="A710" t="s">
        <v>2434</v>
      </c>
      <c r="B710" t="s">
        <v>2435</v>
      </c>
      <c r="C710" t="s">
        <v>966</v>
      </c>
      <c r="D710" t="s">
        <v>967</v>
      </c>
      <c r="G710" t="s">
        <v>2336</v>
      </c>
      <c r="H710" t="s">
        <v>2337</v>
      </c>
      <c r="J710" t="s">
        <v>1060</v>
      </c>
      <c r="L710">
        <v>0</v>
      </c>
      <c r="M710">
        <v>6.7000000000000004E-2</v>
      </c>
      <c r="N710" t="s">
        <v>198</v>
      </c>
      <c r="O710">
        <v>6.7000000000000004E-2</v>
      </c>
      <c r="P710" t="s">
        <v>198</v>
      </c>
      <c r="Q710" t="s">
        <v>199</v>
      </c>
      <c r="R710" s="3"/>
      <c r="W710" t="s">
        <v>200</v>
      </c>
      <c r="X710" s="25"/>
      <c r="Y710" s="26"/>
      <c r="Z710" s="27"/>
      <c r="AA710" t="s">
        <v>25</v>
      </c>
      <c r="AB710" t="s">
        <v>201</v>
      </c>
      <c r="AC710" s="3"/>
      <c r="AH710" t="s">
        <v>202</v>
      </c>
      <c r="AK710" t="s">
        <v>203</v>
      </c>
      <c r="AP710" t="s">
        <v>200</v>
      </c>
      <c r="AR710" s="25"/>
      <c r="AT710" s="25">
        <v>0</v>
      </c>
      <c r="AU710" s="26"/>
      <c r="AV710" s="26"/>
      <c r="AW710" s="26"/>
      <c r="AX710" s="26" t="str">
        <f t="shared" si="33"/>
        <v/>
      </c>
      <c r="AY710" t="str">
        <f t="shared" si="34"/>
        <v/>
      </c>
      <c r="AZ710" t="s">
        <v>200</v>
      </c>
      <c r="BA710" s="3"/>
      <c r="BB710" t="str">
        <f t="shared" si="35"/>
        <v>No scrap rate (No impact);</v>
      </c>
    </row>
    <row r="711" spans="1:54" x14ac:dyDescent="0.3">
      <c r="A711" t="s">
        <v>2436</v>
      </c>
      <c r="B711" t="s">
        <v>2437</v>
      </c>
      <c r="C711" t="s">
        <v>966</v>
      </c>
      <c r="D711" t="s">
        <v>967</v>
      </c>
      <c r="G711" t="s">
        <v>2336</v>
      </c>
      <c r="H711" t="s">
        <v>2337</v>
      </c>
      <c r="J711" t="s">
        <v>1060</v>
      </c>
      <c r="L711">
        <v>0</v>
      </c>
      <c r="M711">
        <v>6.7000000000000004E-2</v>
      </c>
      <c r="N711" t="s">
        <v>198</v>
      </c>
      <c r="O711">
        <v>6.7000000000000004E-2</v>
      </c>
      <c r="P711" t="s">
        <v>198</v>
      </c>
      <c r="Q711" t="s">
        <v>199</v>
      </c>
      <c r="R711" s="3"/>
      <c r="W711" t="s">
        <v>200</v>
      </c>
      <c r="X711" s="25"/>
      <c r="Y711" s="26"/>
      <c r="Z711" s="27"/>
      <c r="AA711" t="s">
        <v>25</v>
      </c>
      <c r="AB711" t="s">
        <v>201</v>
      </c>
      <c r="AC711" s="3"/>
      <c r="AH711" t="s">
        <v>202</v>
      </c>
      <c r="AK711" t="s">
        <v>203</v>
      </c>
      <c r="AP711" t="s">
        <v>200</v>
      </c>
      <c r="AR711" s="25"/>
      <c r="AT711" s="25">
        <v>0</v>
      </c>
      <c r="AU711" s="26"/>
      <c r="AV711" s="26"/>
      <c r="AW711" s="26"/>
      <c r="AX711" s="26" t="str">
        <f t="shared" si="33"/>
        <v/>
      </c>
      <c r="AY711" t="str">
        <f t="shared" si="34"/>
        <v/>
      </c>
      <c r="AZ711" t="s">
        <v>200</v>
      </c>
      <c r="BA711" s="3"/>
      <c r="BB711" t="str">
        <f t="shared" si="35"/>
        <v>No scrap rate (No impact);</v>
      </c>
    </row>
    <row r="712" spans="1:54" x14ac:dyDescent="0.3">
      <c r="A712" t="s">
        <v>2438</v>
      </c>
      <c r="B712" t="s">
        <v>2439</v>
      </c>
      <c r="C712" t="s">
        <v>966</v>
      </c>
      <c r="D712" t="s">
        <v>967</v>
      </c>
      <c r="G712" t="s">
        <v>2336</v>
      </c>
      <c r="H712" t="s">
        <v>2337</v>
      </c>
      <c r="J712" t="s">
        <v>1060</v>
      </c>
      <c r="L712">
        <v>0</v>
      </c>
      <c r="M712">
        <v>6.7000000000000004E-2</v>
      </c>
      <c r="N712" t="s">
        <v>198</v>
      </c>
      <c r="O712">
        <v>6.7000000000000004E-2</v>
      </c>
      <c r="P712" t="s">
        <v>198</v>
      </c>
      <c r="Q712" t="s">
        <v>199</v>
      </c>
      <c r="R712" s="3"/>
      <c r="W712" t="s">
        <v>200</v>
      </c>
      <c r="X712" s="25"/>
      <c r="Y712" s="26"/>
      <c r="Z712" s="27"/>
      <c r="AA712" t="s">
        <v>25</v>
      </c>
      <c r="AB712" t="s">
        <v>201</v>
      </c>
      <c r="AC712" s="3"/>
      <c r="AH712" t="s">
        <v>202</v>
      </c>
      <c r="AK712" t="s">
        <v>203</v>
      </c>
      <c r="AP712" t="s">
        <v>200</v>
      </c>
      <c r="AR712" s="25"/>
      <c r="AT712" s="25">
        <v>0</v>
      </c>
      <c r="AU712" s="26"/>
      <c r="AV712" s="26"/>
      <c r="AW712" s="26"/>
      <c r="AX712" s="26" t="str">
        <f t="shared" si="33"/>
        <v/>
      </c>
      <c r="AY712" t="str">
        <f t="shared" si="34"/>
        <v/>
      </c>
      <c r="AZ712" t="s">
        <v>200</v>
      </c>
      <c r="BA712" s="3"/>
      <c r="BB712" t="str">
        <f t="shared" si="35"/>
        <v>No scrap rate (No impact);</v>
      </c>
    </row>
    <row r="713" spans="1:54" x14ac:dyDescent="0.3">
      <c r="A713" t="s">
        <v>2440</v>
      </c>
      <c r="B713" t="s">
        <v>2441</v>
      </c>
      <c r="C713" t="s">
        <v>966</v>
      </c>
      <c r="D713" t="s">
        <v>967</v>
      </c>
      <c r="G713" t="s">
        <v>2336</v>
      </c>
      <c r="H713" t="s">
        <v>2337</v>
      </c>
      <c r="J713" t="s">
        <v>1060</v>
      </c>
      <c r="L713">
        <v>0</v>
      </c>
      <c r="M713">
        <v>6.7000000000000004E-2</v>
      </c>
      <c r="N713" t="s">
        <v>198</v>
      </c>
      <c r="O713">
        <v>6.7000000000000004E-2</v>
      </c>
      <c r="P713" t="s">
        <v>198</v>
      </c>
      <c r="Q713" t="s">
        <v>199</v>
      </c>
      <c r="R713" s="3"/>
      <c r="W713" t="s">
        <v>200</v>
      </c>
      <c r="X713" s="25"/>
      <c r="Y713" s="26"/>
      <c r="Z713" s="27"/>
      <c r="AA713" t="s">
        <v>25</v>
      </c>
      <c r="AB713" t="s">
        <v>201</v>
      </c>
      <c r="AC713" s="3"/>
      <c r="AH713" t="s">
        <v>202</v>
      </c>
      <c r="AK713" t="s">
        <v>203</v>
      </c>
      <c r="AP713" t="s">
        <v>200</v>
      </c>
      <c r="AR713" s="25"/>
      <c r="AT713" s="25">
        <v>0</v>
      </c>
      <c r="AU713" s="26"/>
      <c r="AV713" s="26"/>
      <c r="AW713" s="26"/>
      <c r="AX713" s="26" t="str">
        <f t="shared" si="33"/>
        <v/>
      </c>
      <c r="AY713" t="str">
        <f t="shared" si="34"/>
        <v/>
      </c>
      <c r="AZ713" t="s">
        <v>200</v>
      </c>
      <c r="BA713" s="3"/>
      <c r="BB713" t="str">
        <f t="shared" si="35"/>
        <v>No scrap rate (No impact);</v>
      </c>
    </row>
    <row r="714" spans="1:54" x14ac:dyDescent="0.3">
      <c r="A714" t="s">
        <v>2442</v>
      </c>
      <c r="B714" t="s">
        <v>2443</v>
      </c>
      <c r="C714" t="s">
        <v>966</v>
      </c>
      <c r="D714" t="s">
        <v>967</v>
      </c>
      <c r="G714" t="s">
        <v>2336</v>
      </c>
      <c r="H714" t="s">
        <v>2337</v>
      </c>
      <c r="J714" t="s">
        <v>1060</v>
      </c>
      <c r="L714">
        <v>0</v>
      </c>
      <c r="M714">
        <v>6.7000000000000004E-2</v>
      </c>
      <c r="N714" t="s">
        <v>198</v>
      </c>
      <c r="O714">
        <v>6.7000000000000004E-2</v>
      </c>
      <c r="P714" t="s">
        <v>198</v>
      </c>
      <c r="Q714" t="s">
        <v>199</v>
      </c>
      <c r="R714" s="3"/>
      <c r="W714" t="s">
        <v>200</v>
      </c>
      <c r="X714" s="25"/>
      <c r="Y714" s="26"/>
      <c r="Z714" s="27"/>
      <c r="AA714" t="s">
        <v>25</v>
      </c>
      <c r="AB714" t="s">
        <v>201</v>
      </c>
      <c r="AC714" s="3"/>
      <c r="AH714" t="s">
        <v>202</v>
      </c>
      <c r="AK714" t="s">
        <v>203</v>
      </c>
      <c r="AP714" t="s">
        <v>200</v>
      </c>
      <c r="AR714" s="25"/>
      <c r="AT714" s="25">
        <v>0</v>
      </c>
      <c r="AU714" s="26"/>
      <c r="AV714" s="26"/>
      <c r="AW714" s="26"/>
      <c r="AX714" s="26" t="str">
        <f t="shared" si="33"/>
        <v/>
      </c>
      <c r="AY714" t="str">
        <f t="shared" si="34"/>
        <v/>
      </c>
      <c r="AZ714" t="s">
        <v>200</v>
      </c>
      <c r="BA714" s="3"/>
      <c r="BB714" t="str">
        <f t="shared" si="35"/>
        <v>No scrap rate (No impact);</v>
      </c>
    </row>
    <row r="715" spans="1:54" x14ac:dyDescent="0.3">
      <c r="A715" t="s">
        <v>2444</v>
      </c>
      <c r="B715" t="s">
        <v>2445</v>
      </c>
      <c r="C715" t="s">
        <v>966</v>
      </c>
      <c r="D715" t="s">
        <v>967</v>
      </c>
      <c r="G715" t="s">
        <v>1055</v>
      </c>
      <c r="H715" t="s">
        <v>1056</v>
      </c>
      <c r="J715" t="s">
        <v>1060</v>
      </c>
      <c r="L715">
        <v>0</v>
      </c>
      <c r="M715">
        <v>6.7000000000000004E-2</v>
      </c>
      <c r="N715" t="s">
        <v>198</v>
      </c>
      <c r="O715">
        <v>6.7000000000000004E-2</v>
      </c>
      <c r="P715" t="s">
        <v>198</v>
      </c>
      <c r="Q715" t="s">
        <v>199</v>
      </c>
      <c r="R715" s="3"/>
      <c r="W715" t="s">
        <v>200</v>
      </c>
      <c r="X715" s="25"/>
      <c r="Y715" s="26"/>
      <c r="Z715" s="27"/>
      <c r="AA715" t="s">
        <v>25</v>
      </c>
      <c r="AB715" t="s">
        <v>201</v>
      </c>
      <c r="AC715" s="3"/>
      <c r="AH715" t="s">
        <v>202</v>
      </c>
      <c r="AK715" t="s">
        <v>203</v>
      </c>
      <c r="AP715" t="s">
        <v>200</v>
      </c>
      <c r="AR715" s="25"/>
      <c r="AT715" s="25">
        <v>0</v>
      </c>
      <c r="AU715" s="26"/>
      <c r="AV715" s="26"/>
      <c r="AW715" s="26"/>
      <c r="AX715" s="26" t="str">
        <f t="shared" si="33"/>
        <v/>
      </c>
      <c r="AY715" t="str">
        <f t="shared" si="34"/>
        <v/>
      </c>
      <c r="AZ715" t="s">
        <v>200</v>
      </c>
      <c r="BA715" s="3"/>
      <c r="BB715" t="str">
        <f t="shared" si="35"/>
        <v>No scrap rate (No impact);</v>
      </c>
    </row>
    <row r="716" spans="1:54" x14ac:dyDescent="0.3">
      <c r="A716" t="s">
        <v>2446</v>
      </c>
      <c r="B716" t="s">
        <v>2447</v>
      </c>
      <c r="C716" t="s">
        <v>966</v>
      </c>
      <c r="D716" t="s">
        <v>967</v>
      </c>
      <c r="G716" t="s">
        <v>2336</v>
      </c>
      <c r="H716" t="s">
        <v>2337</v>
      </c>
      <c r="J716" t="s">
        <v>1060</v>
      </c>
      <c r="L716">
        <v>0</v>
      </c>
      <c r="M716">
        <v>6.7000000000000004E-2</v>
      </c>
      <c r="N716" t="s">
        <v>198</v>
      </c>
      <c r="O716">
        <v>6.7000000000000004E-2</v>
      </c>
      <c r="P716" t="s">
        <v>198</v>
      </c>
      <c r="Q716" t="s">
        <v>199</v>
      </c>
      <c r="R716" s="3"/>
      <c r="W716" t="s">
        <v>200</v>
      </c>
      <c r="X716" s="25"/>
      <c r="Y716" s="26"/>
      <c r="Z716" s="27"/>
      <c r="AA716" t="s">
        <v>25</v>
      </c>
      <c r="AB716" t="s">
        <v>201</v>
      </c>
      <c r="AC716" s="3"/>
      <c r="AH716" t="s">
        <v>202</v>
      </c>
      <c r="AK716" t="s">
        <v>203</v>
      </c>
      <c r="AP716" t="s">
        <v>200</v>
      </c>
      <c r="AR716" s="25"/>
      <c r="AT716" s="25">
        <v>0</v>
      </c>
      <c r="AU716" s="26"/>
      <c r="AV716" s="26"/>
      <c r="AW716" s="26"/>
      <c r="AX716" s="26" t="str">
        <f t="shared" si="33"/>
        <v/>
      </c>
      <c r="AY716" t="str">
        <f t="shared" si="34"/>
        <v/>
      </c>
      <c r="AZ716" t="s">
        <v>200</v>
      </c>
      <c r="BA716" s="3"/>
      <c r="BB716" t="str">
        <f t="shared" si="35"/>
        <v>No scrap rate (No impact);</v>
      </c>
    </row>
    <row r="717" spans="1:54" x14ac:dyDescent="0.3">
      <c r="A717" t="s">
        <v>2448</v>
      </c>
      <c r="B717" t="s">
        <v>2449</v>
      </c>
      <c r="C717" t="s">
        <v>1110</v>
      </c>
      <c r="D717" t="s">
        <v>1111</v>
      </c>
      <c r="G717" t="s">
        <v>1655</v>
      </c>
      <c r="H717" t="s">
        <v>1656</v>
      </c>
      <c r="J717" t="s">
        <v>1089</v>
      </c>
      <c r="L717">
        <v>0</v>
      </c>
      <c r="M717">
        <v>3.5000000000000003E-2</v>
      </c>
      <c r="N717" t="s">
        <v>198</v>
      </c>
      <c r="O717">
        <v>3.5000000000000003E-2</v>
      </c>
      <c r="P717" t="s">
        <v>198</v>
      </c>
      <c r="Q717" t="s">
        <v>199</v>
      </c>
      <c r="R717" s="3"/>
      <c r="W717" t="s">
        <v>200</v>
      </c>
      <c r="X717" s="25"/>
      <c r="Y717" s="26"/>
      <c r="Z717" s="27"/>
      <c r="AA717" t="s">
        <v>25</v>
      </c>
      <c r="AB717" t="s">
        <v>201</v>
      </c>
      <c r="AC717" s="3"/>
      <c r="AH717" t="s">
        <v>202</v>
      </c>
      <c r="AK717" t="s">
        <v>203</v>
      </c>
      <c r="AP717" t="s">
        <v>200</v>
      </c>
      <c r="AR717" s="25"/>
      <c r="AT717" s="25">
        <v>0</v>
      </c>
      <c r="AU717" s="26"/>
      <c r="AV717" s="26"/>
      <c r="AW717" s="26"/>
      <c r="AX717" s="26" t="str">
        <f t="shared" si="33"/>
        <v/>
      </c>
      <c r="AY717" t="str">
        <f t="shared" si="34"/>
        <v/>
      </c>
      <c r="AZ717" t="s">
        <v>200</v>
      </c>
      <c r="BA717" s="3"/>
      <c r="BB717" t="str">
        <f t="shared" si="35"/>
        <v>No scrap rate (No impact);</v>
      </c>
    </row>
    <row r="718" spans="1:54" x14ac:dyDescent="0.3">
      <c r="A718" t="s">
        <v>2450</v>
      </c>
      <c r="B718" t="s">
        <v>2451</v>
      </c>
      <c r="C718" t="s">
        <v>1256</v>
      </c>
      <c r="D718" t="s">
        <v>1257</v>
      </c>
      <c r="G718" t="s">
        <v>1938</v>
      </c>
      <c r="H718" t="s">
        <v>1939</v>
      </c>
      <c r="J718" t="s">
        <v>1046</v>
      </c>
      <c r="L718">
        <v>0</v>
      </c>
      <c r="M718">
        <v>3.0000000000000001E-3</v>
      </c>
      <c r="N718" t="s">
        <v>198</v>
      </c>
      <c r="O718">
        <v>3.0000000000000001E-3</v>
      </c>
      <c r="P718" t="s">
        <v>198</v>
      </c>
      <c r="Q718" t="s">
        <v>199</v>
      </c>
      <c r="R718" s="3"/>
      <c r="W718" t="s">
        <v>200</v>
      </c>
      <c r="X718" s="25"/>
      <c r="Y718" s="26"/>
      <c r="Z718" s="27"/>
      <c r="AA718" t="s">
        <v>25</v>
      </c>
      <c r="AB718" t="s">
        <v>201</v>
      </c>
      <c r="AC718" s="3"/>
      <c r="AH718" t="s">
        <v>202</v>
      </c>
      <c r="AK718" t="s">
        <v>203</v>
      </c>
      <c r="AP718" t="s">
        <v>200</v>
      </c>
      <c r="AR718" s="25"/>
      <c r="AT718" s="25">
        <v>0</v>
      </c>
      <c r="AU718" s="26"/>
      <c r="AV718" s="26"/>
      <c r="AW718" s="26"/>
      <c r="AX718" s="26" t="str">
        <f t="shared" si="33"/>
        <v/>
      </c>
      <c r="AY718" t="str">
        <f t="shared" si="34"/>
        <v/>
      </c>
      <c r="AZ718" t="s">
        <v>200</v>
      </c>
      <c r="BA718" s="3"/>
      <c r="BB718" t="str">
        <f t="shared" si="35"/>
        <v>No scrap rate (No impact);</v>
      </c>
    </row>
    <row r="719" spans="1:54" x14ac:dyDescent="0.3">
      <c r="A719" t="s">
        <v>2452</v>
      </c>
      <c r="B719" t="s">
        <v>2453</v>
      </c>
      <c r="C719" t="s">
        <v>1110</v>
      </c>
      <c r="D719" t="s">
        <v>1111</v>
      </c>
      <c r="G719" t="s">
        <v>288</v>
      </c>
      <c r="H719" t="s">
        <v>289</v>
      </c>
      <c r="J719" t="s">
        <v>1089</v>
      </c>
      <c r="L719">
        <v>0</v>
      </c>
      <c r="M719">
        <v>0.05</v>
      </c>
      <c r="N719" t="s">
        <v>198</v>
      </c>
      <c r="O719">
        <v>0.05</v>
      </c>
      <c r="P719" t="s">
        <v>198</v>
      </c>
      <c r="Q719" t="s">
        <v>199</v>
      </c>
      <c r="R719" s="3"/>
      <c r="W719" t="s">
        <v>200</v>
      </c>
      <c r="X719" s="25"/>
      <c r="Y719" s="26"/>
      <c r="Z719" s="27"/>
      <c r="AA719" t="s">
        <v>25</v>
      </c>
      <c r="AB719" t="s">
        <v>201</v>
      </c>
      <c r="AC719" s="3"/>
      <c r="AH719" t="s">
        <v>202</v>
      </c>
      <c r="AK719" t="s">
        <v>203</v>
      </c>
      <c r="AP719" t="s">
        <v>200</v>
      </c>
      <c r="AR719" s="25"/>
      <c r="AT719" s="25">
        <v>0</v>
      </c>
      <c r="AU719" s="26"/>
      <c r="AV719" s="26"/>
      <c r="AW719" s="26"/>
      <c r="AX719" s="26" t="str">
        <f t="shared" si="33"/>
        <v/>
      </c>
      <c r="AY719" t="str">
        <f t="shared" si="34"/>
        <v/>
      </c>
      <c r="AZ719" t="s">
        <v>200</v>
      </c>
      <c r="BA719" s="3"/>
      <c r="BB719" t="str">
        <f t="shared" si="35"/>
        <v>No scrap rate (No impact);</v>
      </c>
    </row>
    <row r="720" spans="1:54" x14ac:dyDescent="0.3">
      <c r="A720" t="s">
        <v>2454</v>
      </c>
      <c r="B720" t="s">
        <v>2455</v>
      </c>
      <c r="C720" t="s">
        <v>1256</v>
      </c>
      <c r="D720" t="s">
        <v>1257</v>
      </c>
      <c r="G720" t="s">
        <v>288</v>
      </c>
      <c r="H720" t="s">
        <v>289</v>
      </c>
      <c r="J720" t="s">
        <v>1590</v>
      </c>
      <c r="L720">
        <v>0</v>
      </c>
      <c r="M720">
        <v>2E-3</v>
      </c>
      <c r="N720" t="s">
        <v>198</v>
      </c>
      <c r="O720">
        <v>2E-3</v>
      </c>
      <c r="P720" t="s">
        <v>198</v>
      </c>
      <c r="Q720" t="s">
        <v>199</v>
      </c>
      <c r="R720" s="3"/>
      <c r="W720" t="s">
        <v>200</v>
      </c>
      <c r="X720" s="25"/>
      <c r="Y720" s="26"/>
      <c r="Z720" s="27"/>
      <c r="AA720" t="s">
        <v>25</v>
      </c>
      <c r="AB720" t="s">
        <v>201</v>
      </c>
      <c r="AC720" s="3"/>
      <c r="AH720" t="s">
        <v>202</v>
      </c>
      <c r="AK720" t="s">
        <v>203</v>
      </c>
      <c r="AP720" t="s">
        <v>200</v>
      </c>
      <c r="AR720" s="25"/>
      <c r="AT720" s="25">
        <v>0</v>
      </c>
      <c r="AU720" s="26"/>
      <c r="AV720" s="26"/>
      <c r="AW720" s="26"/>
      <c r="AX720" s="26" t="str">
        <f t="shared" si="33"/>
        <v/>
      </c>
      <c r="AY720" t="str">
        <f t="shared" si="34"/>
        <v/>
      </c>
      <c r="AZ720" t="s">
        <v>200</v>
      </c>
      <c r="BA720" s="3"/>
      <c r="BB720" t="str">
        <f t="shared" si="35"/>
        <v>No scrap rate (No impact);</v>
      </c>
    </row>
    <row r="721" spans="1:54" x14ac:dyDescent="0.3">
      <c r="A721" t="s">
        <v>2456</v>
      </c>
      <c r="B721" t="s">
        <v>2457</v>
      </c>
      <c r="C721" t="s">
        <v>1256</v>
      </c>
      <c r="D721" t="s">
        <v>1257</v>
      </c>
      <c r="G721" t="s">
        <v>288</v>
      </c>
      <c r="H721" t="s">
        <v>289</v>
      </c>
      <c r="J721" t="s">
        <v>1060</v>
      </c>
      <c r="L721">
        <v>0</v>
      </c>
      <c r="M721">
        <v>1E-3</v>
      </c>
      <c r="N721" t="s">
        <v>198</v>
      </c>
      <c r="O721">
        <v>1E-3</v>
      </c>
      <c r="P721" t="s">
        <v>198</v>
      </c>
      <c r="Q721" t="s">
        <v>199</v>
      </c>
      <c r="R721" s="3"/>
      <c r="W721" t="s">
        <v>200</v>
      </c>
      <c r="X721" s="25"/>
      <c r="Y721" s="26"/>
      <c r="Z721" s="27"/>
      <c r="AA721" t="s">
        <v>25</v>
      </c>
      <c r="AB721" t="s">
        <v>201</v>
      </c>
      <c r="AC721" s="3"/>
      <c r="AH721" t="s">
        <v>202</v>
      </c>
      <c r="AK721" t="s">
        <v>203</v>
      </c>
      <c r="AP721" t="s">
        <v>200</v>
      </c>
      <c r="AR721" s="25"/>
      <c r="AT721" s="25">
        <v>0</v>
      </c>
      <c r="AU721" s="26"/>
      <c r="AV721" s="26"/>
      <c r="AW721" s="26"/>
      <c r="AX721" s="26" t="str">
        <f t="shared" si="33"/>
        <v/>
      </c>
      <c r="AY721" t="str">
        <f t="shared" si="34"/>
        <v/>
      </c>
      <c r="AZ721" t="s">
        <v>200</v>
      </c>
      <c r="BA721" s="3"/>
      <c r="BB721" t="str">
        <f t="shared" si="35"/>
        <v>No scrap rate (No impact);</v>
      </c>
    </row>
    <row r="722" spans="1:54" x14ac:dyDescent="0.3">
      <c r="A722" t="s">
        <v>2458</v>
      </c>
      <c r="B722" t="s">
        <v>2459</v>
      </c>
      <c r="C722" t="s">
        <v>1256</v>
      </c>
      <c r="D722" t="s">
        <v>1257</v>
      </c>
      <c r="G722" t="s">
        <v>288</v>
      </c>
      <c r="H722" t="s">
        <v>289</v>
      </c>
      <c r="J722" t="s">
        <v>1060</v>
      </c>
      <c r="L722">
        <v>0</v>
      </c>
      <c r="M722">
        <v>2E-3</v>
      </c>
      <c r="N722" t="s">
        <v>198</v>
      </c>
      <c r="O722">
        <v>2E-3</v>
      </c>
      <c r="P722" t="s">
        <v>198</v>
      </c>
      <c r="Q722" t="s">
        <v>199</v>
      </c>
      <c r="R722" s="3"/>
      <c r="W722" t="s">
        <v>200</v>
      </c>
      <c r="X722" s="25"/>
      <c r="Y722" s="26"/>
      <c r="Z722" s="27"/>
      <c r="AA722" t="s">
        <v>25</v>
      </c>
      <c r="AB722" t="s">
        <v>201</v>
      </c>
      <c r="AC722" s="3"/>
      <c r="AH722" t="s">
        <v>202</v>
      </c>
      <c r="AK722" t="s">
        <v>203</v>
      </c>
      <c r="AP722" t="s">
        <v>200</v>
      </c>
      <c r="AR722" s="25"/>
      <c r="AT722" s="25">
        <v>0</v>
      </c>
      <c r="AU722" s="26"/>
      <c r="AV722" s="26"/>
      <c r="AW722" s="26"/>
      <c r="AX722" s="26" t="str">
        <f t="shared" si="33"/>
        <v/>
      </c>
      <c r="AY722" t="str">
        <f t="shared" si="34"/>
        <v/>
      </c>
      <c r="AZ722" t="s">
        <v>200</v>
      </c>
      <c r="BA722" s="3"/>
      <c r="BB722" t="str">
        <f t="shared" si="35"/>
        <v>No scrap rate (No impact);</v>
      </c>
    </row>
    <row r="723" spans="1:54" x14ac:dyDescent="0.3">
      <c r="A723" t="s">
        <v>2460</v>
      </c>
      <c r="B723" t="s">
        <v>2461</v>
      </c>
      <c r="C723" t="s">
        <v>946</v>
      </c>
      <c r="D723" t="s">
        <v>947</v>
      </c>
      <c r="G723" t="s">
        <v>288</v>
      </c>
      <c r="H723" t="s">
        <v>289</v>
      </c>
      <c r="J723" t="s">
        <v>926</v>
      </c>
      <c r="L723">
        <v>0</v>
      </c>
      <c r="M723">
        <v>0.29399999999999998</v>
      </c>
      <c r="N723" t="s">
        <v>198</v>
      </c>
      <c r="O723">
        <v>0.29399999999999998</v>
      </c>
      <c r="P723" t="s">
        <v>198</v>
      </c>
      <c r="Q723" t="s">
        <v>199</v>
      </c>
      <c r="R723" s="3"/>
      <c r="W723" t="s">
        <v>200</v>
      </c>
      <c r="X723" s="25"/>
      <c r="Y723" s="26"/>
      <c r="Z723" s="27"/>
      <c r="AA723" t="s">
        <v>25</v>
      </c>
      <c r="AB723" t="s">
        <v>201</v>
      </c>
      <c r="AC723" s="3"/>
      <c r="AH723" t="s">
        <v>202</v>
      </c>
      <c r="AK723" t="s">
        <v>203</v>
      </c>
      <c r="AP723" t="s">
        <v>200</v>
      </c>
      <c r="AR723" s="25"/>
      <c r="AT723" s="25">
        <v>0</v>
      </c>
      <c r="AU723" s="26"/>
      <c r="AV723" s="26"/>
      <c r="AW723" s="26"/>
      <c r="AX723" s="26" t="str">
        <f t="shared" si="33"/>
        <v/>
      </c>
      <c r="AY723" t="str">
        <f t="shared" si="34"/>
        <v/>
      </c>
      <c r="AZ723" t="s">
        <v>200</v>
      </c>
      <c r="BA723" s="3"/>
      <c r="BB723" t="str">
        <f t="shared" si="35"/>
        <v>No scrap rate (No impact);</v>
      </c>
    </row>
    <row r="724" spans="1:54" x14ac:dyDescent="0.3">
      <c r="A724" t="s">
        <v>2462</v>
      </c>
      <c r="B724" t="s">
        <v>2463</v>
      </c>
      <c r="C724" t="s">
        <v>1256</v>
      </c>
      <c r="D724" t="s">
        <v>1257</v>
      </c>
      <c r="G724" t="s">
        <v>288</v>
      </c>
      <c r="H724" t="s">
        <v>289</v>
      </c>
      <c r="J724" t="s">
        <v>1060</v>
      </c>
      <c r="L724">
        <v>0</v>
      </c>
      <c r="M724">
        <v>3.0000000000000001E-3</v>
      </c>
      <c r="N724" t="s">
        <v>198</v>
      </c>
      <c r="O724">
        <v>3.0000000000000001E-3</v>
      </c>
      <c r="P724" t="s">
        <v>198</v>
      </c>
      <c r="Q724" t="s">
        <v>199</v>
      </c>
      <c r="R724" s="3"/>
      <c r="W724" t="s">
        <v>200</v>
      </c>
      <c r="X724" s="25"/>
      <c r="Y724" s="26"/>
      <c r="Z724" s="27"/>
      <c r="AA724" t="s">
        <v>25</v>
      </c>
      <c r="AB724" t="s">
        <v>201</v>
      </c>
      <c r="AC724" s="3"/>
      <c r="AH724" t="s">
        <v>202</v>
      </c>
      <c r="AK724" t="s">
        <v>203</v>
      </c>
      <c r="AP724" t="s">
        <v>200</v>
      </c>
      <c r="AR724" s="25"/>
      <c r="AT724" s="25">
        <v>0</v>
      </c>
      <c r="AU724" s="26"/>
      <c r="AV724" s="26"/>
      <c r="AW724" s="26"/>
      <c r="AX724" s="26" t="str">
        <f t="shared" si="33"/>
        <v/>
      </c>
      <c r="AY724" t="str">
        <f t="shared" si="34"/>
        <v/>
      </c>
      <c r="AZ724" t="s">
        <v>200</v>
      </c>
      <c r="BA724" s="3"/>
      <c r="BB724" t="str">
        <f t="shared" si="35"/>
        <v>No scrap rate (No impact);</v>
      </c>
    </row>
    <row r="725" spans="1:54" x14ac:dyDescent="0.3">
      <c r="A725" t="s">
        <v>2464</v>
      </c>
      <c r="B725" t="s">
        <v>2465</v>
      </c>
      <c r="C725" t="s">
        <v>1110</v>
      </c>
      <c r="D725" t="s">
        <v>1111</v>
      </c>
      <c r="G725" t="s">
        <v>288</v>
      </c>
      <c r="H725" t="s">
        <v>289</v>
      </c>
      <c r="J725" t="s">
        <v>1089</v>
      </c>
      <c r="L725">
        <v>0</v>
      </c>
      <c r="M725">
        <v>1.4E-2</v>
      </c>
      <c r="N725" t="s">
        <v>198</v>
      </c>
      <c r="O725">
        <v>1.4E-2</v>
      </c>
      <c r="P725" t="s">
        <v>198</v>
      </c>
      <c r="Q725" t="s">
        <v>199</v>
      </c>
      <c r="R725" s="3"/>
      <c r="W725" t="s">
        <v>200</v>
      </c>
      <c r="X725" s="25"/>
      <c r="Y725" s="26"/>
      <c r="Z725" s="27"/>
      <c r="AA725" t="s">
        <v>25</v>
      </c>
      <c r="AB725" t="s">
        <v>201</v>
      </c>
      <c r="AC725" s="3"/>
      <c r="AH725" t="s">
        <v>202</v>
      </c>
      <c r="AK725" t="s">
        <v>203</v>
      </c>
      <c r="AP725" t="s">
        <v>200</v>
      </c>
      <c r="AR725" s="25"/>
      <c r="AT725" s="25">
        <v>0</v>
      </c>
      <c r="AU725" s="26"/>
      <c r="AV725" s="26"/>
      <c r="AW725" s="26"/>
      <c r="AX725" s="26" t="str">
        <f t="shared" si="33"/>
        <v/>
      </c>
      <c r="AY725" t="str">
        <f t="shared" si="34"/>
        <v/>
      </c>
      <c r="AZ725" t="s">
        <v>200</v>
      </c>
      <c r="BA725" s="3"/>
      <c r="BB725" t="str">
        <f t="shared" si="35"/>
        <v>No scrap rate (No impact);</v>
      </c>
    </row>
    <row r="726" spans="1:54" x14ac:dyDescent="0.3">
      <c r="A726" t="s">
        <v>2466</v>
      </c>
      <c r="B726" t="s">
        <v>2467</v>
      </c>
      <c r="C726" t="s">
        <v>946</v>
      </c>
      <c r="D726" t="s">
        <v>947</v>
      </c>
      <c r="G726" t="s">
        <v>288</v>
      </c>
      <c r="H726" t="s">
        <v>289</v>
      </c>
      <c r="J726" t="s">
        <v>926</v>
      </c>
      <c r="L726">
        <v>0</v>
      </c>
      <c r="M726">
        <v>0.73</v>
      </c>
      <c r="N726" t="s">
        <v>198</v>
      </c>
      <c r="O726">
        <v>0.73</v>
      </c>
      <c r="P726" t="s">
        <v>198</v>
      </c>
      <c r="Q726" t="s">
        <v>199</v>
      </c>
      <c r="R726" s="3"/>
      <c r="W726" t="s">
        <v>200</v>
      </c>
      <c r="X726" s="25"/>
      <c r="Y726" s="26"/>
      <c r="Z726" s="27"/>
      <c r="AA726" t="s">
        <v>25</v>
      </c>
      <c r="AB726" t="s">
        <v>201</v>
      </c>
      <c r="AC726" s="3"/>
      <c r="AH726" t="s">
        <v>202</v>
      </c>
      <c r="AK726" t="s">
        <v>203</v>
      </c>
      <c r="AP726" t="s">
        <v>200</v>
      </c>
      <c r="AR726" s="25"/>
      <c r="AT726" s="25">
        <v>0</v>
      </c>
      <c r="AU726" s="26"/>
      <c r="AV726" s="26"/>
      <c r="AW726" s="26"/>
      <c r="AX726" s="26" t="str">
        <f t="shared" si="33"/>
        <v/>
      </c>
      <c r="AY726" t="str">
        <f t="shared" si="34"/>
        <v/>
      </c>
      <c r="AZ726" t="s">
        <v>200</v>
      </c>
      <c r="BA726" s="3"/>
      <c r="BB726" t="str">
        <f t="shared" si="35"/>
        <v>No scrap rate (No impact);</v>
      </c>
    </row>
    <row r="727" spans="1:54" x14ac:dyDescent="0.3">
      <c r="A727" t="s">
        <v>2468</v>
      </c>
      <c r="B727" t="s">
        <v>2469</v>
      </c>
      <c r="C727" t="s">
        <v>1256</v>
      </c>
      <c r="D727" t="s">
        <v>1257</v>
      </c>
      <c r="G727" t="s">
        <v>1615</v>
      </c>
      <c r="H727" t="s">
        <v>1616</v>
      </c>
      <c r="J727" t="s">
        <v>1046</v>
      </c>
      <c r="L727">
        <v>0</v>
      </c>
      <c r="M727">
        <v>8.9999999999999993E-3</v>
      </c>
      <c r="N727" t="s">
        <v>198</v>
      </c>
      <c r="O727">
        <v>8.9999999999999993E-3</v>
      </c>
      <c r="P727" t="s">
        <v>198</v>
      </c>
      <c r="Q727" t="s">
        <v>199</v>
      </c>
      <c r="R727" s="3"/>
      <c r="W727" t="s">
        <v>200</v>
      </c>
      <c r="X727" s="25"/>
      <c r="Y727" s="26"/>
      <c r="Z727" s="27"/>
      <c r="AA727" t="s">
        <v>25</v>
      </c>
      <c r="AB727" t="s">
        <v>201</v>
      </c>
      <c r="AC727" s="3"/>
      <c r="AH727" t="s">
        <v>202</v>
      </c>
      <c r="AK727" t="s">
        <v>203</v>
      </c>
      <c r="AP727" t="s">
        <v>200</v>
      </c>
      <c r="AR727" s="25"/>
      <c r="AT727" s="25">
        <v>0</v>
      </c>
      <c r="AU727" s="26"/>
      <c r="AV727" s="26"/>
      <c r="AW727" s="26"/>
      <c r="AX727" s="26" t="str">
        <f t="shared" si="33"/>
        <v/>
      </c>
      <c r="AY727" t="str">
        <f t="shared" si="34"/>
        <v/>
      </c>
      <c r="AZ727" t="s">
        <v>200</v>
      </c>
      <c r="BA727" s="3"/>
      <c r="BB727" t="str">
        <f t="shared" si="35"/>
        <v>No scrap rate (No impact);</v>
      </c>
    </row>
    <row r="728" spans="1:54" x14ac:dyDescent="0.3">
      <c r="A728" t="s">
        <v>2470</v>
      </c>
      <c r="B728" t="s">
        <v>2471</v>
      </c>
      <c r="C728" t="s">
        <v>1256</v>
      </c>
      <c r="D728" t="s">
        <v>1257</v>
      </c>
      <c r="G728" t="s">
        <v>1615</v>
      </c>
      <c r="H728" t="s">
        <v>1616</v>
      </c>
      <c r="J728" t="s">
        <v>1046</v>
      </c>
      <c r="L728">
        <v>0</v>
      </c>
      <c r="M728">
        <v>8.9999999999999993E-3</v>
      </c>
      <c r="N728" t="s">
        <v>198</v>
      </c>
      <c r="O728">
        <v>8.9999999999999993E-3</v>
      </c>
      <c r="P728" t="s">
        <v>198</v>
      </c>
      <c r="Q728" t="s">
        <v>199</v>
      </c>
      <c r="R728" s="3"/>
      <c r="W728" t="s">
        <v>200</v>
      </c>
      <c r="X728" s="25"/>
      <c r="Y728" s="26"/>
      <c r="Z728" s="27"/>
      <c r="AA728" t="s">
        <v>25</v>
      </c>
      <c r="AB728" t="s">
        <v>201</v>
      </c>
      <c r="AC728" s="3"/>
      <c r="AH728" t="s">
        <v>202</v>
      </c>
      <c r="AK728" t="s">
        <v>203</v>
      </c>
      <c r="AP728" t="s">
        <v>200</v>
      </c>
      <c r="AR728" s="25"/>
      <c r="AT728" s="25">
        <v>0</v>
      </c>
      <c r="AU728" s="26"/>
      <c r="AV728" s="26"/>
      <c r="AW728" s="26"/>
      <c r="AX728" s="26" t="str">
        <f t="shared" si="33"/>
        <v/>
      </c>
      <c r="AY728" t="str">
        <f t="shared" si="34"/>
        <v/>
      </c>
      <c r="AZ728" t="s">
        <v>200</v>
      </c>
      <c r="BA728" s="3"/>
      <c r="BB728" t="str">
        <f t="shared" si="35"/>
        <v>No scrap rate (No impact);</v>
      </c>
    </row>
    <row r="729" spans="1:54" x14ac:dyDescent="0.3">
      <c r="A729" t="s">
        <v>2472</v>
      </c>
      <c r="B729" t="s">
        <v>2473</v>
      </c>
      <c r="C729" t="s">
        <v>1256</v>
      </c>
      <c r="D729" t="s">
        <v>1257</v>
      </c>
      <c r="G729" t="s">
        <v>1522</v>
      </c>
      <c r="H729" t="s">
        <v>347</v>
      </c>
      <c r="J729" t="s">
        <v>1590</v>
      </c>
      <c r="L729">
        <v>0</v>
      </c>
      <c r="M729">
        <v>4.0000000000000001E-3</v>
      </c>
      <c r="N729" t="s">
        <v>198</v>
      </c>
      <c r="O729">
        <v>4.0000000000000001E-3</v>
      </c>
      <c r="P729" t="s">
        <v>198</v>
      </c>
      <c r="Q729" t="s">
        <v>199</v>
      </c>
      <c r="R729" s="3"/>
      <c r="W729" t="s">
        <v>200</v>
      </c>
      <c r="X729" s="25"/>
      <c r="Y729" s="26"/>
      <c r="Z729" s="27"/>
      <c r="AA729" t="s">
        <v>25</v>
      </c>
      <c r="AB729" t="s">
        <v>201</v>
      </c>
      <c r="AC729" s="3"/>
      <c r="AH729" t="s">
        <v>202</v>
      </c>
      <c r="AK729" t="s">
        <v>203</v>
      </c>
      <c r="AP729" t="s">
        <v>200</v>
      </c>
      <c r="AR729" s="25"/>
      <c r="AT729" s="25">
        <v>0</v>
      </c>
      <c r="AU729" s="26"/>
      <c r="AV729" s="26"/>
      <c r="AW729" s="26"/>
      <c r="AX729" s="26" t="str">
        <f t="shared" si="33"/>
        <v/>
      </c>
      <c r="AY729" t="str">
        <f t="shared" si="34"/>
        <v/>
      </c>
      <c r="AZ729" t="s">
        <v>200</v>
      </c>
      <c r="BA729" s="3"/>
      <c r="BB729" t="str">
        <f t="shared" si="35"/>
        <v>No scrap rate (No impact);</v>
      </c>
    </row>
    <row r="730" spans="1:54" x14ac:dyDescent="0.3">
      <c r="A730" t="s">
        <v>2474</v>
      </c>
      <c r="B730" t="s">
        <v>2475</v>
      </c>
      <c r="C730" t="s">
        <v>966</v>
      </c>
      <c r="D730" t="s">
        <v>967</v>
      </c>
      <c r="G730" t="s">
        <v>2336</v>
      </c>
      <c r="H730" t="s">
        <v>2337</v>
      </c>
      <c r="J730" t="s">
        <v>1060</v>
      </c>
      <c r="L730">
        <v>0</v>
      </c>
      <c r="M730">
        <v>9.6000000000000002E-2</v>
      </c>
      <c r="N730" t="s">
        <v>198</v>
      </c>
      <c r="O730">
        <v>9.6000000000000002E-2</v>
      </c>
      <c r="P730" t="s">
        <v>198</v>
      </c>
      <c r="Q730" t="s">
        <v>199</v>
      </c>
      <c r="R730" s="3"/>
      <c r="W730" t="s">
        <v>200</v>
      </c>
      <c r="X730" s="25"/>
      <c r="Y730" s="26"/>
      <c r="Z730" s="27"/>
      <c r="AA730" t="s">
        <v>25</v>
      </c>
      <c r="AB730" t="s">
        <v>201</v>
      </c>
      <c r="AC730" s="3"/>
      <c r="AH730" t="s">
        <v>202</v>
      </c>
      <c r="AK730" t="s">
        <v>203</v>
      </c>
      <c r="AP730" t="s">
        <v>200</v>
      </c>
      <c r="AR730" s="25"/>
      <c r="AT730" s="25">
        <v>0</v>
      </c>
      <c r="AU730" s="26"/>
      <c r="AV730" s="26"/>
      <c r="AW730" s="26"/>
      <c r="AX730" s="26" t="str">
        <f t="shared" si="33"/>
        <v/>
      </c>
      <c r="AY730" t="str">
        <f t="shared" si="34"/>
        <v/>
      </c>
      <c r="AZ730" t="s">
        <v>200</v>
      </c>
      <c r="BA730" s="3"/>
      <c r="BB730" t="str">
        <f t="shared" si="35"/>
        <v>No scrap rate (No impact);</v>
      </c>
    </row>
    <row r="731" spans="1:54" x14ac:dyDescent="0.3">
      <c r="A731" t="s">
        <v>2476</v>
      </c>
      <c r="B731" t="s">
        <v>2477</v>
      </c>
      <c r="C731" t="s">
        <v>966</v>
      </c>
      <c r="D731" t="s">
        <v>967</v>
      </c>
      <c r="G731" t="s">
        <v>2336</v>
      </c>
      <c r="H731" t="s">
        <v>2337</v>
      </c>
      <c r="J731" t="s">
        <v>1060</v>
      </c>
      <c r="L731">
        <v>0</v>
      </c>
      <c r="M731">
        <v>9.6000000000000002E-2</v>
      </c>
      <c r="N731" t="s">
        <v>198</v>
      </c>
      <c r="O731">
        <v>9.6000000000000002E-2</v>
      </c>
      <c r="P731" t="s">
        <v>198</v>
      </c>
      <c r="Q731" t="s">
        <v>199</v>
      </c>
      <c r="R731" s="3"/>
      <c r="W731" t="s">
        <v>200</v>
      </c>
      <c r="X731" s="25"/>
      <c r="Y731" s="26"/>
      <c r="Z731" s="27"/>
      <c r="AA731" t="s">
        <v>25</v>
      </c>
      <c r="AB731" t="s">
        <v>201</v>
      </c>
      <c r="AC731" s="3"/>
      <c r="AH731" t="s">
        <v>202</v>
      </c>
      <c r="AK731" t="s">
        <v>203</v>
      </c>
      <c r="AP731" t="s">
        <v>200</v>
      </c>
      <c r="AR731" s="25"/>
      <c r="AT731" s="25">
        <v>0</v>
      </c>
      <c r="AU731" s="26"/>
      <c r="AV731" s="26"/>
      <c r="AW731" s="26"/>
      <c r="AX731" s="26" t="str">
        <f t="shared" si="33"/>
        <v/>
      </c>
      <c r="AY731" t="str">
        <f t="shared" si="34"/>
        <v/>
      </c>
      <c r="AZ731" t="s">
        <v>200</v>
      </c>
      <c r="BA731" s="3"/>
      <c r="BB731" t="str">
        <f t="shared" si="35"/>
        <v>No scrap rate (No impact);</v>
      </c>
    </row>
    <row r="732" spans="1:54" x14ac:dyDescent="0.3">
      <c r="A732" t="s">
        <v>2478</v>
      </c>
      <c r="B732" t="s">
        <v>2479</v>
      </c>
      <c r="C732" t="s">
        <v>966</v>
      </c>
      <c r="D732" t="s">
        <v>967</v>
      </c>
      <c r="G732" t="s">
        <v>2336</v>
      </c>
      <c r="H732" t="s">
        <v>2337</v>
      </c>
      <c r="J732" t="s">
        <v>1060</v>
      </c>
      <c r="L732">
        <v>0</v>
      </c>
      <c r="M732">
        <v>9.6000000000000002E-2</v>
      </c>
      <c r="N732" t="s">
        <v>198</v>
      </c>
      <c r="O732">
        <v>9.6000000000000002E-2</v>
      </c>
      <c r="P732" t="s">
        <v>198</v>
      </c>
      <c r="Q732" t="s">
        <v>199</v>
      </c>
      <c r="R732" s="3"/>
      <c r="W732" t="s">
        <v>200</v>
      </c>
      <c r="X732" s="25"/>
      <c r="Y732" s="26"/>
      <c r="Z732" s="27"/>
      <c r="AA732" t="s">
        <v>25</v>
      </c>
      <c r="AB732" t="s">
        <v>201</v>
      </c>
      <c r="AC732" s="3"/>
      <c r="AH732" t="s">
        <v>202</v>
      </c>
      <c r="AK732" t="s">
        <v>203</v>
      </c>
      <c r="AP732" t="s">
        <v>200</v>
      </c>
      <c r="AR732" s="25"/>
      <c r="AT732" s="25">
        <v>0</v>
      </c>
      <c r="AU732" s="26"/>
      <c r="AV732" s="26"/>
      <c r="AW732" s="26"/>
      <c r="AX732" s="26" t="str">
        <f t="shared" si="33"/>
        <v/>
      </c>
      <c r="AY732" t="str">
        <f t="shared" si="34"/>
        <v/>
      </c>
      <c r="AZ732" t="s">
        <v>200</v>
      </c>
      <c r="BA732" s="3"/>
      <c r="BB732" t="str">
        <f t="shared" si="35"/>
        <v>No scrap rate (No impact);</v>
      </c>
    </row>
    <row r="733" spans="1:54" x14ac:dyDescent="0.3">
      <c r="A733" t="s">
        <v>2480</v>
      </c>
      <c r="B733" t="s">
        <v>2481</v>
      </c>
      <c r="C733" t="s">
        <v>966</v>
      </c>
      <c r="D733" t="s">
        <v>967</v>
      </c>
      <c r="G733" t="s">
        <v>1120</v>
      </c>
      <c r="H733" t="s">
        <v>1121</v>
      </c>
      <c r="J733" t="s">
        <v>1060</v>
      </c>
      <c r="L733">
        <v>0</v>
      </c>
      <c r="M733">
        <v>0.13500000000000001</v>
      </c>
      <c r="N733" t="s">
        <v>198</v>
      </c>
      <c r="O733">
        <v>0.13500000000000001</v>
      </c>
      <c r="P733" t="s">
        <v>198</v>
      </c>
      <c r="Q733" t="s">
        <v>199</v>
      </c>
      <c r="R733" s="3"/>
      <c r="W733" t="s">
        <v>200</v>
      </c>
      <c r="X733" s="25"/>
      <c r="Y733" s="26"/>
      <c r="Z733" s="27"/>
      <c r="AA733" t="s">
        <v>25</v>
      </c>
      <c r="AB733" t="s">
        <v>201</v>
      </c>
      <c r="AC733" s="3"/>
      <c r="AH733" t="s">
        <v>202</v>
      </c>
      <c r="AK733" t="s">
        <v>203</v>
      </c>
      <c r="AP733" t="s">
        <v>200</v>
      </c>
      <c r="AR733" s="25"/>
      <c r="AT733" s="25">
        <v>0</v>
      </c>
      <c r="AU733" s="26"/>
      <c r="AV733" s="26"/>
      <c r="AW733" s="26"/>
      <c r="AX733" s="26" t="str">
        <f t="shared" si="33"/>
        <v/>
      </c>
      <c r="AY733" t="str">
        <f t="shared" si="34"/>
        <v/>
      </c>
      <c r="AZ733" t="s">
        <v>200</v>
      </c>
      <c r="BA733" s="3"/>
      <c r="BB733" t="str">
        <f t="shared" si="35"/>
        <v>No scrap rate (No impact);</v>
      </c>
    </row>
    <row r="734" spans="1:54" x14ac:dyDescent="0.3">
      <c r="A734" t="s">
        <v>2482</v>
      </c>
      <c r="B734" t="s">
        <v>2483</v>
      </c>
      <c r="C734" t="s">
        <v>1256</v>
      </c>
      <c r="D734" t="s">
        <v>1257</v>
      </c>
      <c r="G734" t="s">
        <v>274</v>
      </c>
      <c r="H734" t="s">
        <v>275</v>
      </c>
      <c r="J734" t="s">
        <v>1060</v>
      </c>
      <c r="L734">
        <v>0</v>
      </c>
      <c r="M734">
        <v>0</v>
      </c>
      <c r="N734" t="s">
        <v>198</v>
      </c>
      <c r="O734">
        <v>0</v>
      </c>
      <c r="P734" t="s">
        <v>198</v>
      </c>
      <c r="Q734" t="s">
        <v>199</v>
      </c>
      <c r="R734" s="3"/>
      <c r="W734" t="s">
        <v>200</v>
      </c>
      <c r="X734" s="25"/>
      <c r="Y734" s="26"/>
      <c r="Z734" s="27"/>
      <c r="AA734" t="s">
        <v>25</v>
      </c>
      <c r="AB734" t="s">
        <v>201</v>
      </c>
      <c r="AC734" s="3"/>
      <c r="AH734" t="s">
        <v>202</v>
      </c>
      <c r="AK734" t="s">
        <v>203</v>
      </c>
      <c r="AP734" t="s">
        <v>200</v>
      </c>
      <c r="AR734" s="25"/>
      <c r="AT734" s="25">
        <v>0</v>
      </c>
      <c r="AU734" s="26"/>
      <c r="AV734" s="26"/>
      <c r="AW734" s="26"/>
      <c r="AX734" s="26" t="str">
        <f t="shared" si="33"/>
        <v/>
      </c>
      <c r="AY734" t="str">
        <f t="shared" si="34"/>
        <v/>
      </c>
      <c r="AZ734" t="s">
        <v>200</v>
      </c>
      <c r="BA734" s="3"/>
      <c r="BB734" t="str">
        <f t="shared" si="35"/>
        <v>No scrap rate (No impact);</v>
      </c>
    </row>
    <row r="735" spans="1:54" x14ac:dyDescent="0.3">
      <c r="A735" t="s">
        <v>2484</v>
      </c>
      <c r="B735" t="s">
        <v>2485</v>
      </c>
      <c r="C735" t="s">
        <v>1256</v>
      </c>
      <c r="D735" t="s">
        <v>1257</v>
      </c>
      <c r="G735" t="s">
        <v>274</v>
      </c>
      <c r="H735" t="s">
        <v>275</v>
      </c>
      <c r="J735" t="s">
        <v>1590</v>
      </c>
      <c r="L735">
        <v>0</v>
      </c>
      <c r="M735">
        <v>4.0000000000000001E-3</v>
      </c>
      <c r="N735" t="s">
        <v>198</v>
      </c>
      <c r="O735">
        <v>4.0000000000000001E-3</v>
      </c>
      <c r="P735" t="s">
        <v>198</v>
      </c>
      <c r="Q735" t="s">
        <v>199</v>
      </c>
      <c r="R735" s="3"/>
      <c r="W735" t="s">
        <v>200</v>
      </c>
      <c r="X735" s="25"/>
      <c r="Y735" s="26"/>
      <c r="Z735" s="27"/>
      <c r="AA735" t="s">
        <v>25</v>
      </c>
      <c r="AB735" t="s">
        <v>201</v>
      </c>
      <c r="AC735" s="3"/>
      <c r="AH735" t="s">
        <v>202</v>
      </c>
      <c r="AK735" t="s">
        <v>203</v>
      </c>
      <c r="AP735" t="s">
        <v>200</v>
      </c>
      <c r="AR735" s="25"/>
      <c r="AT735" s="25">
        <v>0</v>
      </c>
      <c r="AU735" s="26"/>
      <c r="AV735" s="26"/>
      <c r="AW735" s="26"/>
      <c r="AX735" s="26" t="str">
        <f t="shared" si="33"/>
        <v/>
      </c>
      <c r="AY735" t="str">
        <f t="shared" si="34"/>
        <v/>
      </c>
      <c r="AZ735" t="s">
        <v>200</v>
      </c>
      <c r="BA735" s="3"/>
      <c r="BB735" t="str">
        <f t="shared" si="35"/>
        <v>No scrap rate (No impact);</v>
      </c>
    </row>
    <row r="736" spans="1:54" x14ac:dyDescent="0.3">
      <c r="A736" t="s">
        <v>2486</v>
      </c>
      <c r="B736" t="s">
        <v>2487</v>
      </c>
      <c r="C736" t="s">
        <v>1256</v>
      </c>
      <c r="D736" t="s">
        <v>1257</v>
      </c>
      <c r="G736" t="s">
        <v>1615</v>
      </c>
      <c r="H736" t="s">
        <v>1616</v>
      </c>
      <c r="J736" t="s">
        <v>1046</v>
      </c>
      <c r="L736">
        <v>0</v>
      </c>
      <c r="M736">
        <v>8.9999999999999993E-3</v>
      </c>
      <c r="N736" t="s">
        <v>198</v>
      </c>
      <c r="O736">
        <v>8.9999999999999993E-3</v>
      </c>
      <c r="P736" t="s">
        <v>198</v>
      </c>
      <c r="Q736" t="s">
        <v>199</v>
      </c>
      <c r="R736" s="3"/>
      <c r="W736" t="s">
        <v>200</v>
      </c>
      <c r="X736" s="25"/>
      <c r="Y736" s="26"/>
      <c r="Z736" s="27"/>
      <c r="AA736" t="s">
        <v>25</v>
      </c>
      <c r="AB736" t="s">
        <v>201</v>
      </c>
      <c r="AC736" s="3"/>
      <c r="AH736" t="s">
        <v>202</v>
      </c>
      <c r="AK736" t="s">
        <v>203</v>
      </c>
      <c r="AP736" t="s">
        <v>200</v>
      </c>
      <c r="AR736" s="25"/>
      <c r="AT736" s="25">
        <v>0</v>
      </c>
      <c r="AU736" s="26"/>
      <c r="AV736" s="26"/>
      <c r="AW736" s="26"/>
      <c r="AX736" s="26" t="str">
        <f t="shared" si="33"/>
        <v/>
      </c>
      <c r="AY736" t="str">
        <f t="shared" si="34"/>
        <v/>
      </c>
      <c r="AZ736" t="s">
        <v>200</v>
      </c>
      <c r="BA736" s="3"/>
      <c r="BB736" t="str">
        <f t="shared" si="35"/>
        <v>No scrap rate (No impact);</v>
      </c>
    </row>
    <row r="737" spans="1:54" x14ac:dyDescent="0.3">
      <c r="A737" t="s">
        <v>2488</v>
      </c>
      <c r="B737" t="s">
        <v>2489</v>
      </c>
      <c r="C737" t="s">
        <v>1256</v>
      </c>
      <c r="D737" t="s">
        <v>1257</v>
      </c>
      <c r="G737" t="s">
        <v>1615</v>
      </c>
      <c r="H737" t="s">
        <v>1616</v>
      </c>
      <c r="J737" t="s">
        <v>1046</v>
      </c>
      <c r="L737">
        <v>0</v>
      </c>
      <c r="M737">
        <v>8.9999999999999993E-3</v>
      </c>
      <c r="N737" t="s">
        <v>198</v>
      </c>
      <c r="O737">
        <v>8.9999999999999993E-3</v>
      </c>
      <c r="P737" t="s">
        <v>198</v>
      </c>
      <c r="Q737" t="s">
        <v>199</v>
      </c>
      <c r="R737" s="3"/>
      <c r="W737" t="s">
        <v>200</v>
      </c>
      <c r="X737" s="25"/>
      <c r="Y737" s="26"/>
      <c r="Z737" s="27"/>
      <c r="AA737" t="s">
        <v>25</v>
      </c>
      <c r="AB737" t="s">
        <v>201</v>
      </c>
      <c r="AC737" s="3"/>
      <c r="AH737" t="s">
        <v>202</v>
      </c>
      <c r="AK737" t="s">
        <v>203</v>
      </c>
      <c r="AP737" t="s">
        <v>200</v>
      </c>
      <c r="AR737" s="25"/>
      <c r="AT737" s="25">
        <v>0</v>
      </c>
      <c r="AU737" s="26"/>
      <c r="AV737" s="26"/>
      <c r="AW737" s="26"/>
      <c r="AX737" s="26" t="str">
        <f t="shared" si="33"/>
        <v/>
      </c>
      <c r="AY737" t="str">
        <f t="shared" si="34"/>
        <v/>
      </c>
      <c r="AZ737" t="s">
        <v>200</v>
      </c>
      <c r="BA737" s="3"/>
      <c r="BB737" t="str">
        <f t="shared" si="35"/>
        <v>No scrap rate (No impact);</v>
      </c>
    </row>
    <row r="738" spans="1:54" x14ac:dyDescent="0.3">
      <c r="A738" t="s">
        <v>2490</v>
      </c>
      <c r="B738" t="s">
        <v>2491</v>
      </c>
      <c r="C738" t="s">
        <v>1256</v>
      </c>
      <c r="D738" t="s">
        <v>1257</v>
      </c>
      <c r="G738" t="s">
        <v>1522</v>
      </c>
      <c r="H738" t="s">
        <v>347</v>
      </c>
      <c r="J738" t="s">
        <v>1590</v>
      </c>
      <c r="L738">
        <v>0</v>
      </c>
      <c r="M738">
        <v>4.0000000000000001E-3</v>
      </c>
      <c r="N738" t="s">
        <v>198</v>
      </c>
      <c r="O738">
        <v>4.0000000000000001E-3</v>
      </c>
      <c r="P738" t="s">
        <v>198</v>
      </c>
      <c r="Q738" t="s">
        <v>199</v>
      </c>
      <c r="R738" s="3"/>
      <c r="W738" t="s">
        <v>200</v>
      </c>
      <c r="X738" s="25"/>
      <c r="Y738" s="26"/>
      <c r="Z738" s="27"/>
      <c r="AA738" t="s">
        <v>25</v>
      </c>
      <c r="AB738" t="s">
        <v>201</v>
      </c>
      <c r="AC738" s="3"/>
      <c r="AH738" t="s">
        <v>202</v>
      </c>
      <c r="AK738" t="s">
        <v>203</v>
      </c>
      <c r="AP738" t="s">
        <v>200</v>
      </c>
      <c r="AR738" s="25"/>
      <c r="AT738" s="25">
        <v>0</v>
      </c>
      <c r="AU738" s="26"/>
      <c r="AV738" s="26"/>
      <c r="AW738" s="26"/>
      <c r="AX738" s="26" t="str">
        <f t="shared" si="33"/>
        <v/>
      </c>
      <c r="AY738" t="str">
        <f t="shared" si="34"/>
        <v/>
      </c>
      <c r="AZ738" t="s">
        <v>200</v>
      </c>
      <c r="BA738" s="3"/>
      <c r="BB738" t="str">
        <f t="shared" si="35"/>
        <v>No scrap rate (No impact);</v>
      </c>
    </row>
    <row r="739" spans="1:54" x14ac:dyDescent="0.3">
      <c r="A739" t="s">
        <v>2492</v>
      </c>
      <c r="B739" t="s">
        <v>2493</v>
      </c>
      <c r="C739" t="s">
        <v>1256</v>
      </c>
      <c r="D739" t="s">
        <v>1257</v>
      </c>
      <c r="G739" t="s">
        <v>1615</v>
      </c>
      <c r="H739" t="s">
        <v>1616</v>
      </c>
      <c r="J739" t="s">
        <v>1060</v>
      </c>
      <c r="L739">
        <v>0</v>
      </c>
      <c r="M739">
        <v>7.0000000000000001E-3</v>
      </c>
      <c r="N739" t="s">
        <v>198</v>
      </c>
      <c r="O739">
        <v>7.0000000000000001E-3</v>
      </c>
      <c r="P739" t="s">
        <v>198</v>
      </c>
      <c r="Q739" t="s">
        <v>199</v>
      </c>
      <c r="R739" s="3"/>
      <c r="W739" t="s">
        <v>200</v>
      </c>
      <c r="X739" s="25"/>
      <c r="Y739" s="26"/>
      <c r="Z739" s="27"/>
      <c r="AA739" t="s">
        <v>25</v>
      </c>
      <c r="AB739" t="s">
        <v>201</v>
      </c>
      <c r="AC739" s="3"/>
      <c r="AH739" t="s">
        <v>202</v>
      </c>
      <c r="AK739" t="s">
        <v>203</v>
      </c>
      <c r="AP739" t="s">
        <v>200</v>
      </c>
      <c r="AR739" s="25"/>
      <c r="AT739" s="25">
        <v>0</v>
      </c>
      <c r="AU739" s="26"/>
      <c r="AV739" s="26"/>
      <c r="AW739" s="26"/>
      <c r="AX739" s="26" t="str">
        <f t="shared" si="33"/>
        <v/>
      </c>
      <c r="AY739" t="str">
        <f t="shared" si="34"/>
        <v/>
      </c>
      <c r="AZ739" t="s">
        <v>200</v>
      </c>
      <c r="BA739" s="3"/>
      <c r="BB739" t="str">
        <f t="shared" si="35"/>
        <v>No scrap rate (No impact);</v>
      </c>
    </row>
    <row r="740" spans="1:54" x14ac:dyDescent="0.3">
      <c r="A740" t="s">
        <v>2494</v>
      </c>
      <c r="B740" t="s">
        <v>2495</v>
      </c>
      <c r="C740" t="s">
        <v>1256</v>
      </c>
      <c r="D740" t="s">
        <v>1257</v>
      </c>
      <c r="G740" t="s">
        <v>196</v>
      </c>
      <c r="H740" t="s">
        <v>197</v>
      </c>
      <c r="J740" t="s">
        <v>1590</v>
      </c>
      <c r="L740">
        <v>0</v>
      </c>
      <c r="M740">
        <v>3.0000000000000001E-3</v>
      </c>
      <c r="N740" t="s">
        <v>198</v>
      </c>
      <c r="O740">
        <v>3.0000000000000001E-3</v>
      </c>
      <c r="P740" t="s">
        <v>198</v>
      </c>
      <c r="Q740" t="s">
        <v>199</v>
      </c>
      <c r="R740" s="3"/>
      <c r="W740" t="s">
        <v>200</v>
      </c>
      <c r="X740" s="25"/>
      <c r="Y740" s="26"/>
      <c r="Z740" s="27"/>
      <c r="AA740" t="s">
        <v>25</v>
      </c>
      <c r="AB740" t="s">
        <v>201</v>
      </c>
      <c r="AC740" s="3"/>
      <c r="AH740" t="s">
        <v>202</v>
      </c>
      <c r="AK740" t="s">
        <v>203</v>
      </c>
      <c r="AP740" t="s">
        <v>200</v>
      </c>
      <c r="AR740" s="25"/>
      <c r="AT740" s="25">
        <v>0</v>
      </c>
      <c r="AU740" s="26"/>
      <c r="AV740" s="26"/>
      <c r="AW740" s="26"/>
      <c r="AX740" s="26" t="str">
        <f t="shared" si="33"/>
        <v/>
      </c>
      <c r="AY740" t="str">
        <f t="shared" si="34"/>
        <v/>
      </c>
      <c r="AZ740" t="s">
        <v>200</v>
      </c>
      <c r="BA740" s="3"/>
      <c r="BB740" t="str">
        <f t="shared" si="35"/>
        <v>No scrap rate (No impact);</v>
      </c>
    </row>
    <row r="741" spans="1:54" x14ac:dyDescent="0.3">
      <c r="A741" t="s">
        <v>2496</v>
      </c>
      <c r="B741" t="s">
        <v>2497</v>
      </c>
      <c r="C741" t="s">
        <v>1018</v>
      </c>
      <c r="D741" t="s">
        <v>1019</v>
      </c>
      <c r="G741" t="s">
        <v>481</v>
      </c>
      <c r="H741" t="s">
        <v>482</v>
      </c>
      <c r="J741" t="s">
        <v>926</v>
      </c>
      <c r="L741">
        <v>0</v>
      </c>
      <c r="M741">
        <v>6.5000000000000002E-2</v>
      </c>
      <c r="N741" t="s">
        <v>198</v>
      </c>
      <c r="O741">
        <v>6.5000000000000002E-2</v>
      </c>
      <c r="P741" t="s">
        <v>198</v>
      </c>
      <c r="Q741" t="s">
        <v>199</v>
      </c>
      <c r="R741" s="3"/>
      <c r="W741" t="s">
        <v>200</v>
      </c>
      <c r="X741" s="25"/>
      <c r="Y741" s="26"/>
      <c r="Z741" s="27"/>
      <c r="AA741" t="s">
        <v>25</v>
      </c>
      <c r="AB741" t="s">
        <v>201</v>
      </c>
      <c r="AC741" s="3"/>
      <c r="AH741" t="s">
        <v>202</v>
      </c>
      <c r="AK741" t="s">
        <v>203</v>
      </c>
      <c r="AP741" t="s">
        <v>200</v>
      </c>
      <c r="AR741" s="25"/>
      <c r="AT741" s="25">
        <v>0</v>
      </c>
      <c r="AU741" s="26"/>
      <c r="AV741" s="26"/>
      <c r="AW741" s="26"/>
      <c r="AX741" s="26" t="str">
        <f t="shared" si="33"/>
        <v/>
      </c>
      <c r="AY741" t="str">
        <f t="shared" si="34"/>
        <v/>
      </c>
      <c r="AZ741" t="s">
        <v>200</v>
      </c>
      <c r="BA741" s="3"/>
      <c r="BB741" t="str">
        <f t="shared" si="35"/>
        <v>No scrap rate (No impact);</v>
      </c>
    </row>
    <row r="742" spans="1:54" x14ac:dyDescent="0.3">
      <c r="A742" t="s">
        <v>2498</v>
      </c>
      <c r="B742" t="s">
        <v>2499</v>
      </c>
      <c r="C742" t="s">
        <v>946</v>
      </c>
      <c r="D742" t="s">
        <v>947</v>
      </c>
      <c r="G742" t="s">
        <v>481</v>
      </c>
      <c r="H742" t="s">
        <v>482</v>
      </c>
      <c r="J742" t="s">
        <v>1590</v>
      </c>
      <c r="L742">
        <v>0</v>
      </c>
      <c r="M742">
        <v>5.1999999999999998E-2</v>
      </c>
      <c r="N742" t="s">
        <v>198</v>
      </c>
      <c r="O742">
        <v>5.1999999999999998E-2</v>
      </c>
      <c r="P742" t="s">
        <v>198</v>
      </c>
      <c r="Q742" t="s">
        <v>199</v>
      </c>
      <c r="R742" s="3"/>
      <c r="W742" t="s">
        <v>200</v>
      </c>
      <c r="X742" s="25"/>
      <c r="Y742" s="26"/>
      <c r="Z742" s="27"/>
      <c r="AA742" t="s">
        <v>25</v>
      </c>
      <c r="AB742" t="s">
        <v>201</v>
      </c>
      <c r="AC742" s="3"/>
      <c r="AH742" t="s">
        <v>202</v>
      </c>
      <c r="AK742" t="s">
        <v>203</v>
      </c>
      <c r="AP742" t="s">
        <v>200</v>
      </c>
      <c r="AR742" s="25"/>
      <c r="AT742" s="25">
        <v>0</v>
      </c>
      <c r="AU742" s="26"/>
      <c r="AV742" s="26"/>
      <c r="AW742" s="26"/>
      <c r="AX742" s="26" t="str">
        <f t="shared" si="33"/>
        <v/>
      </c>
      <c r="AY742" t="str">
        <f t="shared" si="34"/>
        <v/>
      </c>
      <c r="AZ742" t="s">
        <v>200</v>
      </c>
      <c r="BA742" s="3"/>
      <c r="BB742" t="str">
        <f t="shared" si="35"/>
        <v>No scrap rate (No impact);</v>
      </c>
    </row>
    <row r="743" spans="1:54" x14ac:dyDescent="0.3">
      <c r="A743" t="s">
        <v>2500</v>
      </c>
      <c r="B743" t="s">
        <v>2501</v>
      </c>
      <c r="C743" t="s">
        <v>1018</v>
      </c>
      <c r="D743" t="s">
        <v>1019</v>
      </c>
      <c r="G743" t="s">
        <v>481</v>
      </c>
      <c r="H743" t="s">
        <v>482</v>
      </c>
      <c r="J743" t="s">
        <v>926</v>
      </c>
      <c r="L743">
        <v>0</v>
      </c>
      <c r="M743">
        <v>0.10100000000000001</v>
      </c>
      <c r="N743" t="s">
        <v>198</v>
      </c>
      <c r="O743">
        <v>0.10100000000000001</v>
      </c>
      <c r="P743" t="s">
        <v>198</v>
      </c>
      <c r="Q743" t="s">
        <v>199</v>
      </c>
      <c r="R743" s="3"/>
      <c r="W743" t="s">
        <v>200</v>
      </c>
      <c r="X743" s="25"/>
      <c r="Y743" s="26"/>
      <c r="Z743" s="27"/>
      <c r="AA743" t="s">
        <v>25</v>
      </c>
      <c r="AB743" t="s">
        <v>201</v>
      </c>
      <c r="AC743" s="3"/>
      <c r="AH743" t="s">
        <v>202</v>
      </c>
      <c r="AK743" t="s">
        <v>203</v>
      </c>
      <c r="AP743" t="s">
        <v>200</v>
      </c>
      <c r="AR743" s="25"/>
      <c r="AT743" s="25">
        <v>0</v>
      </c>
      <c r="AU743" s="26"/>
      <c r="AV743" s="26"/>
      <c r="AW743" s="26"/>
      <c r="AX743" s="26" t="str">
        <f t="shared" si="33"/>
        <v/>
      </c>
      <c r="AY743" t="str">
        <f t="shared" si="34"/>
        <v/>
      </c>
      <c r="AZ743" t="s">
        <v>200</v>
      </c>
      <c r="BA743" s="3"/>
      <c r="BB743" t="str">
        <f t="shared" si="35"/>
        <v>No scrap rate (No impact);</v>
      </c>
    </row>
    <row r="744" spans="1:54" x14ac:dyDescent="0.3">
      <c r="A744" t="s">
        <v>2502</v>
      </c>
      <c r="B744" t="s">
        <v>2503</v>
      </c>
      <c r="C744" t="s">
        <v>946</v>
      </c>
      <c r="D744" t="s">
        <v>947</v>
      </c>
      <c r="G744" t="s">
        <v>481</v>
      </c>
      <c r="H744" t="s">
        <v>482</v>
      </c>
      <c r="J744" t="s">
        <v>926</v>
      </c>
      <c r="L744">
        <v>0</v>
      </c>
      <c r="M744">
        <v>9.1999999999999998E-2</v>
      </c>
      <c r="N744" t="s">
        <v>198</v>
      </c>
      <c r="O744">
        <v>9.1999999999999998E-2</v>
      </c>
      <c r="P744" t="s">
        <v>198</v>
      </c>
      <c r="Q744" t="s">
        <v>199</v>
      </c>
      <c r="R744" s="3"/>
      <c r="W744" t="s">
        <v>200</v>
      </c>
      <c r="X744" s="25"/>
      <c r="Y744" s="26"/>
      <c r="Z744" s="27"/>
      <c r="AA744" t="s">
        <v>25</v>
      </c>
      <c r="AB744" t="s">
        <v>201</v>
      </c>
      <c r="AC744" s="3"/>
      <c r="AH744" t="s">
        <v>202</v>
      </c>
      <c r="AK744" t="s">
        <v>203</v>
      </c>
      <c r="AP744" t="s">
        <v>200</v>
      </c>
      <c r="AR744" s="25"/>
      <c r="AT744" s="25">
        <v>0</v>
      </c>
      <c r="AU744" s="26"/>
      <c r="AV744" s="26"/>
      <c r="AW744" s="26"/>
      <c r="AX744" s="26" t="str">
        <f t="shared" si="33"/>
        <v/>
      </c>
      <c r="AY744" t="str">
        <f t="shared" si="34"/>
        <v/>
      </c>
      <c r="AZ744" t="s">
        <v>200</v>
      </c>
      <c r="BA744" s="3"/>
      <c r="BB744" t="str">
        <f t="shared" si="35"/>
        <v>No scrap rate (No impact);</v>
      </c>
    </row>
    <row r="745" spans="1:54" x14ac:dyDescent="0.3">
      <c r="A745" t="s">
        <v>2504</v>
      </c>
      <c r="B745" t="s">
        <v>2505</v>
      </c>
      <c r="C745" t="s">
        <v>1110</v>
      </c>
      <c r="D745" t="s">
        <v>1111</v>
      </c>
      <c r="G745" t="s">
        <v>481</v>
      </c>
      <c r="H745" t="s">
        <v>482</v>
      </c>
      <c r="J745" t="s">
        <v>1590</v>
      </c>
      <c r="L745">
        <v>0</v>
      </c>
      <c r="M745">
        <v>0.02</v>
      </c>
      <c r="N745" t="s">
        <v>198</v>
      </c>
      <c r="O745">
        <v>0.02</v>
      </c>
      <c r="P745" t="s">
        <v>198</v>
      </c>
      <c r="Q745" t="s">
        <v>199</v>
      </c>
      <c r="R745" s="3"/>
      <c r="W745" t="s">
        <v>200</v>
      </c>
      <c r="X745" s="25"/>
      <c r="Y745" s="26"/>
      <c r="Z745" s="27"/>
      <c r="AA745" t="s">
        <v>25</v>
      </c>
      <c r="AB745" t="s">
        <v>201</v>
      </c>
      <c r="AC745" s="3"/>
      <c r="AH745" t="s">
        <v>202</v>
      </c>
      <c r="AK745" t="s">
        <v>203</v>
      </c>
      <c r="AP745" t="s">
        <v>200</v>
      </c>
      <c r="AR745" s="25"/>
      <c r="AT745" s="25">
        <v>0</v>
      </c>
      <c r="AU745" s="26"/>
      <c r="AV745" s="26"/>
      <c r="AW745" s="26"/>
      <c r="AX745" s="26" t="str">
        <f t="shared" si="33"/>
        <v/>
      </c>
      <c r="AY745" t="str">
        <f t="shared" si="34"/>
        <v/>
      </c>
      <c r="AZ745" t="s">
        <v>200</v>
      </c>
      <c r="BA745" s="3"/>
      <c r="BB745" t="str">
        <f t="shared" si="35"/>
        <v>No scrap rate (No impact);</v>
      </c>
    </row>
    <row r="746" spans="1:54" x14ac:dyDescent="0.3">
      <c r="A746" t="s">
        <v>2506</v>
      </c>
      <c r="B746" t="s">
        <v>2507</v>
      </c>
      <c r="C746" t="s">
        <v>1110</v>
      </c>
      <c r="D746" t="s">
        <v>1111</v>
      </c>
      <c r="G746" t="s">
        <v>481</v>
      </c>
      <c r="H746" t="s">
        <v>482</v>
      </c>
      <c r="J746" t="s">
        <v>1590</v>
      </c>
      <c r="L746">
        <v>0</v>
      </c>
      <c r="M746">
        <v>1.2E-2</v>
      </c>
      <c r="N746" t="s">
        <v>198</v>
      </c>
      <c r="O746">
        <v>1.2E-2</v>
      </c>
      <c r="P746" t="s">
        <v>198</v>
      </c>
      <c r="Q746" t="s">
        <v>199</v>
      </c>
      <c r="R746" s="3"/>
      <c r="W746" t="s">
        <v>200</v>
      </c>
      <c r="X746" s="25"/>
      <c r="Y746" s="26"/>
      <c r="Z746" s="27"/>
      <c r="AA746" t="s">
        <v>25</v>
      </c>
      <c r="AB746" t="s">
        <v>201</v>
      </c>
      <c r="AC746" s="3"/>
      <c r="AH746" t="s">
        <v>202</v>
      </c>
      <c r="AK746" t="s">
        <v>203</v>
      </c>
      <c r="AP746" t="s">
        <v>200</v>
      </c>
      <c r="AR746" s="25"/>
      <c r="AT746" s="25">
        <v>0</v>
      </c>
      <c r="AU746" s="26"/>
      <c r="AV746" s="26"/>
      <c r="AW746" s="26"/>
      <c r="AX746" s="26" t="str">
        <f t="shared" si="33"/>
        <v/>
      </c>
      <c r="AY746" t="str">
        <f t="shared" si="34"/>
        <v/>
      </c>
      <c r="AZ746" t="s">
        <v>200</v>
      </c>
      <c r="BA746" s="3"/>
      <c r="BB746" t="str">
        <f t="shared" si="35"/>
        <v>No scrap rate (No impact);</v>
      </c>
    </row>
    <row r="747" spans="1:54" x14ac:dyDescent="0.3">
      <c r="A747" t="s">
        <v>2508</v>
      </c>
      <c r="B747" t="s">
        <v>2509</v>
      </c>
      <c r="C747" t="s">
        <v>946</v>
      </c>
      <c r="D747" t="s">
        <v>947</v>
      </c>
      <c r="G747" t="s">
        <v>433</v>
      </c>
      <c r="H747" t="s">
        <v>434</v>
      </c>
      <c r="J747" t="s">
        <v>926</v>
      </c>
      <c r="L747">
        <v>0</v>
      </c>
      <c r="M747">
        <v>0.15</v>
      </c>
      <c r="N747" t="s">
        <v>198</v>
      </c>
      <c r="O747">
        <v>0.15</v>
      </c>
      <c r="P747" t="s">
        <v>198</v>
      </c>
      <c r="Q747" t="s">
        <v>199</v>
      </c>
      <c r="R747" s="3"/>
      <c r="W747" t="s">
        <v>200</v>
      </c>
      <c r="X747" s="25"/>
      <c r="Y747" s="26"/>
      <c r="Z747" s="27"/>
      <c r="AA747" t="s">
        <v>25</v>
      </c>
      <c r="AB747" t="s">
        <v>201</v>
      </c>
      <c r="AC747" s="3"/>
      <c r="AH747" t="s">
        <v>202</v>
      </c>
      <c r="AK747" t="s">
        <v>203</v>
      </c>
      <c r="AP747" t="s">
        <v>200</v>
      </c>
      <c r="AR747" s="25"/>
      <c r="AT747" s="25">
        <v>0</v>
      </c>
      <c r="AU747" s="26"/>
      <c r="AV747" s="26"/>
      <c r="AW747" s="26"/>
      <c r="AX747" s="26" t="str">
        <f t="shared" si="33"/>
        <v/>
      </c>
      <c r="AY747" t="str">
        <f t="shared" si="34"/>
        <v/>
      </c>
      <c r="AZ747" t="s">
        <v>200</v>
      </c>
      <c r="BA747" s="3"/>
      <c r="BB747" t="str">
        <f t="shared" si="35"/>
        <v>No scrap rate (No impact);</v>
      </c>
    </row>
    <row r="748" spans="1:54" x14ac:dyDescent="0.3">
      <c r="A748" t="s">
        <v>2510</v>
      </c>
      <c r="B748" t="s">
        <v>2511</v>
      </c>
      <c r="C748" t="s">
        <v>1256</v>
      </c>
      <c r="D748" t="s">
        <v>1257</v>
      </c>
      <c r="G748" t="s">
        <v>1522</v>
      </c>
      <c r="H748" t="s">
        <v>347</v>
      </c>
      <c r="J748" t="s">
        <v>1060</v>
      </c>
      <c r="L748">
        <v>0</v>
      </c>
      <c r="M748">
        <v>1E-3</v>
      </c>
      <c r="N748" t="s">
        <v>198</v>
      </c>
      <c r="O748">
        <v>1E-3</v>
      </c>
      <c r="P748" t="s">
        <v>198</v>
      </c>
      <c r="Q748" t="s">
        <v>199</v>
      </c>
      <c r="R748" s="3"/>
      <c r="W748" t="s">
        <v>200</v>
      </c>
      <c r="X748" s="25"/>
      <c r="Y748" s="26"/>
      <c r="Z748" s="27"/>
      <c r="AA748" t="s">
        <v>25</v>
      </c>
      <c r="AB748" t="s">
        <v>201</v>
      </c>
      <c r="AC748" s="3"/>
      <c r="AH748" t="s">
        <v>202</v>
      </c>
      <c r="AK748" t="s">
        <v>203</v>
      </c>
      <c r="AP748" t="s">
        <v>200</v>
      </c>
      <c r="AR748" s="25"/>
      <c r="AT748" s="25">
        <v>0</v>
      </c>
      <c r="AU748" s="26"/>
      <c r="AV748" s="26"/>
      <c r="AW748" s="26"/>
      <c r="AX748" s="26" t="str">
        <f t="shared" si="33"/>
        <v/>
      </c>
      <c r="AY748" t="str">
        <f t="shared" si="34"/>
        <v/>
      </c>
      <c r="AZ748" t="s">
        <v>200</v>
      </c>
      <c r="BA748" s="3"/>
      <c r="BB748" t="str">
        <f t="shared" si="35"/>
        <v>No scrap rate (No impact);</v>
      </c>
    </row>
    <row r="749" spans="1:54" x14ac:dyDescent="0.3">
      <c r="A749" t="s">
        <v>2512</v>
      </c>
      <c r="B749" t="s">
        <v>2513</v>
      </c>
      <c r="C749" t="s">
        <v>1256</v>
      </c>
      <c r="D749" t="s">
        <v>1257</v>
      </c>
      <c r="G749" t="s">
        <v>1522</v>
      </c>
      <c r="H749" t="s">
        <v>347</v>
      </c>
      <c r="J749" t="s">
        <v>1046</v>
      </c>
      <c r="L749">
        <v>0</v>
      </c>
      <c r="M749">
        <v>1.2E-2</v>
      </c>
      <c r="N749" t="s">
        <v>198</v>
      </c>
      <c r="O749">
        <v>1.2E-2</v>
      </c>
      <c r="P749" t="s">
        <v>198</v>
      </c>
      <c r="Q749" t="s">
        <v>199</v>
      </c>
      <c r="R749" s="3"/>
      <c r="W749" t="s">
        <v>200</v>
      </c>
      <c r="X749" s="25"/>
      <c r="Y749" s="26"/>
      <c r="Z749" s="27"/>
      <c r="AA749" t="s">
        <v>25</v>
      </c>
      <c r="AB749" t="s">
        <v>201</v>
      </c>
      <c r="AC749" s="3"/>
      <c r="AH749" t="s">
        <v>202</v>
      </c>
      <c r="AK749" t="s">
        <v>203</v>
      </c>
      <c r="AP749" t="s">
        <v>200</v>
      </c>
      <c r="AR749" s="25"/>
      <c r="AT749" s="25">
        <v>0</v>
      </c>
      <c r="AU749" s="26"/>
      <c r="AV749" s="26"/>
      <c r="AW749" s="26"/>
      <c r="AX749" s="26" t="str">
        <f t="shared" si="33"/>
        <v/>
      </c>
      <c r="AY749" t="str">
        <f t="shared" si="34"/>
        <v/>
      </c>
      <c r="AZ749" t="s">
        <v>200</v>
      </c>
      <c r="BA749" s="3"/>
      <c r="BB749" t="str">
        <f t="shared" si="35"/>
        <v>No scrap rate (No impact);</v>
      </c>
    </row>
    <row r="750" spans="1:54" x14ac:dyDescent="0.3">
      <c r="A750" t="s">
        <v>2514</v>
      </c>
      <c r="B750" t="s">
        <v>2515</v>
      </c>
      <c r="C750" t="s">
        <v>1256</v>
      </c>
      <c r="D750" t="s">
        <v>1257</v>
      </c>
      <c r="G750" t="s">
        <v>1522</v>
      </c>
      <c r="H750" t="s">
        <v>347</v>
      </c>
      <c r="J750" t="s">
        <v>1590</v>
      </c>
      <c r="L750">
        <v>0</v>
      </c>
      <c r="M750">
        <v>4.0000000000000001E-3</v>
      </c>
      <c r="N750" t="s">
        <v>198</v>
      </c>
      <c r="O750">
        <v>4.0000000000000001E-3</v>
      </c>
      <c r="P750" t="s">
        <v>198</v>
      </c>
      <c r="Q750" t="s">
        <v>199</v>
      </c>
      <c r="R750" s="3"/>
      <c r="W750" t="s">
        <v>200</v>
      </c>
      <c r="X750" s="25"/>
      <c r="Y750" s="26"/>
      <c r="Z750" s="27"/>
      <c r="AA750" t="s">
        <v>25</v>
      </c>
      <c r="AB750" t="s">
        <v>201</v>
      </c>
      <c r="AC750" s="3"/>
      <c r="AH750" t="s">
        <v>202</v>
      </c>
      <c r="AK750" t="s">
        <v>203</v>
      </c>
      <c r="AP750" t="s">
        <v>200</v>
      </c>
      <c r="AR750" s="25"/>
      <c r="AT750" s="25">
        <v>0</v>
      </c>
      <c r="AU750" s="26"/>
      <c r="AV750" s="26"/>
      <c r="AW750" s="26"/>
      <c r="AX750" s="26" t="str">
        <f t="shared" si="33"/>
        <v/>
      </c>
      <c r="AY750" t="str">
        <f t="shared" si="34"/>
        <v/>
      </c>
      <c r="AZ750" t="s">
        <v>200</v>
      </c>
      <c r="BA750" s="3"/>
      <c r="BB750" t="str">
        <f t="shared" si="35"/>
        <v>No scrap rate (No impact);</v>
      </c>
    </row>
    <row r="751" spans="1:54" x14ac:dyDescent="0.3">
      <c r="A751" t="s">
        <v>2516</v>
      </c>
      <c r="B751" t="s">
        <v>2517</v>
      </c>
      <c r="C751" t="s">
        <v>1256</v>
      </c>
      <c r="D751" t="s">
        <v>1257</v>
      </c>
      <c r="G751" t="s">
        <v>2518</v>
      </c>
      <c r="H751" t="s">
        <v>2519</v>
      </c>
      <c r="J751" t="s">
        <v>1046</v>
      </c>
      <c r="L751">
        <v>0</v>
      </c>
      <c r="M751">
        <v>1E-3</v>
      </c>
      <c r="N751" t="s">
        <v>198</v>
      </c>
      <c r="O751">
        <v>1E-3</v>
      </c>
      <c r="P751" t="s">
        <v>198</v>
      </c>
      <c r="Q751" t="s">
        <v>199</v>
      </c>
      <c r="R751" s="3"/>
      <c r="W751" t="s">
        <v>200</v>
      </c>
      <c r="X751" s="25"/>
      <c r="Y751" s="26"/>
      <c r="Z751" s="27"/>
      <c r="AA751" t="s">
        <v>25</v>
      </c>
      <c r="AB751" t="s">
        <v>201</v>
      </c>
      <c r="AC751" s="3"/>
      <c r="AH751" t="s">
        <v>202</v>
      </c>
      <c r="AK751" t="s">
        <v>203</v>
      </c>
      <c r="AP751" t="s">
        <v>200</v>
      </c>
      <c r="AR751" s="25"/>
      <c r="AT751" s="25">
        <v>0</v>
      </c>
      <c r="AU751" s="26"/>
      <c r="AV751" s="26"/>
      <c r="AW751" s="26"/>
      <c r="AX751" s="26" t="str">
        <f t="shared" si="33"/>
        <v/>
      </c>
      <c r="AY751" t="str">
        <f t="shared" si="34"/>
        <v/>
      </c>
      <c r="AZ751" t="s">
        <v>200</v>
      </c>
      <c r="BA751" s="3"/>
      <c r="BB751" t="str">
        <f t="shared" si="35"/>
        <v>No scrap rate (No impact);</v>
      </c>
    </row>
    <row r="752" spans="1:54" x14ac:dyDescent="0.3">
      <c r="A752" t="s">
        <v>2520</v>
      </c>
      <c r="B752" t="s">
        <v>2521</v>
      </c>
      <c r="C752" t="s">
        <v>1256</v>
      </c>
      <c r="D752" t="s">
        <v>1257</v>
      </c>
      <c r="G752" t="s">
        <v>196</v>
      </c>
      <c r="H752" t="s">
        <v>197</v>
      </c>
      <c r="J752" t="s">
        <v>1590</v>
      </c>
      <c r="L752">
        <v>0</v>
      </c>
      <c r="M752">
        <v>3.0000000000000001E-3</v>
      </c>
      <c r="N752" t="s">
        <v>198</v>
      </c>
      <c r="O752">
        <v>3.0000000000000001E-3</v>
      </c>
      <c r="P752" t="s">
        <v>198</v>
      </c>
      <c r="Q752" t="s">
        <v>199</v>
      </c>
      <c r="R752" s="3"/>
      <c r="W752" t="s">
        <v>200</v>
      </c>
      <c r="X752" s="25"/>
      <c r="Y752" s="26"/>
      <c r="Z752" s="27"/>
      <c r="AA752" t="s">
        <v>25</v>
      </c>
      <c r="AB752" t="s">
        <v>201</v>
      </c>
      <c r="AC752" s="3"/>
      <c r="AH752" t="s">
        <v>202</v>
      </c>
      <c r="AK752" t="s">
        <v>203</v>
      </c>
      <c r="AP752" t="s">
        <v>200</v>
      </c>
      <c r="AR752" s="25"/>
      <c r="AT752" s="25">
        <v>0</v>
      </c>
      <c r="AU752" s="26"/>
      <c r="AV752" s="26"/>
      <c r="AW752" s="26"/>
      <c r="AX752" s="26" t="str">
        <f t="shared" si="33"/>
        <v/>
      </c>
      <c r="AY752" t="str">
        <f t="shared" si="34"/>
        <v/>
      </c>
      <c r="AZ752" t="s">
        <v>200</v>
      </c>
      <c r="BA752" s="3"/>
      <c r="BB752" t="str">
        <f t="shared" si="35"/>
        <v>No scrap rate (No impact);</v>
      </c>
    </row>
    <row r="753" spans="1:54" x14ac:dyDescent="0.3">
      <c r="A753" t="s">
        <v>2522</v>
      </c>
      <c r="B753" t="s">
        <v>2523</v>
      </c>
      <c r="C753" t="s">
        <v>1110</v>
      </c>
      <c r="D753" t="s">
        <v>1111</v>
      </c>
      <c r="G753" t="s">
        <v>220</v>
      </c>
      <c r="H753" t="s">
        <v>221</v>
      </c>
      <c r="J753" t="s">
        <v>1089</v>
      </c>
      <c r="L753">
        <v>0</v>
      </c>
      <c r="M753">
        <v>0.45700000000000002</v>
      </c>
      <c r="N753" t="s">
        <v>198</v>
      </c>
      <c r="O753">
        <v>0.45700000000000002</v>
      </c>
      <c r="P753" t="s">
        <v>198</v>
      </c>
      <c r="Q753" t="s">
        <v>199</v>
      </c>
      <c r="R753" s="3"/>
      <c r="W753" t="s">
        <v>200</v>
      </c>
      <c r="X753" s="25"/>
      <c r="Y753" s="26"/>
      <c r="Z753" s="27"/>
      <c r="AA753" t="s">
        <v>25</v>
      </c>
      <c r="AB753" t="s">
        <v>201</v>
      </c>
      <c r="AC753" s="3"/>
      <c r="AH753" t="s">
        <v>202</v>
      </c>
      <c r="AK753" t="s">
        <v>203</v>
      </c>
      <c r="AP753" t="s">
        <v>200</v>
      </c>
      <c r="AR753" s="25"/>
      <c r="AT753" s="25">
        <v>0</v>
      </c>
      <c r="AU753" s="26"/>
      <c r="AV753" s="26"/>
      <c r="AW753" s="26"/>
      <c r="AX753" s="26" t="str">
        <f t="shared" si="33"/>
        <v/>
      </c>
      <c r="AY753" t="str">
        <f t="shared" si="34"/>
        <v/>
      </c>
      <c r="AZ753" t="s">
        <v>200</v>
      </c>
      <c r="BA753" s="3"/>
      <c r="BB753" t="str">
        <f t="shared" si="35"/>
        <v>No scrap rate (No impact);</v>
      </c>
    </row>
    <row r="754" spans="1:54" x14ac:dyDescent="0.3">
      <c r="A754" t="s">
        <v>2524</v>
      </c>
      <c r="B754" t="s">
        <v>2525</v>
      </c>
      <c r="C754" t="s">
        <v>1256</v>
      </c>
      <c r="D754" t="s">
        <v>1257</v>
      </c>
      <c r="G754" t="s">
        <v>220</v>
      </c>
      <c r="H754" t="s">
        <v>221</v>
      </c>
      <c r="J754" t="s">
        <v>1590</v>
      </c>
      <c r="L754">
        <v>0</v>
      </c>
      <c r="M754">
        <v>1E-3</v>
      </c>
      <c r="N754" t="s">
        <v>198</v>
      </c>
      <c r="O754">
        <v>1E-3</v>
      </c>
      <c r="P754" t="s">
        <v>198</v>
      </c>
      <c r="Q754" t="s">
        <v>199</v>
      </c>
      <c r="R754" s="3"/>
      <c r="W754" t="s">
        <v>200</v>
      </c>
      <c r="X754" s="25"/>
      <c r="Y754" s="26"/>
      <c r="Z754" s="27"/>
      <c r="AA754" t="s">
        <v>25</v>
      </c>
      <c r="AB754" t="s">
        <v>201</v>
      </c>
      <c r="AC754" s="3"/>
      <c r="AH754" t="s">
        <v>202</v>
      </c>
      <c r="AK754" t="s">
        <v>203</v>
      </c>
      <c r="AP754" t="s">
        <v>200</v>
      </c>
      <c r="AR754" s="25"/>
      <c r="AT754" s="25">
        <v>0</v>
      </c>
      <c r="AU754" s="26"/>
      <c r="AV754" s="26"/>
      <c r="AW754" s="26"/>
      <c r="AX754" s="26" t="str">
        <f t="shared" si="33"/>
        <v/>
      </c>
      <c r="AY754" t="str">
        <f t="shared" si="34"/>
        <v/>
      </c>
      <c r="AZ754" t="s">
        <v>200</v>
      </c>
      <c r="BA754" s="3"/>
      <c r="BB754" t="str">
        <f t="shared" si="35"/>
        <v>No scrap rate (No impact);</v>
      </c>
    </row>
    <row r="755" spans="1:54" x14ac:dyDescent="0.3">
      <c r="A755" t="s">
        <v>2526</v>
      </c>
      <c r="B755" t="s">
        <v>2527</v>
      </c>
      <c r="C755" t="s">
        <v>1110</v>
      </c>
      <c r="D755" t="s">
        <v>1111</v>
      </c>
      <c r="G755" t="s">
        <v>288</v>
      </c>
      <c r="H755" t="s">
        <v>289</v>
      </c>
      <c r="J755" t="s">
        <v>1089</v>
      </c>
      <c r="L755">
        <v>0</v>
      </c>
      <c r="M755">
        <v>1.4E-2</v>
      </c>
      <c r="N755" t="s">
        <v>198</v>
      </c>
      <c r="O755">
        <v>1.4E-2</v>
      </c>
      <c r="P755" t="s">
        <v>198</v>
      </c>
      <c r="Q755" t="s">
        <v>199</v>
      </c>
      <c r="R755" s="3"/>
      <c r="W755" t="s">
        <v>200</v>
      </c>
      <c r="X755" s="25"/>
      <c r="Y755" s="26"/>
      <c r="Z755" s="27"/>
      <c r="AA755" t="s">
        <v>25</v>
      </c>
      <c r="AB755" t="s">
        <v>201</v>
      </c>
      <c r="AC755" s="3"/>
      <c r="AH755" t="s">
        <v>202</v>
      </c>
      <c r="AK755" t="s">
        <v>203</v>
      </c>
      <c r="AP755" t="s">
        <v>200</v>
      </c>
      <c r="AR755" s="25"/>
      <c r="AT755" s="25">
        <v>0</v>
      </c>
      <c r="AU755" s="26"/>
      <c r="AV755" s="26"/>
      <c r="AW755" s="26"/>
      <c r="AX755" s="26" t="str">
        <f t="shared" si="33"/>
        <v/>
      </c>
      <c r="AY755" t="str">
        <f t="shared" si="34"/>
        <v/>
      </c>
      <c r="AZ755" t="s">
        <v>200</v>
      </c>
      <c r="BA755" s="3"/>
      <c r="BB755" t="str">
        <f t="shared" si="35"/>
        <v>No scrap rate (No impact);</v>
      </c>
    </row>
    <row r="756" spans="1:54" x14ac:dyDescent="0.3">
      <c r="A756" t="s">
        <v>2528</v>
      </c>
      <c r="B756" t="s">
        <v>2529</v>
      </c>
      <c r="C756" t="s">
        <v>966</v>
      </c>
      <c r="D756" t="s">
        <v>967</v>
      </c>
      <c r="G756" t="s">
        <v>1078</v>
      </c>
      <c r="H756" t="s">
        <v>1079</v>
      </c>
      <c r="J756" t="s">
        <v>2530</v>
      </c>
      <c r="L756">
        <v>0</v>
      </c>
      <c r="M756">
        <v>0.02</v>
      </c>
      <c r="N756" t="s">
        <v>198</v>
      </c>
      <c r="O756">
        <v>0.02</v>
      </c>
      <c r="P756" t="s">
        <v>198</v>
      </c>
      <c r="Q756" t="s">
        <v>199</v>
      </c>
      <c r="R756" s="3"/>
      <c r="W756" t="s">
        <v>200</v>
      </c>
      <c r="X756" s="25"/>
      <c r="Y756" s="26"/>
      <c r="Z756" s="27"/>
      <c r="AA756" t="s">
        <v>25</v>
      </c>
      <c r="AB756" t="s">
        <v>201</v>
      </c>
      <c r="AC756" s="3"/>
      <c r="AH756" t="s">
        <v>202</v>
      </c>
      <c r="AK756" t="s">
        <v>203</v>
      </c>
      <c r="AP756" t="s">
        <v>200</v>
      </c>
      <c r="AR756" s="25"/>
      <c r="AT756" s="25">
        <v>0</v>
      </c>
      <c r="AU756" s="26"/>
      <c r="AV756" s="26"/>
      <c r="AW756" s="26"/>
      <c r="AX756" s="26" t="str">
        <f t="shared" si="33"/>
        <v/>
      </c>
      <c r="AY756" t="str">
        <f t="shared" si="34"/>
        <v/>
      </c>
      <c r="AZ756" t="s">
        <v>200</v>
      </c>
      <c r="BA756" s="3"/>
      <c r="BB756" t="str">
        <f t="shared" si="35"/>
        <v>No scrap rate (No impact);</v>
      </c>
    </row>
    <row r="757" spans="1:54" x14ac:dyDescent="0.3">
      <c r="A757" t="s">
        <v>2531</v>
      </c>
      <c r="B757" t="s">
        <v>2532</v>
      </c>
      <c r="C757" t="s">
        <v>966</v>
      </c>
      <c r="D757" t="s">
        <v>967</v>
      </c>
      <c r="G757" t="s">
        <v>1078</v>
      </c>
      <c r="H757" t="s">
        <v>1079</v>
      </c>
      <c r="J757" t="s">
        <v>2530</v>
      </c>
      <c r="L757">
        <v>0</v>
      </c>
      <c r="M757">
        <v>0.02</v>
      </c>
      <c r="N757" t="s">
        <v>198</v>
      </c>
      <c r="O757">
        <v>0.02</v>
      </c>
      <c r="P757" t="s">
        <v>198</v>
      </c>
      <c r="Q757" t="s">
        <v>199</v>
      </c>
      <c r="R757" s="3"/>
      <c r="W757" t="s">
        <v>200</v>
      </c>
      <c r="X757" s="25"/>
      <c r="Y757" s="26"/>
      <c r="Z757" s="27"/>
      <c r="AA757" t="s">
        <v>25</v>
      </c>
      <c r="AB757" t="s">
        <v>201</v>
      </c>
      <c r="AC757" s="3"/>
      <c r="AH757" t="s">
        <v>202</v>
      </c>
      <c r="AK757" t="s">
        <v>203</v>
      </c>
      <c r="AP757" t="s">
        <v>200</v>
      </c>
      <c r="AR757" s="25"/>
      <c r="AT757" s="25">
        <v>0</v>
      </c>
      <c r="AU757" s="26"/>
      <c r="AV757" s="26"/>
      <c r="AW757" s="26"/>
      <c r="AX757" s="26" t="str">
        <f t="shared" si="33"/>
        <v/>
      </c>
      <c r="AY757" t="str">
        <f t="shared" si="34"/>
        <v/>
      </c>
      <c r="AZ757" t="s">
        <v>200</v>
      </c>
      <c r="BA757" s="3"/>
      <c r="BB757" t="str">
        <f t="shared" si="35"/>
        <v>No scrap rate (No impact);</v>
      </c>
    </row>
    <row r="758" spans="1:54" x14ac:dyDescent="0.3">
      <c r="A758" t="s">
        <v>2533</v>
      </c>
      <c r="B758" t="s">
        <v>2534</v>
      </c>
      <c r="C758" t="s">
        <v>966</v>
      </c>
      <c r="D758" t="s">
        <v>967</v>
      </c>
      <c r="G758" t="s">
        <v>1078</v>
      </c>
      <c r="H758" t="s">
        <v>1079</v>
      </c>
      <c r="J758" t="s">
        <v>2530</v>
      </c>
      <c r="L758">
        <v>0</v>
      </c>
      <c r="M758">
        <v>0.02</v>
      </c>
      <c r="N758" t="s">
        <v>198</v>
      </c>
      <c r="O758">
        <v>0.02</v>
      </c>
      <c r="P758" t="s">
        <v>198</v>
      </c>
      <c r="Q758" t="s">
        <v>199</v>
      </c>
      <c r="R758" s="3"/>
      <c r="W758" t="s">
        <v>200</v>
      </c>
      <c r="X758" s="25"/>
      <c r="Y758" s="26"/>
      <c r="Z758" s="27"/>
      <c r="AA758" t="s">
        <v>25</v>
      </c>
      <c r="AB758" t="s">
        <v>201</v>
      </c>
      <c r="AC758" s="3"/>
      <c r="AH758" t="s">
        <v>202</v>
      </c>
      <c r="AK758" t="s">
        <v>203</v>
      </c>
      <c r="AP758" t="s">
        <v>200</v>
      </c>
      <c r="AR758" s="25"/>
      <c r="AT758" s="25">
        <v>0</v>
      </c>
      <c r="AU758" s="26"/>
      <c r="AV758" s="26"/>
      <c r="AW758" s="26"/>
      <c r="AX758" s="26" t="str">
        <f t="shared" si="33"/>
        <v/>
      </c>
      <c r="AY758" t="str">
        <f t="shared" si="34"/>
        <v/>
      </c>
      <c r="AZ758" t="s">
        <v>200</v>
      </c>
      <c r="BA758" s="3"/>
      <c r="BB758" t="str">
        <f t="shared" si="35"/>
        <v>No scrap rate (No impact);</v>
      </c>
    </row>
    <row r="759" spans="1:54" x14ac:dyDescent="0.3">
      <c r="A759" t="s">
        <v>2535</v>
      </c>
      <c r="B759" t="s">
        <v>2536</v>
      </c>
      <c r="C759" t="s">
        <v>966</v>
      </c>
      <c r="D759" t="s">
        <v>967</v>
      </c>
      <c r="G759" t="s">
        <v>1078</v>
      </c>
      <c r="H759" t="s">
        <v>1079</v>
      </c>
      <c r="J759" t="s">
        <v>2530</v>
      </c>
      <c r="L759">
        <v>0</v>
      </c>
      <c r="M759">
        <v>0.02</v>
      </c>
      <c r="N759" t="s">
        <v>198</v>
      </c>
      <c r="O759">
        <v>0.02</v>
      </c>
      <c r="P759" t="s">
        <v>198</v>
      </c>
      <c r="Q759" t="s">
        <v>199</v>
      </c>
      <c r="R759" s="3"/>
      <c r="W759" t="s">
        <v>200</v>
      </c>
      <c r="X759" s="25"/>
      <c r="Y759" s="26"/>
      <c r="Z759" s="27"/>
      <c r="AA759" t="s">
        <v>25</v>
      </c>
      <c r="AB759" t="s">
        <v>201</v>
      </c>
      <c r="AC759" s="3"/>
      <c r="AH759" t="s">
        <v>202</v>
      </c>
      <c r="AK759" t="s">
        <v>203</v>
      </c>
      <c r="AP759" t="s">
        <v>200</v>
      </c>
      <c r="AR759" s="25"/>
      <c r="AT759" s="25">
        <v>0</v>
      </c>
      <c r="AU759" s="26"/>
      <c r="AV759" s="26"/>
      <c r="AW759" s="26"/>
      <c r="AX759" s="26" t="str">
        <f t="shared" si="33"/>
        <v/>
      </c>
      <c r="AY759" t="str">
        <f t="shared" si="34"/>
        <v/>
      </c>
      <c r="AZ759" t="s">
        <v>200</v>
      </c>
      <c r="BA759" s="3"/>
      <c r="BB759" t="str">
        <f t="shared" si="35"/>
        <v>No scrap rate (No impact);</v>
      </c>
    </row>
    <row r="760" spans="1:54" x14ac:dyDescent="0.3">
      <c r="A760" t="s">
        <v>2537</v>
      </c>
      <c r="B760" t="s">
        <v>2538</v>
      </c>
      <c r="C760" t="s">
        <v>966</v>
      </c>
      <c r="D760" t="s">
        <v>967</v>
      </c>
      <c r="G760" t="s">
        <v>1078</v>
      </c>
      <c r="H760" t="s">
        <v>1079</v>
      </c>
      <c r="J760" t="s">
        <v>2530</v>
      </c>
      <c r="L760">
        <v>0</v>
      </c>
      <c r="M760">
        <v>0.02</v>
      </c>
      <c r="N760" t="s">
        <v>198</v>
      </c>
      <c r="O760">
        <v>0.02</v>
      </c>
      <c r="P760" t="s">
        <v>198</v>
      </c>
      <c r="Q760" t="s">
        <v>199</v>
      </c>
      <c r="R760" s="3"/>
      <c r="W760" t="s">
        <v>200</v>
      </c>
      <c r="X760" s="25"/>
      <c r="Y760" s="26"/>
      <c r="Z760" s="27"/>
      <c r="AA760" t="s">
        <v>25</v>
      </c>
      <c r="AB760" t="s">
        <v>201</v>
      </c>
      <c r="AC760" s="3"/>
      <c r="AH760" t="s">
        <v>202</v>
      </c>
      <c r="AK760" t="s">
        <v>203</v>
      </c>
      <c r="AP760" t="s">
        <v>200</v>
      </c>
      <c r="AR760" s="25"/>
      <c r="AT760" s="25">
        <v>0</v>
      </c>
      <c r="AU760" s="26"/>
      <c r="AV760" s="26"/>
      <c r="AW760" s="26"/>
      <c r="AX760" s="26" t="str">
        <f t="shared" si="33"/>
        <v/>
      </c>
      <c r="AY760" t="str">
        <f t="shared" si="34"/>
        <v/>
      </c>
      <c r="AZ760" t="s">
        <v>200</v>
      </c>
      <c r="BA760" s="3"/>
      <c r="BB760" t="str">
        <f t="shared" si="35"/>
        <v>No scrap rate (No impact);</v>
      </c>
    </row>
    <row r="761" spans="1:54" x14ac:dyDescent="0.3">
      <c r="A761" t="s">
        <v>2539</v>
      </c>
      <c r="B761" t="s">
        <v>2540</v>
      </c>
      <c r="C761" t="s">
        <v>966</v>
      </c>
      <c r="D761" t="s">
        <v>967</v>
      </c>
      <c r="G761" t="s">
        <v>1078</v>
      </c>
      <c r="H761" t="s">
        <v>1079</v>
      </c>
      <c r="J761" t="s">
        <v>2530</v>
      </c>
      <c r="L761">
        <v>0</v>
      </c>
      <c r="M761">
        <v>0.02</v>
      </c>
      <c r="N761" t="s">
        <v>198</v>
      </c>
      <c r="O761">
        <v>0.02</v>
      </c>
      <c r="P761" t="s">
        <v>198</v>
      </c>
      <c r="Q761" t="s">
        <v>199</v>
      </c>
      <c r="R761" s="3"/>
      <c r="W761" t="s">
        <v>200</v>
      </c>
      <c r="X761" s="25"/>
      <c r="Y761" s="26"/>
      <c r="Z761" s="27"/>
      <c r="AA761" t="s">
        <v>25</v>
      </c>
      <c r="AB761" t="s">
        <v>201</v>
      </c>
      <c r="AC761" s="3"/>
      <c r="AH761" t="s">
        <v>202</v>
      </c>
      <c r="AK761" t="s">
        <v>203</v>
      </c>
      <c r="AP761" t="s">
        <v>200</v>
      </c>
      <c r="AR761" s="25"/>
      <c r="AT761" s="25">
        <v>0</v>
      </c>
      <c r="AU761" s="26"/>
      <c r="AV761" s="26"/>
      <c r="AW761" s="26"/>
      <c r="AX761" s="26" t="str">
        <f t="shared" si="33"/>
        <v/>
      </c>
      <c r="AY761" t="str">
        <f t="shared" si="34"/>
        <v/>
      </c>
      <c r="AZ761" t="s">
        <v>200</v>
      </c>
      <c r="BA761" s="3"/>
      <c r="BB761" t="str">
        <f t="shared" si="35"/>
        <v>No scrap rate (No impact);</v>
      </c>
    </row>
    <row r="762" spans="1:54" x14ac:dyDescent="0.3">
      <c r="A762" t="s">
        <v>2541</v>
      </c>
      <c r="B762" t="s">
        <v>2542</v>
      </c>
      <c r="C762" t="s">
        <v>966</v>
      </c>
      <c r="D762" t="s">
        <v>967</v>
      </c>
      <c r="G762" t="s">
        <v>1078</v>
      </c>
      <c r="H762" t="s">
        <v>1079</v>
      </c>
      <c r="J762" t="s">
        <v>2530</v>
      </c>
      <c r="L762">
        <v>0</v>
      </c>
      <c r="M762">
        <v>0.02</v>
      </c>
      <c r="N762" t="s">
        <v>198</v>
      </c>
      <c r="O762">
        <v>0.02</v>
      </c>
      <c r="P762" t="s">
        <v>198</v>
      </c>
      <c r="Q762" t="s">
        <v>199</v>
      </c>
      <c r="R762" s="3"/>
      <c r="W762" t="s">
        <v>200</v>
      </c>
      <c r="X762" s="25"/>
      <c r="Y762" s="26"/>
      <c r="Z762" s="27"/>
      <c r="AA762" t="s">
        <v>25</v>
      </c>
      <c r="AB762" t="s">
        <v>201</v>
      </c>
      <c r="AC762" s="3"/>
      <c r="AH762" t="s">
        <v>202</v>
      </c>
      <c r="AK762" t="s">
        <v>203</v>
      </c>
      <c r="AP762" t="s">
        <v>200</v>
      </c>
      <c r="AR762" s="25"/>
      <c r="AT762" s="25">
        <v>0</v>
      </c>
      <c r="AU762" s="26"/>
      <c r="AV762" s="26"/>
      <c r="AW762" s="26"/>
      <c r="AX762" s="26" t="str">
        <f t="shared" si="33"/>
        <v/>
      </c>
      <c r="AY762" t="str">
        <f t="shared" si="34"/>
        <v/>
      </c>
      <c r="AZ762" t="s">
        <v>200</v>
      </c>
      <c r="BA762" s="3"/>
      <c r="BB762" t="str">
        <f t="shared" si="35"/>
        <v>No scrap rate (No impact);</v>
      </c>
    </row>
    <row r="763" spans="1:54" x14ac:dyDescent="0.3">
      <c r="A763" t="s">
        <v>2543</v>
      </c>
      <c r="B763" t="s">
        <v>2544</v>
      </c>
      <c r="C763" t="s">
        <v>966</v>
      </c>
      <c r="D763" t="s">
        <v>967</v>
      </c>
      <c r="G763" t="s">
        <v>1078</v>
      </c>
      <c r="H763" t="s">
        <v>1079</v>
      </c>
      <c r="J763" t="s">
        <v>2530</v>
      </c>
      <c r="L763">
        <v>0</v>
      </c>
      <c r="M763">
        <v>0.02</v>
      </c>
      <c r="N763" t="s">
        <v>198</v>
      </c>
      <c r="O763">
        <v>0.02</v>
      </c>
      <c r="P763" t="s">
        <v>198</v>
      </c>
      <c r="Q763" t="s">
        <v>199</v>
      </c>
      <c r="R763" s="3"/>
      <c r="W763" t="s">
        <v>200</v>
      </c>
      <c r="X763" s="25"/>
      <c r="Y763" s="26"/>
      <c r="Z763" s="27"/>
      <c r="AA763" t="s">
        <v>25</v>
      </c>
      <c r="AB763" t="s">
        <v>201</v>
      </c>
      <c r="AC763" s="3"/>
      <c r="AH763" t="s">
        <v>202</v>
      </c>
      <c r="AK763" t="s">
        <v>203</v>
      </c>
      <c r="AP763" t="s">
        <v>200</v>
      </c>
      <c r="AR763" s="25"/>
      <c r="AT763" s="25">
        <v>0</v>
      </c>
      <c r="AU763" s="26"/>
      <c r="AV763" s="26"/>
      <c r="AW763" s="26"/>
      <c r="AX763" s="26" t="str">
        <f t="shared" si="33"/>
        <v/>
      </c>
      <c r="AY763" t="str">
        <f t="shared" si="34"/>
        <v/>
      </c>
      <c r="AZ763" t="s">
        <v>200</v>
      </c>
      <c r="BA763" s="3"/>
      <c r="BB763" t="str">
        <f t="shared" si="35"/>
        <v>No scrap rate (No impact);</v>
      </c>
    </row>
    <row r="764" spans="1:54" x14ac:dyDescent="0.3">
      <c r="A764" t="s">
        <v>2545</v>
      </c>
      <c r="B764" t="s">
        <v>2546</v>
      </c>
      <c r="C764" t="s">
        <v>966</v>
      </c>
      <c r="D764" t="s">
        <v>967</v>
      </c>
      <c r="G764" t="s">
        <v>1078</v>
      </c>
      <c r="H764" t="s">
        <v>1079</v>
      </c>
      <c r="J764" t="s">
        <v>2530</v>
      </c>
      <c r="L764">
        <v>0</v>
      </c>
      <c r="M764">
        <v>0.02</v>
      </c>
      <c r="N764" t="s">
        <v>198</v>
      </c>
      <c r="O764">
        <v>0.02</v>
      </c>
      <c r="P764" t="s">
        <v>198</v>
      </c>
      <c r="Q764" t="s">
        <v>199</v>
      </c>
      <c r="R764" s="3"/>
      <c r="W764" t="s">
        <v>200</v>
      </c>
      <c r="X764" s="25"/>
      <c r="Y764" s="26"/>
      <c r="Z764" s="27"/>
      <c r="AA764" t="s">
        <v>25</v>
      </c>
      <c r="AB764" t="s">
        <v>201</v>
      </c>
      <c r="AC764" s="3"/>
      <c r="AH764" t="s">
        <v>202</v>
      </c>
      <c r="AK764" t="s">
        <v>203</v>
      </c>
      <c r="AP764" t="s">
        <v>200</v>
      </c>
      <c r="AR764" s="25"/>
      <c r="AT764" s="25">
        <v>0</v>
      </c>
      <c r="AU764" s="26"/>
      <c r="AV764" s="26"/>
      <c r="AW764" s="26"/>
      <c r="AX764" s="26" t="str">
        <f t="shared" si="33"/>
        <v/>
      </c>
      <c r="AY764" t="str">
        <f t="shared" si="34"/>
        <v/>
      </c>
      <c r="AZ764" t="s">
        <v>200</v>
      </c>
      <c r="BA764" s="3"/>
      <c r="BB764" t="str">
        <f t="shared" si="35"/>
        <v>No scrap rate (No impact);</v>
      </c>
    </row>
    <row r="765" spans="1:54" x14ac:dyDescent="0.3">
      <c r="A765" t="s">
        <v>2547</v>
      </c>
      <c r="B765" t="s">
        <v>2548</v>
      </c>
      <c r="C765" t="s">
        <v>966</v>
      </c>
      <c r="D765" t="s">
        <v>967</v>
      </c>
      <c r="G765" t="s">
        <v>1078</v>
      </c>
      <c r="H765" t="s">
        <v>1079</v>
      </c>
      <c r="J765" t="s">
        <v>2530</v>
      </c>
      <c r="L765">
        <v>0</v>
      </c>
      <c r="M765">
        <v>0.02</v>
      </c>
      <c r="N765" t="s">
        <v>198</v>
      </c>
      <c r="O765">
        <v>0.02</v>
      </c>
      <c r="P765" t="s">
        <v>198</v>
      </c>
      <c r="Q765" t="s">
        <v>199</v>
      </c>
      <c r="R765" s="3"/>
      <c r="W765" t="s">
        <v>200</v>
      </c>
      <c r="X765" s="25"/>
      <c r="Y765" s="26"/>
      <c r="Z765" s="27"/>
      <c r="AA765" t="s">
        <v>25</v>
      </c>
      <c r="AB765" t="s">
        <v>201</v>
      </c>
      <c r="AC765" s="3"/>
      <c r="AH765" t="s">
        <v>202</v>
      </c>
      <c r="AK765" t="s">
        <v>203</v>
      </c>
      <c r="AP765" t="s">
        <v>200</v>
      </c>
      <c r="AR765" s="25"/>
      <c r="AT765" s="25">
        <v>0</v>
      </c>
      <c r="AU765" s="26"/>
      <c r="AV765" s="26"/>
      <c r="AW765" s="26"/>
      <c r="AX765" s="26" t="str">
        <f t="shared" si="33"/>
        <v/>
      </c>
      <c r="AY765" t="str">
        <f t="shared" si="34"/>
        <v/>
      </c>
      <c r="AZ765" t="s">
        <v>200</v>
      </c>
      <c r="BA765" s="3"/>
      <c r="BB765" t="str">
        <f t="shared" si="35"/>
        <v>No scrap rate (No impact);</v>
      </c>
    </row>
    <row r="766" spans="1:54" x14ac:dyDescent="0.3">
      <c r="A766" t="s">
        <v>2549</v>
      </c>
      <c r="B766" t="s">
        <v>2550</v>
      </c>
      <c r="C766" t="s">
        <v>966</v>
      </c>
      <c r="D766" t="s">
        <v>967</v>
      </c>
      <c r="G766" t="s">
        <v>1078</v>
      </c>
      <c r="H766" t="s">
        <v>1079</v>
      </c>
      <c r="J766" t="s">
        <v>2530</v>
      </c>
      <c r="L766">
        <v>0</v>
      </c>
      <c r="M766">
        <v>0.02</v>
      </c>
      <c r="N766" t="s">
        <v>198</v>
      </c>
      <c r="O766">
        <v>0.02</v>
      </c>
      <c r="P766" t="s">
        <v>198</v>
      </c>
      <c r="Q766" t="s">
        <v>199</v>
      </c>
      <c r="R766" s="3"/>
      <c r="W766" t="s">
        <v>200</v>
      </c>
      <c r="X766" s="25"/>
      <c r="Y766" s="26"/>
      <c r="Z766" s="27"/>
      <c r="AA766" t="s">
        <v>25</v>
      </c>
      <c r="AB766" t="s">
        <v>201</v>
      </c>
      <c r="AC766" s="3"/>
      <c r="AH766" t="s">
        <v>202</v>
      </c>
      <c r="AK766" t="s">
        <v>203</v>
      </c>
      <c r="AP766" t="s">
        <v>200</v>
      </c>
      <c r="AR766" s="25"/>
      <c r="AT766" s="25">
        <v>0</v>
      </c>
      <c r="AU766" s="26"/>
      <c r="AV766" s="26"/>
      <c r="AW766" s="26"/>
      <c r="AX766" s="26" t="str">
        <f t="shared" si="33"/>
        <v/>
      </c>
      <c r="AY766" t="str">
        <f t="shared" si="34"/>
        <v/>
      </c>
      <c r="AZ766" t="s">
        <v>200</v>
      </c>
      <c r="BA766" s="3"/>
      <c r="BB766" t="str">
        <f t="shared" si="35"/>
        <v>No scrap rate (No impact);</v>
      </c>
    </row>
    <row r="767" spans="1:54" x14ac:dyDescent="0.3">
      <c r="A767" t="s">
        <v>2551</v>
      </c>
      <c r="B767" t="s">
        <v>2552</v>
      </c>
      <c r="C767" t="s">
        <v>1256</v>
      </c>
      <c r="D767" t="s">
        <v>1257</v>
      </c>
      <c r="G767" t="s">
        <v>288</v>
      </c>
      <c r="H767" t="s">
        <v>289</v>
      </c>
      <c r="J767" t="s">
        <v>1590</v>
      </c>
      <c r="L767">
        <v>0</v>
      </c>
      <c r="M767">
        <v>2E-3</v>
      </c>
      <c r="N767" t="s">
        <v>198</v>
      </c>
      <c r="O767">
        <v>2E-3</v>
      </c>
      <c r="P767" t="s">
        <v>198</v>
      </c>
      <c r="Q767" t="s">
        <v>199</v>
      </c>
      <c r="R767" s="3"/>
      <c r="W767" t="s">
        <v>200</v>
      </c>
      <c r="X767" s="25"/>
      <c r="Y767" s="26"/>
      <c r="Z767" s="27"/>
      <c r="AA767" t="s">
        <v>25</v>
      </c>
      <c r="AB767" t="s">
        <v>201</v>
      </c>
      <c r="AC767" s="3"/>
      <c r="AH767" t="s">
        <v>202</v>
      </c>
      <c r="AK767" t="s">
        <v>203</v>
      </c>
      <c r="AP767" t="s">
        <v>200</v>
      </c>
      <c r="AR767" s="25"/>
      <c r="AT767" s="25">
        <v>0</v>
      </c>
      <c r="AU767" s="26"/>
      <c r="AV767" s="26"/>
      <c r="AW767" s="26"/>
      <c r="AX767" s="26" t="str">
        <f t="shared" si="33"/>
        <v/>
      </c>
      <c r="AY767" t="str">
        <f t="shared" si="34"/>
        <v/>
      </c>
      <c r="AZ767" t="s">
        <v>200</v>
      </c>
      <c r="BA767" s="3"/>
      <c r="BB767" t="str">
        <f t="shared" si="35"/>
        <v>No scrap rate (No impact);</v>
      </c>
    </row>
    <row r="768" spans="1:54" x14ac:dyDescent="0.3">
      <c r="A768" t="s">
        <v>2553</v>
      </c>
      <c r="B768" t="s">
        <v>2554</v>
      </c>
      <c r="C768" t="s">
        <v>1110</v>
      </c>
      <c r="D768" t="s">
        <v>1111</v>
      </c>
      <c r="G768" t="s">
        <v>288</v>
      </c>
      <c r="H768" t="s">
        <v>289</v>
      </c>
      <c r="J768" t="s">
        <v>1089</v>
      </c>
      <c r="L768">
        <v>0</v>
      </c>
      <c r="M768">
        <v>7.4999999999999997E-2</v>
      </c>
      <c r="N768" t="s">
        <v>198</v>
      </c>
      <c r="O768">
        <v>7.4999999999999997E-2</v>
      </c>
      <c r="P768" t="s">
        <v>198</v>
      </c>
      <c r="Q768" t="s">
        <v>199</v>
      </c>
      <c r="R768" s="3"/>
      <c r="W768" t="s">
        <v>200</v>
      </c>
      <c r="X768" s="25"/>
      <c r="Y768" s="26"/>
      <c r="Z768" s="27"/>
      <c r="AA768" t="s">
        <v>25</v>
      </c>
      <c r="AB768" t="s">
        <v>201</v>
      </c>
      <c r="AC768" s="3"/>
      <c r="AH768" t="s">
        <v>202</v>
      </c>
      <c r="AK768" t="s">
        <v>203</v>
      </c>
      <c r="AP768" t="s">
        <v>200</v>
      </c>
      <c r="AR768" s="25"/>
      <c r="AT768" s="25">
        <v>0</v>
      </c>
      <c r="AU768" s="26"/>
      <c r="AV768" s="26"/>
      <c r="AW768" s="26"/>
      <c r="AX768" s="26" t="str">
        <f t="shared" si="33"/>
        <v/>
      </c>
      <c r="AY768" t="str">
        <f t="shared" si="34"/>
        <v/>
      </c>
      <c r="AZ768" t="s">
        <v>200</v>
      </c>
      <c r="BA768" s="3"/>
      <c r="BB768" t="str">
        <f t="shared" si="35"/>
        <v>No scrap rate (No impact);</v>
      </c>
    </row>
    <row r="769" spans="1:54" x14ac:dyDescent="0.3">
      <c r="A769" t="s">
        <v>2555</v>
      </c>
      <c r="B769" t="s">
        <v>2556</v>
      </c>
      <c r="C769" t="s">
        <v>946</v>
      </c>
      <c r="D769" t="s">
        <v>947</v>
      </c>
      <c r="G769" t="s">
        <v>288</v>
      </c>
      <c r="H769" t="s">
        <v>289</v>
      </c>
      <c r="J769" t="s">
        <v>926</v>
      </c>
      <c r="L769">
        <v>0</v>
      </c>
      <c r="M769">
        <v>0.253</v>
      </c>
      <c r="N769" t="s">
        <v>198</v>
      </c>
      <c r="O769">
        <v>0.253</v>
      </c>
      <c r="P769" t="s">
        <v>198</v>
      </c>
      <c r="Q769" t="s">
        <v>199</v>
      </c>
      <c r="R769" s="3"/>
      <c r="W769" t="s">
        <v>200</v>
      </c>
      <c r="X769" s="25"/>
      <c r="Y769" s="26"/>
      <c r="Z769" s="27"/>
      <c r="AA769" t="s">
        <v>25</v>
      </c>
      <c r="AB769" t="s">
        <v>201</v>
      </c>
      <c r="AC769" s="3"/>
      <c r="AH769" t="s">
        <v>202</v>
      </c>
      <c r="AK769" t="s">
        <v>203</v>
      </c>
      <c r="AP769" t="s">
        <v>200</v>
      </c>
      <c r="AR769" s="25"/>
      <c r="AT769" s="25">
        <v>0</v>
      </c>
      <c r="AU769" s="26"/>
      <c r="AV769" s="26"/>
      <c r="AW769" s="26"/>
      <c r="AX769" s="26" t="str">
        <f t="shared" si="33"/>
        <v/>
      </c>
      <c r="AY769" t="str">
        <f t="shared" si="34"/>
        <v/>
      </c>
      <c r="AZ769" t="s">
        <v>200</v>
      </c>
      <c r="BA769" s="3"/>
      <c r="BB769" t="str">
        <f t="shared" si="35"/>
        <v>No scrap rate (No impact);</v>
      </c>
    </row>
    <row r="770" spans="1:54" x14ac:dyDescent="0.3">
      <c r="A770" t="s">
        <v>2557</v>
      </c>
      <c r="B770" t="s">
        <v>2558</v>
      </c>
      <c r="C770" t="s">
        <v>1256</v>
      </c>
      <c r="D770" t="s">
        <v>1257</v>
      </c>
      <c r="G770" t="s">
        <v>1615</v>
      </c>
      <c r="H770" t="s">
        <v>1616</v>
      </c>
      <c r="J770" t="s">
        <v>1046</v>
      </c>
      <c r="L770">
        <v>0</v>
      </c>
      <c r="M770">
        <v>1.4E-2</v>
      </c>
      <c r="N770" t="s">
        <v>198</v>
      </c>
      <c r="O770">
        <v>1.4E-2</v>
      </c>
      <c r="P770" t="s">
        <v>198</v>
      </c>
      <c r="Q770" t="s">
        <v>199</v>
      </c>
      <c r="R770" s="3"/>
      <c r="W770" t="s">
        <v>200</v>
      </c>
      <c r="X770" s="25"/>
      <c r="Y770" s="26"/>
      <c r="Z770" s="27"/>
      <c r="AA770" t="s">
        <v>25</v>
      </c>
      <c r="AB770" t="s">
        <v>201</v>
      </c>
      <c r="AC770" s="3"/>
      <c r="AH770" t="s">
        <v>202</v>
      </c>
      <c r="AK770" t="s">
        <v>203</v>
      </c>
      <c r="AP770" t="s">
        <v>200</v>
      </c>
      <c r="AR770" s="25"/>
      <c r="AT770" s="25">
        <v>0</v>
      </c>
      <c r="AU770" s="26"/>
      <c r="AV770" s="26"/>
      <c r="AW770" s="26"/>
      <c r="AX770" s="26" t="str">
        <f t="shared" si="33"/>
        <v/>
      </c>
      <c r="AY770" t="str">
        <f t="shared" si="34"/>
        <v/>
      </c>
      <c r="AZ770" t="s">
        <v>200</v>
      </c>
      <c r="BA770" s="3"/>
      <c r="BB770" t="str">
        <f t="shared" si="35"/>
        <v>No scrap rate (No impact);</v>
      </c>
    </row>
    <row r="771" spans="1:54" x14ac:dyDescent="0.3">
      <c r="A771" t="s">
        <v>2559</v>
      </c>
      <c r="B771" t="s">
        <v>2560</v>
      </c>
      <c r="C771" t="s">
        <v>1256</v>
      </c>
      <c r="D771" t="s">
        <v>1257</v>
      </c>
      <c r="G771" t="s">
        <v>1615</v>
      </c>
      <c r="H771" t="s">
        <v>1616</v>
      </c>
      <c r="J771" t="s">
        <v>1046</v>
      </c>
      <c r="L771">
        <v>0</v>
      </c>
      <c r="M771">
        <v>1.4E-2</v>
      </c>
      <c r="N771" t="s">
        <v>198</v>
      </c>
      <c r="O771">
        <v>1.4E-2</v>
      </c>
      <c r="P771" t="s">
        <v>198</v>
      </c>
      <c r="Q771" t="s">
        <v>199</v>
      </c>
      <c r="R771" s="3"/>
      <c r="W771" t="s">
        <v>200</v>
      </c>
      <c r="X771" s="25"/>
      <c r="Y771" s="26"/>
      <c r="Z771" s="27"/>
      <c r="AA771" t="s">
        <v>25</v>
      </c>
      <c r="AB771" t="s">
        <v>201</v>
      </c>
      <c r="AC771" s="3"/>
      <c r="AH771" t="s">
        <v>202</v>
      </c>
      <c r="AK771" t="s">
        <v>203</v>
      </c>
      <c r="AP771" t="s">
        <v>200</v>
      </c>
      <c r="AR771" s="25"/>
      <c r="AT771" s="25">
        <v>0</v>
      </c>
      <c r="AU771" s="26"/>
      <c r="AV771" s="26"/>
      <c r="AW771" s="26"/>
      <c r="AX771" s="26" t="str">
        <f t="shared" ref="AX771:AX834" si="36">IF(COUNT(AU771,AV771,AW771)=0,"",ROUND(AVERAGE(AU771,AV771,AW771),3))</f>
        <v/>
      </c>
      <c r="AY771" t="str">
        <f t="shared" ref="AY771:AY834" si="37">IF(AO771="","",ROUND(AO771*IF(M771="",0,M771)*(1+IF(AR771="",0,AR771)),5))</f>
        <v/>
      </c>
      <c r="AZ771" t="s">
        <v>200</v>
      </c>
      <c r="BA771" s="3"/>
      <c r="BB771" t="str">
        <f t="shared" ref="BB771:BB834" si="38">IF(AND(A771&lt;&gt;"",G771=""),"Supplier code empty (High);","")&amp;IF(AND(X771&lt;&gt;"",OR(X771&gt;1,X771&lt;0)),"Incorrect PDS value (High);",IF(AND(X771&lt;&gt;"",X771&gt;0.5),"High PDS value (Medium);",""))&amp;IF(AND(Y771&lt;&gt;"",OR(Y771&gt;5,Y771&lt;1)),"Incorrect DQR value (High);",IF(AND(Y771&lt;&gt;"",Y771&gt;4),"Incorrect DQR value (Medium);",IF(AND(Y771&lt;&gt;"",Y771&gt;3),"Incorrect DQR value (Low);","")))&amp;IF(AND(V771&lt;&gt;"",OR(V771&lt;=0,V771&gt;100)),"Unusual PCF value might be wrong (High);","")&amp;IF(AND(AT771&lt;&gt;"",OR(AT771&gt;1,AT771&lt;0)),"Incorrect PDS value (High);",IF(AND(AT771&lt;&gt;"",AT771&gt;0.5),"High PDS value (Medium);",""))&amp;IF(AND(AX771&lt;&gt;"",OR(AX771&gt;5,AX771&lt;1)),"Incorrect DQR value (High);",IF(AND(AX771&lt;&gt;"",AX771&gt;4),"Incorrect DQR value (Medium);",IF(AND(AX771&lt;&gt;"",AX771&gt;3),"Incorrect DQR value (Low);","")))&amp;IF(AND(AR771&lt;&gt;"",OR(AR771&gt;1,AR771&lt;0)),"Incorrect scrap rate (High);",IF(AND(A771&lt;&gt;"",AR771=0),"No scrap rate (No impact);",""))&amp;IF(AND(A771&lt;&gt;"",I771="",J771="",K771=""),"No raw material available (High);","")&amp;""</f>
        <v>No scrap rate (No impact);</v>
      </c>
    </row>
    <row r="772" spans="1:54" x14ac:dyDescent="0.3">
      <c r="A772" t="s">
        <v>2561</v>
      </c>
      <c r="B772" t="s">
        <v>2562</v>
      </c>
      <c r="C772" t="s">
        <v>1256</v>
      </c>
      <c r="D772" t="s">
        <v>1257</v>
      </c>
      <c r="G772" t="s">
        <v>196</v>
      </c>
      <c r="H772" t="s">
        <v>197</v>
      </c>
      <c r="J772" t="s">
        <v>1590</v>
      </c>
      <c r="L772">
        <v>0</v>
      </c>
      <c r="M772">
        <v>3.0000000000000001E-3</v>
      </c>
      <c r="N772" t="s">
        <v>198</v>
      </c>
      <c r="O772">
        <v>3.0000000000000001E-3</v>
      </c>
      <c r="P772" t="s">
        <v>198</v>
      </c>
      <c r="Q772" t="s">
        <v>199</v>
      </c>
      <c r="R772" s="3"/>
      <c r="W772" t="s">
        <v>200</v>
      </c>
      <c r="X772" s="25"/>
      <c r="Y772" s="26"/>
      <c r="Z772" s="27"/>
      <c r="AA772" t="s">
        <v>25</v>
      </c>
      <c r="AB772" t="s">
        <v>201</v>
      </c>
      <c r="AC772" s="3"/>
      <c r="AH772" t="s">
        <v>202</v>
      </c>
      <c r="AK772" t="s">
        <v>203</v>
      </c>
      <c r="AP772" t="s">
        <v>200</v>
      </c>
      <c r="AR772" s="25"/>
      <c r="AT772" s="25">
        <v>0</v>
      </c>
      <c r="AU772" s="26"/>
      <c r="AV772" s="26"/>
      <c r="AW772" s="26"/>
      <c r="AX772" s="26" t="str">
        <f t="shared" si="36"/>
        <v/>
      </c>
      <c r="AY772" t="str">
        <f t="shared" si="37"/>
        <v/>
      </c>
      <c r="AZ772" t="s">
        <v>200</v>
      </c>
      <c r="BA772" s="3"/>
      <c r="BB772" t="str">
        <f t="shared" si="38"/>
        <v>No scrap rate (No impact);</v>
      </c>
    </row>
    <row r="773" spans="1:54" x14ac:dyDescent="0.3">
      <c r="A773" t="s">
        <v>2563</v>
      </c>
      <c r="B773" t="s">
        <v>2564</v>
      </c>
      <c r="C773" t="s">
        <v>1256</v>
      </c>
      <c r="D773" t="s">
        <v>1257</v>
      </c>
      <c r="G773" t="s">
        <v>1615</v>
      </c>
      <c r="H773" t="s">
        <v>1616</v>
      </c>
      <c r="J773" t="s">
        <v>1046</v>
      </c>
      <c r="L773">
        <v>0</v>
      </c>
      <c r="M773">
        <v>6.0000000000000001E-3</v>
      </c>
      <c r="N773" t="s">
        <v>198</v>
      </c>
      <c r="O773">
        <v>6.0000000000000001E-3</v>
      </c>
      <c r="P773" t="s">
        <v>198</v>
      </c>
      <c r="Q773" t="s">
        <v>199</v>
      </c>
      <c r="R773" s="3"/>
      <c r="W773" t="s">
        <v>200</v>
      </c>
      <c r="X773" s="25"/>
      <c r="Y773" s="26"/>
      <c r="Z773" s="27"/>
      <c r="AA773" t="s">
        <v>25</v>
      </c>
      <c r="AB773" t="s">
        <v>201</v>
      </c>
      <c r="AC773" s="3"/>
      <c r="AH773" t="s">
        <v>202</v>
      </c>
      <c r="AK773" t="s">
        <v>203</v>
      </c>
      <c r="AP773" t="s">
        <v>200</v>
      </c>
      <c r="AR773" s="25"/>
      <c r="AT773" s="25">
        <v>0</v>
      </c>
      <c r="AU773" s="26"/>
      <c r="AV773" s="26"/>
      <c r="AW773" s="26"/>
      <c r="AX773" s="26" t="str">
        <f t="shared" si="36"/>
        <v/>
      </c>
      <c r="AY773" t="str">
        <f t="shared" si="37"/>
        <v/>
      </c>
      <c r="AZ773" t="s">
        <v>200</v>
      </c>
      <c r="BA773" s="3"/>
      <c r="BB773" t="str">
        <f t="shared" si="38"/>
        <v>No scrap rate (No impact);</v>
      </c>
    </row>
    <row r="774" spans="1:54" x14ac:dyDescent="0.3">
      <c r="A774" t="s">
        <v>2565</v>
      </c>
      <c r="B774" t="s">
        <v>2566</v>
      </c>
      <c r="C774" t="s">
        <v>1256</v>
      </c>
      <c r="D774" t="s">
        <v>1257</v>
      </c>
      <c r="G774" t="s">
        <v>1615</v>
      </c>
      <c r="H774" t="s">
        <v>1616</v>
      </c>
      <c r="J774" t="s">
        <v>1046</v>
      </c>
      <c r="L774">
        <v>0</v>
      </c>
      <c r="M774">
        <v>6.0000000000000001E-3</v>
      </c>
      <c r="N774" t="s">
        <v>198</v>
      </c>
      <c r="O774">
        <v>6.0000000000000001E-3</v>
      </c>
      <c r="P774" t="s">
        <v>198</v>
      </c>
      <c r="Q774" t="s">
        <v>199</v>
      </c>
      <c r="R774" s="3"/>
      <c r="W774" t="s">
        <v>200</v>
      </c>
      <c r="X774" s="25"/>
      <c r="Y774" s="26"/>
      <c r="Z774" s="27"/>
      <c r="AA774" t="s">
        <v>25</v>
      </c>
      <c r="AB774" t="s">
        <v>201</v>
      </c>
      <c r="AC774" s="3"/>
      <c r="AH774" t="s">
        <v>202</v>
      </c>
      <c r="AK774" t="s">
        <v>203</v>
      </c>
      <c r="AP774" t="s">
        <v>200</v>
      </c>
      <c r="AR774" s="25"/>
      <c r="AT774" s="25">
        <v>0</v>
      </c>
      <c r="AU774" s="26"/>
      <c r="AV774" s="26"/>
      <c r="AW774" s="26"/>
      <c r="AX774" s="26" t="str">
        <f t="shared" si="36"/>
        <v/>
      </c>
      <c r="AY774" t="str">
        <f t="shared" si="37"/>
        <v/>
      </c>
      <c r="AZ774" t="s">
        <v>200</v>
      </c>
      <c r="BA774" s="3"/>
      <c r="BB774" t="str">
        <f t="shared" si="38"/>
        <v>No scrap rate (No impact);</v>
      </c>
    </row>
    <row r="775" spans="1:54" x14ac:dyDescent="0.3">
      <c r="A775" t="s">
        <v>2567</v>
      </c>
      <c r="B775" t="s">
        <v>2568</v>
      </c>
      <c r="C775" t="s">
        <v>1256</v>
      </c>
      <c r="D775" t="s">
        <v>1257</v>
      </c>
      <c r="G775" t="s">
        <v>196</v>
      </c>
      <c r="H775" t="s">
        <v>197</v>
      </c>
      <c r="J775" t="s">
        <v>1590</v>
      </c>
      <c r="L775">
        <v>0</v>
      </c>
      <c r="M775">
        <v>3.0000000000000001E-3</v>
      </c>
      <c r="N775" t="s">
        <v>198</v>
      </c>
      <c r="O775">
        <v>3.0000000000000001E-3</v>
      </c>
      <c r="P775" t="s">
        <v>198</v>
      </c>
      <c r="Q775" t="s">
        <v>199</v>
      </c>
      <c r="R775" s="3"/>
      <c r="W775" t="s">
        <v>200</v>
      </c>
      <c r="X775" s="25"/>
      <c r="Y775" s="26"/>
      <c r="Z775" s="27"/>
      <c r="AA775" t="s">
        <v>25</v>
      </c>
      <c r="AB775" t="s">
        <v>201</v>
      </c>
      <c r="AC775" s="3"/>
      <c r="AH775" t="s">
        <v>202</v>
      </c>
      <c r="AK775" t="s">
        <v>203</v>
      </c>
      <c r="AP775" t="s">
        <v>200</v>
      </c>
      <c r="AR775" s="25"/>
      <c r="AT775" s="25">
        <v>0</v>
      </c>
      <c r="AU775" s="26"/>
      <c r="AV775" s="26"/>
      <c r="AW775" s="26"/>
      <c r="AX775" s="26" t="str">
        <f t="shared" si="36"/>
        <v/>
      </c>
      <c r="AY775" t="str">
        <f t="shared" si="37"/>
        <v/>
      </c>
      <c r="AZ775" t="s">
        <v>200</v>
      </c>
      <c r="BA775" s="3"/>
      <c r="BB775" t="str">
        <f t="shared" si="38"/>
        <v>No scrap rate (No impact);</v>
      </c>
    </row>
    <row r="776" spans="1:54" x14ac:dyDescent="0.3">
      <c r="A776" t="s">
        <v>2569</v>
      </c>
      <c r="B776" t="s">
        <v>2570</v>
      </c>
      <c r="C776" t="s">
        <v>1256</v>
      </c>
      <c r="D776" t="s">
        <v>1257</v>
      </c>
      <c r="G776" t="s">
        <v>1615</v>
      </c>
      <c r="H776" t="s">
        <v>1616</v>
      </c>
      <c r="J776" t="s">
        <v>1046</v>
      </c>
      <c r="L776">
        <v>0</v>
      </c>
      <c r="M776">
        <v>8.9999999999999993E-3</v>
      </c>
      <c r="N776" t="s">
        <v>198</v>
      </c>
      <c r="O776">
        <v>8.9999999999999993E-3</v>
      </c>
      <c r="P776" t="s">
        <v>198</v>
      </c>
      <c r="Q776" t="s">
        <v>199</v>
      </c>
      <c r="R776" s="3"/>
      <c r="W776" t="s">
        <v>200</v>
      </c>
      <c r="X776" s="25"/>
      <c r="Y776" s="26"/>
      <c r="Z776" s="27"/>
      <c r="AA776" t="s">
        <v>25</v>
      </c>
      <c r="AB776" t="s">
        <v>201</v>
      </c>
      <c r="AC776" s="3"/>
      <c r="AH776" t="s">
        <v>202</v>
      </c>
      <c r="AK776" t="s">
        <v>203</v>
      </c>
      <c r="AP776" t="s">
        <v>200</v>
      </c>
      <c r="AR776" s="25"/>
      <c r="AT776" s="25">
        <v>0</v>
      </c>
      <c r="AU776" s="26"/>
      <c r="AV776" s="26"/>
      <c r="AW776" s="26"/>
      <c r="AX776" s="26" t="str">
        <f t="shared" si="36"/>
        <v/>
      </c>
      <c r="AY776" t="str">
        <f t="shared" si="37"/>
        <v/>
      </c>
      <c r="AZ776" t="s">
        <v>200</v>
      </c>
      <c r="BA776" s="3"/>
      <c r="BB776" t="str">
        <f t="shared" si="38"/>
        <v>No scrap rate (No impact);</v>
      </c>
    </row>
    <row r="777" spans="1:54" x14ac:dyDescent="0.3">
      <c r="A777" t="s">
        <v>2571</v>
      </c>
      <c r="B777" t="s">
        <v>2572</v>
      </c>
      <c r="C777" t="s">
        <v>1256</v>
      </c>
      <c r="D777" t="s">
        <v>1257</v>
      </c>
      <c r="G777" t="s">
        <v>1615</v>
      </c>
      <c r="H777" t="s">
        <v>1616</v>
      </c>
      <c r="J777" t="s">
        <v>1046</v>
      </c>
      <c r="L777">
        <v>0</v>
      </c>
      <c r="M777">
        <v>5.8999999999999997E-2</v>
      </c>
      <c r="N777" t="s">
        <v>198</v>
      </c>
      <c r="O777">
        <v>5.8999999999999997E-2</v>
      </c>
      <c r="P777" t="s">
        <v>198</v>
      </c>
      <c r="Q777" t="s">
        <v>199</v>
      </c>
      <c r="R777" s="3"/>
      <c r="W777" t="s">
        <v>200</v>
      </c>
      <c r="X777" s="25"/>
      <c r="Y777" s="26"/>
      <c r="Z777" s="27"/>
      <c r="AA777" t="s">
        <v>25</v>
      </c>
      <c r="AB777" t="s">
        <v>201</v>
      </c>
      <c r="AC777" s="3"/>
      <c r="AH777" t="s">
        <v>202</v>
      </c>
      <c r="AK777" t="s">
        <v>203</v>
      </c>
      <c r="AP777" t="s">
        <v>200</v>
      </c>
      <c r="AR777" s="25"/>
      <c r="AT777" s="25">
        <v>0</v>
      </c>
      <c r="AU777" s="26"/>
      <c r="AV777" s="26"/>
      <c r="AW777" s="26"/>
      <c r="AX777" s="26" t="str">
        <f t="shared" si="36"/>
        <v/>
      </c>
      <c r="AY777" t="str">
        <f t="shared" si="37"/>
        <v/>
      </c>
      <c r="AZ777" t="s">
        <v>200</v>
      </c>
      <c r="BA777" s="3"/>
      <c r="BB777" t="str">
        <f t="shared" si="38"/>
        <v>No scrap rate (No impact);</v>
      </c>
    </row>
    <row r="778" spans="1:54" x14ac:dyDescent="0.3">
      <c r="A778" t="s">
        <v>2573</v>
      </c>
      <c r="B778" t="s">
        <v>2574</v>
      </c>
      <c r="C778" t="s">
        <v>1256</v>
      </c>
      <c r="D778" t="s">
        <v>1257</v>
      </c>
      <c r="G778" t="s">
        <v>196</v>
      </c>
      <c r="H778" t="s">
        <v>197</v>
      </c>
      <c r="J778" t="s">
        <v>1590</v>
      </c>
      <c r="L778">
        <v>0</v>
      </c>
      <c r="M778">
        <v>3.0000000000000001E-3</v>
      </c>
      <c r="N778" t="s">
        <v>198</v>
      </c>
      <c r="O778">
        <v>3.0000000000000001E-3</v>
      </c>
      <c r="P778" t="s">
        <v>198</v>
      </c>
      <c r="Q778" t="s">
        <v>199</v>
      </c>
      <c r="R778" s="3"/>
      <c r="W778" t="s">
        <v>200</v>
      </c>
      <c r="X778" s="25"/>
      <c r="Y778" s="26"/>
      <c r="Z778" s="27"/>
      <c r="AA778" t="s">
        <v>25</v>
      </c>
      <c r="AB778" t="s">
        <v>201</v>
      </c>
      <c r="AC778" s="3"/>
      <c r="AH778" t="s">
        <v>202</v>
      </c>
      <c r="AK778" t="s">
        <v>203</v>
      </c>
      <c r="AP778" t="s">
        <v>200</v>
      </c>
      <c r="AR778" s="25"/>
      <c r="AT778" s="25">
        <v>0</v>
      </c>
      <c r="AU778" s="26"/>
      <c r="AV778" s="26"/>
      <c r="AW778" s="26"/>
      <c r="AX778" s="26" t="str">
        <f t="shared" si="36"/>
        <v/>
      </c>
      <c r="AY778" t="str">
        <f t="shared" si="37"/>
        <v/>
      </c>
      <c r="AZ778" t="s">
        <v>200</v>
      </c>
      <c r="BA778" s="3"/>
      <c r="BB778" t="str">
        <f t="shared" si="38"/>
        <v>No scrap rate (No impact);</v>
      </c>
    </row>
    <row r="779" spans="1:54" x14ac:dyDescent="0.3">
      <c r="A779" t="s">
        <v>2575</v>
      </c>
      <c r="B779" t="s">
        <v>2576</v>
      </c>
      <c r="C779" t="s">
        <v>1256</v>
      </c>
      <c r="D779" t="s">
        <v>1257</v>
      </c>
      <c r="G779" t="s">
        <v>1615</v>
      </c>
      <c r="H779" t="s">
        <v>1616</v>
      </c>
      <c r="J779" t="s">
        <v>1046</v>
      </c>
      <c r="L779">
        <v>0</v>
      </c>
      <c r="M779">
        <v>8.9999999999999993E-3</v>
      </c>
      <c r="N779" t="s">
        <v>198</v>
      </c>
      <c r="O779">
        <v>8.9999999999999993E-3</v>
      </c>
      <c r="P779" t="s">
        <v>198</v>
      </c>
      <c r="Q779" t="s">
        <v>199</v>
      </c>
      <c r="R779" s="3"/>
      <c r="W779" t="s">
        <v>200</v>
      </c>
      <c r="X779" s="25"/>
      <c r="Y779" s="26"/>
      <c r="Z779" s="27"/>
      <c r="AA779" t="s">
        <v>25</v>
      </c>
      <c r="AB779" t="s">
        <v>201</v>
      </c>
      <c r="AC779" s="3"/>
      <c r="AH779" t="s">
        <v>202</v>
      </c>
      <c r="AK779" t="s">
        <v>203</v>
      </c>
      <c r="AP779" t="s">
        <v>200</v>
      </c>
      <c r="AR779" s="25"/>
      <c r="AT779" s="25">
        <v>0</v>
      </c>
      <c r="AU779" s="26"/>
      <c r="AV779" s="26"/>
      <c r="AW779" s="26"/>
      <c r="AX779" s="26" t="str">
        <f t="shared" si="36"/>
        <v/>
      </c>
      <c r="AY779" t="str">
        <f t="shared" si="37"/>
        <v/>
      </c>
      <c r="AZ779" t="s">
        <v>200</v>
      </c>
      <c r="BA779" s="3"/>
      <c r="BB779" t="str">
        <f t="shared" si="38"/>
        <v>No scrap rate (No impact);</v>
      </c>
    </row>
    <row r="780" spans="1:54" x14ac:dyDescent="0.3">
      <c r="A780" t="s">
        <v>2577</v>
      </c>
      <c r="B780" t="s">
        <v>2578</v>
      </c>
      <c r="C780" t="s">
        <v>1256</v>
      </c>
      <c r="D780" t="s">
        <v>1257</v>
      </c>
      <c r="G780" t="s">
        <v>1615</v>
      </c>
      <c r="H780" t="s">
        <v>1616</v>
      </c>
      <c r="J780" t="s">
        <v>1046</v>
      </c>
      <c r="L780">
        <v>0</v>
      </c>
      <c r="M780">
        <v>2.8000000000000001E-2</v>
      </c>
      <c r="N780" t="s">
        <v>198</v>
      </c>
      <c r="O780">
        <v>2.8000000000000001E-2</v>
      </c>
      <c r="P780" t="s">
        <v>198</v>
      </c>
      <c r="Q780" t="s">
        <v>199</v>
      </c>
      <c r="R780" s="3"/>
      <c r="W780" t="s">
        <v>200</v>
      </c>
      <c r="X780" s="25"/>
      <c r="Y780" s="26"/>
      <c r="Z780" s="27"/>
      <c r="AA780" t="s">
        <v>25</v>
      </c>
      <c r="AB780" t="s">
        <v>201</v>
      </c>
      <c r="AC780" s="3"/>
      <c r="AH780" t="s">
        <v>202</v>
      </c>
      <c r="AK780" t="s">
        <v>203</v>
      </c>
      <c r="AP780" t="s">
        <v>200</v>
      </c>
      <c r="AR780" s="25"/>
      <c r="AT780" s="25">
        <v>0</v>
      </c>
      <c r="AU780" s="26"/>
      <c r="AV780" s="26"/>
      <c r="AW780" s="26"/>
      <c r="AX780" s="26" t="str">
        <f t="shared" si="36"/>
        <v/>
      </c>
      <c r="AY780" t="str">
        <f t="shared" si="37"/>
        <v/>
      </c>
      <c r="AZ780" t="s">
        <v>200</v>
      </c>
      <c r="BA780" s="3"/>
      <c r="BB780" t="str">
        <f t="shared" si="38"/>
        <v>No scrap rate (No impact);</v>
      </c>
    </row>
    <row r="781" spans="1:54" x14ac:dyDescent="0.3">
      <c r="A781" t="s">
        <v>2579</v>
      </c>
      <c r="B781" t="s">
        <v>2580</v>
      </c>
      <c r="C781" t="s">
        <v>1256</v>
      </c>
      <c r="D781" t="s">
        <v>1257</v>
      </c>
      <c r="G781" t="s">
        <v>196</v>
      </c>
      <c r="H781" t="s">
        <v>197</v>
      </c>
      <c r="J781" t="s">
        <v>1590</v>
      </c>
      <c r="L781">
        <v>0</v>
      </c>
      <c r="M781">
        <v>3.0000000000000001E-3</v>
      </c>
      <c r="N781" t="s">
        <v>198</v>
      </c>
      <c r="O781">
        <v>3.0000000000000001E-3</v>
      </c>
      <c r="P781" t="s">
        <v>198</v>
      </c>
      <c r="Q781" t="s">
        <v>199</v>
      </c>
      <c r="R781" s="3"/>
      <c r="W781" t="s">
        <v>200</v>
      </c>
      <c r="X781" s="25"/>
      <c r="Y781" s="26"/>
      <c r="Z781" s="27"/>
      <c r="AA781" t="s">
        <v>25</v>
      </c>
      <c r="AB781" t="s">
        <v>201</v>
      </c>
      <c r="AC781" s="3"/>
      <c r="AH781" t="s">
        <v>202</v>
      </c>
      <c r="AK781" t="s">
        <v>203</v>
      </c>
      <c r="AP781" t="s">
        <v>200</v>
      </c>
      <c r="AR781" s="25"/>
      <c r="AT781" s="25">
        <v>0</v>
      </c>
      <c r="AU781" s="26"/>
      <c r="AV781" s="26"/>
      <c r="AW781" s="26"/>
      <c r="AX781" s="26" t="str">
        <f t="shared" si="36"/>
        <v/>
      </c>
      <c r="AY781" t="str">
        <f t="shared" si="37"/>
        <v/>
      </c>
      <c r="AZ781" t="s">
        <v>200</v>
      </c>
      <c r="BA781" s="3"/>
      <c r="BB781" t="str">
        <f t="shared" si="38"/>
        <v>No scrap rate (No impact);</v>
      </c>
    </row>
    <row r="782" spans="1:54" x14ac:dyDescent="0.3">
      <c r="A782" t="s">
        <v>2581</v>
      </c>
      <c r="B782" t="s">
        <v>2582</v>
      </c>
      <c r="C782" t="s">
        <v>1256</v>
      </c>
      <c r="D782" t="s">
        <v>1257</v>
      </c>
      <c r="G782" t="s">
        <v>1615</v>
      </c>
      <c r="H782" t="s">
        <v>1616</v>
      </c>
      <c r="J782" t="s">
        <v>1060</v>
      </c>
      <c r="L782">
        <v>0</v>
      </c>
      <c r="M782">
        <v>1E-3</v>
      </c>
      <c r="N782" t="s">
        <v>198</v>
      </c>
      <c r="O782">
        <v>1E-3</v>
      </c>
      <c r="P782" t="s">
        <v>198</v>
      </c>
      <c r="Q782" t="s">
        <v>199</v>
      </c>
      <c r="R782" s="3"/>
      <c r="W782" t="s">
        <v>200</v>
      </c>
      <c r="X782" s="25"/>
      <c r="Y782" s="26"/>
      <c r="Z782" s="27"/>
      <c r="AA782" t="s">
        <v>25</v>
      </c>
      <c r="AB782" t="s">
        <v>201</v>
      </c>
      <c r="AC782" s="3"/>
      <c r="AH782" t="s">
        <v>202</v>
      </c>
      <c r="AK782" t="s">
        <v>203</v>
      </c>
      <c r="AP782" t="s">
        <v>200</v>
      </c>
      <c r="AR782" s="25"/>
      <c r="AT782" s="25">
        <v>0</v>
      </c>
      <c r="AU782" s="26"/>
      <c r="AV782" s="26"/>
      <c r="AW782" s="26"/>
      <c r="AX782" s="26" t="str">
        <f t="shared" si="36"/>
        <v/>
      </c>
      <c r="AY782" t="str">
        <f t="shared" si="37"/>
        <v/>
      </c>
      <c r="AZ782" t="s">
        <v>200</v>
      </c>
      <c r="BA782" s="3"/>
      <c r="BB782" t="str">
        <f t="shared" si="38"/>
        <v>No scrap rate (No impact);</v>
      </c>
    </row>
    <row r="783" spans="1:54" x14ac:dyDescent="0.3">
      <c r="A783" t="s">
        <v>2583</v>
      </c>
      <c r="B783" t="s">
        <v>2584</v>
      </c>
      <c r="C783" t="s">
        <v>1256</v>
      </c>
      <c r="D783" t="s">
        <v>1257</v>
      </c>
      <c r="G783" t="s">
        <v>1615</v>
      </c>
      <c r="H783" t="s">
        <v>1616</v>
      </c>
      <c r="J783" t="s">
        <v>1046</v>
      </c>
      <c r="L783">
        <v>0</v>
      </c>
      <c r="M783">
        <v>1E-3</v>
      </c>
      <c r="N783" t="s">
        <v>198</v>
      </c>
      <c r="O783">
        <v>1E-3</v>
      </c>
      <c r="P783" t="s">
        <v>198</v>
      </c>
      <c r="Q783" t="s">
        <v>199</v>
      </c>
      <c r="R783" s="3"/>
      <c r="W783" t="s">
        <v>200</v>
      </c>
      <c r="X783" s="25"/>
      <c r="Y783" s="26"/>
      <c r="Z783" s="27"/>
      <c r="AA783" t="s">
        <v>25</v>
      </c>
      <c r="AB783" t="s">
        <v>201</v>
      </c>
      <c r="AC783" s="3"/>
      <c r="AH783" t="s">
        <v>202</v>
      </c>
      <c r="AK783" t="s">
        <v>203</v>
      </c>
      <c r="AP783" t="s">
        <v>200</v>
      </c>
      <c r="AR783" s="25"/>
      <c r="AT783" s="25">
        <v>0</v>
      </c>
      <c r="AU783" s="26"/>
      <c r="AV783" s="26"/>
      <c r="AW783" s="26"/>
      <c r="AX783" s="26" t="str">
        <f t="shared" si="36"/>
        <v/>
      </c>
      <c r="AY783" t="str">
        <f t="shared" si="37"/>
        <v/>
      </c>
      <c r="AZ783" t="s">
        <v>200</v>
      </c>
      <c r="BA783" s="3"/>
      <c r="BB783" t="str">
        <f t="shared" si="38"/>
        <v>No scrap rate (No impact);</v>
      </c>
    </row>
    <row r="784" spans="1:54" x14ac:dyDescent="0.3">
      <c r="A784" t="s">
        <v>2585</v>
      </c>
      <c r="B784" t="s">
        <v>2586</v>
      </c>
      <c r="C784" t="s">
        <v>1256</v>
      </c>
      <c r="D784" t="s">
        <v>1257</v>
      </c>
      <c r="G784" t="s">
        <v>196</v>
      </c>
      <c r="H784" t="s">
        <v>197</v>
      </c>
      <c r="J784" t="s">
        <v>1590</v>
      </c>
      <c r="L784">
        <v>0</v>
      </c>
      <c r="M784">
        <v>3.0000000000000001E-3</v>
      </c>
      <c r="N784" t="s">
        <v>198</v>
      </c>
      <c r="O784">
        <v>3.0000000000000001E-3</v>
      </c>
      <c r="P784" t="s">
        <v>198</v>
      </c>
      <c r="Q784" t="s">
        <v>199</v>
      </c>
      <c r="R784" s="3"/>
      <c r="W784" t="s">
        <v>200</v>
      </c>
      <c r="X784" s="25"/>
      <c r="Y784" s="26"/>
      <c r="Z784" s="27"/>
      <c r="AA784" t="s">
        <v>25</v>
      </c>
      <c r="AB784" t="s">
        <v>201</v>
      </c>
      <c r="AC784" s="3"/>
      <c r="AH784" t="s">
        <v>202</v>
      </c>
      <c r="AK784" t="s">
        <v>203</v>
      </c>
      <c r="AP784" t="s">
        <v>200</v>
      </c>
      <c r="AR784" s="25"/>
      <c r="AT784" s="25">
        <v>0</v>
      </c>
      <c r="AU784" s="26"/>
      <c r="AV784" s="26"/>
      <c r="AW784" s="26"/>
      <c r="AX784" s="26" t="str">
        <f t="shared" si="36"/>
        <v/>
      </c>
      <c r="AY784" t="str">
        <f t="shared" si="37"/>
        <v/>
      </c>
      <c r="AZ784" t="s">
        <v>200</v>
      </c>
      <c r="BA784" s="3"/>
      <c r="BB784" t="str">
        <f t="shared" si="38"/>
        <v>No scrap rate (No impact);</v>
      </c>
    </row>
    <row r="785" spans="1:54" x14ac:dyDescent="0.3">
      <c r="A785" t="s">
        <v>2587</v>
      </c>
      <c r="B785" t="s">
        <v>2588</v>
      </c>
      <c r="C785" t="s">
        <v>966</v>
      </c>
      <c r="D785" t="s">
        <v>967</v>
      </c>
      <c r="G785" t="s">
        <v>2352</v>
      </c>
      <c r="H785" t="s">
        <v>2353</v>
      </c>
      <c r="J785" t="s">
        <v>1060</v>
      </c>
      <c r="L785">
        <v>0</v>
      </c>
      <c r="M785">
        <v>4.1000000000000002E-2</v>
      </c>
      <c r="N785" t="s">
        <v>198</v>
      </c>
      <c r="O785">
        <v>4.1000000000000002E-2</v>
      </c>
      <c r="P785" t="s">
        <v>198</v>
      </c>
      <c r="Q785" t="s">
        <v>199</v>
      </c>
      <c r="R785" s="3"/>
      <c r="W785" t="s">
        <v>200</v>
      </c>
      <c r="X785" s="25"/>
      <c r="Y785" s="26"/>
      <c r="Z785" s="27"/>
      <c r="AA785" t="s">
        <v>25</v>
      </c>
      <c r="AB785" t="s">
        <v>201</v>
      </c>
      <c r="AC785" s="3"/>
      <c r="AH785" t="s">
        <v>202</v>
      </c>
      <c r="AK785" t="s">
        <v>203</v>
      </c>
      <c r="AP785" t="s">
        <v>200</v>
      </c>
      <c r="AR785" s="25"/>
      <c r="AT785" s="25">
        <v>0</v>
      </c>
      <c r="AU785" s="26"/>
      <c r="AV785" s="26"/>
      <c r="AW785" s="26"/>
      <c r="AX785" s="26" t="str">
        <f t="shared" si="36"/>
        <v/>
      </c>
      <c r="AY785" t="str">
        <f t="shared" si="37"/>
        <v/>
      </c>
      <c r="AZ785" t="s">
        <v>200</v>
      </c>
      <c r="BA785" s="3"/>
      <c r="BB785" t="str">
        <f t="shared" si="38"/>
        <v>No scrap rate (No impact);</v>
      </c>
    </row>
    <row r="786" spans="1:54" x14ac:dyDescent="0.3">
      <c r="A786" t="s">
        <v>2589</v>
      </c>
      <c r="B786" t="s">
        <v>2590</v>
      </c>
      <c r="C786" t="s">
        <v>1256</v>
      </c>
      <c r="D786" t="s">
        <v>1257</v>
      </c>
      <c r="G786" t="s">
        <v>288</v>
      </c>
      <c r="H786" t="s">
        <v>289</v>
      </c>
      <c r="J786" t="s">
        <v>1590</v>
      </c>
      <c r="L786">
        <v>0</v>
      </c>
      <c r="M786">
        <v>3.0000000000000001E-3</v>
      </c>
      <c r="N786" t="s">
        <v>198</v>
      </c>
      <c r="O786">
        <v>3.0000000000000001E-3</v>
      </c>
      <c r="P786" t="s">
        <v>198</v>
      </c>
      <c r="Q786" t="s">
        <v>199</v>
      </c>
      <c r="R786" s="3"/>
      <c r="W786" t="s">
        <v>200</v>
      </c>
      <c r="X786" s="25"/>
      <c r="Y786" s="26"/>
      <c r="Z786" s="27"/>
      <c r="AA786" t="s">
        <v>25</v>
      </c>
      <c r="AB786" t="s">
        <v>201</v>
      </c>
      <c r="AC786" s="3"/>
      <c r="AH786" t="s">
        <v>202</v>
      </c>
      <c r="AK786" t="s">
        <v>203</v>
      </c>
      <c r="AP786" t="s">
        <v>200</v>
      </c>
      <c r="AR786" s="25"/>
      <c r="AT786" s="25">
        <v>0</v>
      </c>
      <c r="AU786" s="26"/>
      <c r="AV786" s="26"/>
      <c r="AW786" s="26"/>
      <c r="AX786" s="26" t="str">
        <f t="shared" si="36"/>
        <v/>
      </c>
      <c r="AY786" t="str">
        <f t="shared" si="37"/>
        <v/>
      </c>
      <c r="AZ786" t="s">
        <v>200</v>
      </c>
      <c r="BA786" s="3"/>
      <c r="BB786" t="str">
        <f t="shared" si="38"/>
        <v>No scrap rate (No impact);</v>
      </c>
    </row>
    <row r="787" spans="1:54" x14ac:dyDescent="0.3">
      <c r="A787" t="s">
        <v>2591</v>
      </c>
      <c r="B787" t="s">
        <v>2592</v>
      </c>
      <c r="C787" t="s">
        <v>1256</v>
      </c>
      <c r="D787" t="s">
        <v>1257</v>
      </c>
      <c r="G787" t="s">
        <v>1615</v>
      </c>
      <c r="H787" t="s">
        <v>1616</v>
      </c>
      <c r="J787" t="s">
        <v>1046</v>
      </c>
      <c r="L787">
        <v>0</v>
      </c>
      <c r="M787">
        <v>6.0000000000000001E-3</v>
      </c>
      <c r="N787" t="s">
        <v>198</v>
      </c>
      <c r="O787">
        <v>6.0000000000000001E-3</v>
      </c>
      <c r="P787" t="s">
        <v>198</v>
      </c>
      <c r="Q787" t="s">
        <v>199</v>
      </c>
      <c r="R787" s="3"/>
      <c r="W787" t="s">
        <v>200</v>
      </c>
      <c r="X787" s="25"/>
      <c r="Y787" s="26"/>
      <c r="Z787" s="27"/>
      <c r="AA787" t="s">
        <v>25</v>
      </c>
      <c r="AB787" t="s">
        <v>201</v>
      </c>
      <c r="AC787" s="3"/>
      <c r="AH787" t="s">
        <v>202</v>
      </c>
      <c r="AK787" t="s">
        <v>203</v>
      </c>
      <c r="AP787" t="s">
        <v>200</v>
      </c>
      <c r="AR787" s="25"/>
      <c r="AT787" s="25">
        <v>0</v>
      </c>
      <c r="AU787" s="26"/>
      <c r="AV787" s="26"/>
      <c r="AW787" s="26"/>
      <c r="AX787" s="26" t="str">
        <f t="shared" si="36"/>
        <v/>
      </c>
      <c r="AY787" t="str">
        <f t="shared" si="37"/>
        <v/>
      </c>
      <c r="AZ787" t="s">
        <v>200</v>
      </c>
      <c r="BA787" s="3"/>
      <c r="BB787" t="str">
        <f t="shared" si="38"/>
        <v>No scrap rate (No impact);</v>
      </c>
    </row>
    <row r="788" spans="1:54" x14ac:dyDescent="0.3">
      <c r="A788" t="s">
        <v>2593</v>
      </c>
      <c r="B788" t="s">
        <v>2594</v>
      </c>
      <c r="C788" t="s">
        <v>1256</v>
      </c>
      <c r="D788" t="s">
        <v>1257</v>
      </c>
      <c r="G788" t="s">
        <v>777</v>
      </c>
      <c r="H788" t="s">
        <v>313</v>
      </c>
      <c r="J788" t="s">
        <v>1046</v>
      </c>
      <c r="L788">
        <v>0</v>
      </c>
      <c r="M788">
        <v>2E-3</v>
      </c>
      <c r="N788" t="s">
        <v>198</v>
      </c>
      <c r="O788">
        <v>2E-3</v>
      </c>
      <c r="P788" t="s">
        <v>198</v>
      </c>
      <c r="Q788" t="s">
        <v>199</v>
      </c>
      <c r="R788" s="3"/>
      <c r="W788" t="s">
        <v>200</v>
      </c>
      <c r="X788" s="25"/>
      <c r="Y788" s="26"/>
      <c r="Z788" s="27"/>
      <c r="AA788" t="s">
        <v>25</v>
      </c>
      <c r="AB788" t="s">
        <v>201</v>
      </c>
      <c r="AC788" s="3"/>
      <c r="AH788" t="s">
        <v>202</v>
      </c>
      <c r="AK788" t="s">
        <v>203</v>
      </c>
      <c r="AP788" t="s">
        <v>200</v>
      </c>
      <c r="AR788" s="25"/>
      <c r="AT788" s="25">
        <v>0</v>
      </c>
      <c r="AU788" s="26"/>
      <c r="AV788" s="26"/>
      <c r="AW788" s="26"/>
      <c r="AX788" s="26" t="str">
        <f t="shared" si="36"/>
        <v/>
      </c>
      <c r="AY788" t="str">
        <f t="shared" si="37"/>
        <v/>
      </c>
      <c r="AZ788" t="s">
        <v>200</v>
      </c>
      <c r="BA788" s="3"/>
      <c r="BB788" t="str">
        <f t="shared" si="38"/>
        <v>No scrap rate (No impact);</v>
      </c>
    </row>
    <row r="789" spans="1:54" x14ac:dyDescent="0.3">
      <c r="A789" t="s">
        <v>2595</v>
      </c>
      <c r="B789" t="s">
        <v>2596</v>
      </c>
      <c r="C789" t="s">
        <v>1256</v>
      </c>
      <c r="D789" t="s">
        <v>1257</v>
      </c>
      <c r="G789" t="s">
        <v>196</v>
      </c>
      <c r="H789" t="s">
        <v>197</v>
      </c>
      <c r="J789" t="s">
        <v>1590</v>
      </c>
      <c r="L789">
        <v>0</v>
      </c>
      <c r="M789">
        <v>3.0000000000000001E-3</v>
      </c>
      <c r="N789" t="s">
        <v>198</v>
      </c>
      <c r="O789">
        <v>3.0000000000000001E-3</v>
      </c>
      <c r="P789" t="s">
        <v>198</v>
      </c>
      <c r="Q789" t="s">
        <v>199</v>
      </c>
      <c r="R789" s="3"/>
      <c r="W789" t="s">
        <v>200</v>
      </c>
      <c r="X789" s="25"/>
      <c r="Y789" s="26"/>
      <c r="Z789" s="27"/>
      <c r="AA789" t="s">
        <v>25</v>
      </c>
      <c r="AB789" t="s">
        <v>201</v>
      </c>
      <c r="AC789" s="3"/>
      <c r="AH789" t="s">
        <v>202</v>
      </c>
      <c r="AK789" t="s">
        <v>203</v>
      </c>
      <c r="AP789" t="s">
        <v>200</v>
      </c>
      <c r="AR789" s="25"/>
      <c r="AT789" s="25">
        <v>0</v>
      </c>
      <c r="AU789" s="26"/>
      <c r="AV789" s="26"/>
      <c r="AW789" s="26"/>
      <c r="AX789" s="26" t="str">
        <f t="shared" si="36"/>
        <v/>
      </c>
      <c r="AY789" t="str">
        <f t="shared" si="37"/>
        <v/>
      </c>
      <c r="AZ789" t="s">
        <v>200</v>
      </c>
      <c r="BA789" s="3"/>
      <c r="BB789" t="str">
        <f t="shared" si="38"/>
        <v>No scrap rate (No impact);</v>
      </c>
    </row>
    <row r="790" spans="1:54" x14ac:dyDescent="0.3">
      <c r="A790" t="s">
        <v>2597</v>
      </c>
      <c r="B790" t="s">
        <v>2598</v>
      </c>
      <c r="C790" t="s">
        <v>966</v>
      </c>
      <c r="D790" t="s">
        <v>967</v>
      </c>
      <c r="G790" t="s">
        <v>1299</v>
      </c>
      <c r="H790" t="s">
        <v>1300</v>
      </c>
      <c r="J790" t="s">
        <v>1046</v>
      </c>
      <c r="L790">
        <v>0</v>
      </c>
      <c r="M790">
        <v>3.0000000000000001E-3</v>
      </c>
      <c r="N790" t="s">
        <v>198</v>
      </c>
      <c r="O790">
        <v>3.0000000000000001E-3</v>
      </c>
      <c r="P790" t="s">
        <v>198</v>
      </c>
      <c r="Q790" t="s">
        <v>199</v>
      </c>
      <c r="R790" s="3"/>
      <c r="W790" t="s">
        <v>200</v>
      </c>
      <c r="X790" s="25"/>
      <c r="Y790" s="26"/>
      <c r="Z790" s="27"/>
      <c r="AA790" t="s">
        <v>25</v>
      </c>
      <c r="AB790" t="s">
        <v>201</v>
      </c>
      <c r="AC790" s="3"/>
      <c r="AH790" t="s">
        <v>202</v>
      </c>
      <c r="AK790" t="s">
        <v>203</v>
      </c>
      <c r="AP790" t="s">
        <v>200</v>
      </c>
      <c r="AR790" s="25"/>
      <c r="AT790" s="25">
        <v>0</v>
      </c>
      <c r="AU790" s="26"/>
      <c r="AV790" s="26"/>
      <c r="AW790" s="26"/>
      <c r="AX790" s="26" t="str">
        <f t="shared" si="36"/>
        <v/>
      </c>
      <c r="AY790" t="str">
        <f t="shared" si="37"/>
        <v/>
      </c>
      <c r="AZ790" t="s">
        <v>200</v>
      </c>
      <c r="BA790" s="3"/>
      <c r="BB790" t="str">
        <f t="shared" si="38"/>
        <v>No scrap rate (No impact);</v>
      </c>
    </row>
    <row r="791" spans="1:54" x14ac:dyDescent="0.3">
      <c r="A791" t="s">
        <v>2599</v>
      </c>
      <c r="B791" t="s">
        <v>2600</v>
      </c>
      <c r="C791" t="s">
        <v>1256</v>
      </c>
      <c r="D791" t="s">
        <v>1257</v>
      </c>
      <c r="G791" t="s">
        <v>1615</v>
      </c>
      <c r="H791" t="s">
        <v>1616</v>
      </c>
      <c r="J791" t="s">
        <v>1046</v>
      </c>
      <c r="L791">
        <v>0</v>
      </c>
      <c r="M791">
        <v>2E-3</v>
      </c>
      <c r="N791" t="s">
        <v>198</v>
      </c>
      <c r="O791">
        <v>2E-3</v>
      </c>
      <c r="P791" t="s">
        <v>198</v>
      </c>
      <c r="Q791" t="s">
        <v>199</v>
      </c>
      <c r="R791" s="3"/>
      <c r="W791" t="s">
        <v>200</v>
      </c>
      <c r="X791" s="25"/>
      <c r="Y791" s="26"/>
      <c r="Z791" s="27"/>
      <c r="AA791" t="s">
        <v>25</v>
      </c>
      <c r="AB791" t="s">
        <v>201</v>
      </c>
      <c r="AC791" s="3"/>
      <c r="AH791" t="s">
        <v>202</v>
      </c>
      <c r="AK791" t="s">
        <v>203</v>
      </c>
      <c r="AP791" t="s">
        <v>200</v>
      </c>
      <c r="AR791" s="25"/>
      <c r="AT791" s="25">
        <v>0</v>
      </c>
      <c r="AU791" s="26"/>
      <c r="AV791" s="26"/>
      <c r="AW791" s="26"/>
      <c r="AX791" s="26" t="str">
        <f t="shared" si="36"/>
        <v/>
      </c>
      <c r="AY791" t="str">
        <f t="shared" si="37"/>
        <v/>
      </c>
      <c r="AZ791" t="s">
        <v>200</v>
      </c>
      <c r="BA791" s="3"/>
      <c r="BB791" t="str">
        <f t="shared" si="38"/>
        <v>No scrap rate (No impact);</v>
      </c>
    </row>
    <row r="792" spans="1:54" x14ac:dyDescent="0.3">
      <c r="A792" t="s">
        <v>2601</v>
      </c>
      <c r="B792" t="s">
        <v>2602</v>
      </c>
      <c r="C792" t="s">
        <v>1256</v>
      </c>
      <c r="D792" t="s">
        <v>1257</v>
      </c>
      <c r="G792" t="s">
        <v>1615</v>
      </c>
      <c r="H792" t="s">
        <v>1616</v>
      </c>
      <c r="J792" t="s">
        <v>1046</v>
      </c>
      <c r="L792">
        <v>0</v>
      </c>
      <c r="M792">
        <v>2E-3</v>
      </c>
      <c r="N792" t="s">
        <v>198</v>
      </c>
      <c r="O792">
        <v>2E-3</v>
      </c>
      <c r="P792" t="s">
        <v>198</v>
      </c>
      <c r="Q792" t="s">
        <v>199</v>
      </c>
      <c r="R792" s="3"/>
      <c r="W792" t="s">
        <v>200</v>
      </c>
      <c r="X792" s="25"/>
      <c r="Y792" s="26"/>
      <c r="Z792" s="27"/>
      <c r="AA792" t="s">
        <v>25</v>
      </c>
      <c r="AB792" t="s">
        <v>201</v>
      </c>
      <c r="AC792" s="3"/>
      <c r="AH792" t="s">
        <v>202</v>
      </c>
      <c r="AK792" t="s">
        <v>203</v>
      </c>
      <c r="AP792" t="s">
        <v>200</v>
      </c>
      <c r="AR792" s="25"/>
      <c r="AT792" s="25">
        <v>0</v>
      </c>
      <c r="AU792" s="26"/>
      <c r="AV792" s="26"/>
      <c r="AW792" s="26"/>
      <c r="AX792" s="26" t="str">
        <f t="shared" si="36"/>
        <v/>
      </c>
      <c r="AY792" t="str">
        <f t="shared" si="37"/>
        <v/>
      </c>
      <c r="AZ792" t="s">
        <v>200</v>
      </c>
      <c r="BA792" s="3"/>
      <c r="BB792" t="str">
        <f t="shared" si="38"/>
        <v>No scrap rate (No impact);</v>
      </c>
    </row>
    <row r="793" spans="1:54" x14ac:dyDescent="0.3">
      <c r="A793" t="s">
        <v>2603</v>
      </c>
      <c r="B793" t="s">
        <v>2604</v>
      </c>
      <c r="C793" t="s">
        <v>1256</v>
      </c>
      <c r="D793" t="s">
        <v>1257</v>
      </c>
      <c r="G793" t="s">
        <v>903</v>
      </c>
      <c r="H793" t="s">
        <v>361</v>
      </c>
      <c r="J793" t="s">
        <v>1590</v>
      </c>
      <c r="L793">
        <v>0</v>
      </c>
      <c r="M793">
        <v>2E-3</v>
      </c>
      <c r="N793" t="s">
        <v>198</v>
      </c>
      <c r="O793">
        <v>2E-3</v>
      </c>
      <c r="P793" t="s">
        <v>198</v>
      </c>
      <c r="Q793" t="s">
        <v>199</v>
      </c>
      <c r="R793" s="3"/>
      <c r="W793" t="s">
        <v>200</v>
      </c>
      <c r="X793" s="25"/>
      <c r="Y793" s="26"/>
      <c r="Z793" s="27"/>
      <c r="AA793" t="s">
        <v>25</v>
      </c>
      <c r="AB793" t="s">
        <v>201</v>
      </c>
      <c r="AC793" s="3"/>
      <c r="AH793" t="s">
        <v>202</v>
      </c>
      <c r="AK793" t="s">
        <v>203</v>
      </c>
      <c r="AP793" t="s">
        <v>200</v>
      </c>
      <c r="AR793" s="25"/>
      <c r="AT793" s="25">
        <v>0</v>
      </c>
      <c r="AU793" s="26"/>
      <c r="AV793" s="26"/>
      <c r="AW793" s="26"/>
      <c r="AX793" s="26" t="str">
        <f t="shared" si="36"/>
        <v/>
      </c>
      <c r="AY793" t="str">
        <f t="shared" si="37"/>
        <v/>
      </c>
      <c r="AZ793" t="s">
        <v>200</v>
      </c>
      <c r="BA793" s="3"/>
      <c r="BB793" t="str">
        <f t="shared" si="38"/>
        <v>No scrap rate (No impact);</v>
      </c>
    </row>
    <row r="794" spans="1:54" x14ac:dyDescent="0.3">
      <c r="A794" t="s">
        <v>2605</v>
      </c>
      <c r="B794" t="s">
        <v>2606</v>
      </c>
      <c r="C794" t="s">
        <v>1256</v>
      </c>
      <c r="D794" t="s">
        <v>1257</v>
      </c>
      <c r="G794" t="s">
        <v>903</v>
      </c>
      <c r="H794" t="s">
        <v>361</v>
      </c>
      <c r="J794" t="s">
        <v>1590</v>
      </c>
      <c r="L794">
        <v>0</v>
      </c>
      <c r="M794">
        <v>2E-3</v>
      </c>
      <c r="N794" t="s">
        <v>198</v>
      </c>
      <c r="O794">
        <v>2E-3</v>
      </c>
      <c r="P794" t="s">
        <v>198</v>
      </c>
      <c r="Q794" t="s">
        <v>199</v>
      </c>
      <c r="R794" s="3"/>
      <c r="W794" t="s">
        <v>200</v>
      </c>
      <c r="X794" s="25"/>
      <c r="Y794" s="26"/>
      <c r="Z794" s="27"/>
      <c r="AA794" t="s">
        <v>25</v>
      </c>
      <c r="AB794" t="s">
        <v>201</v>
      </c>
      <c r="AC794" s="3"/>
      <c r="AH794" t="s">
        <v>202</v>
      </c>
      <c r="AK794" t="s">
        <v>203</v>
      </c>
      <c r="AP794" t="s">
        <v>200</v>
      </c>
      <c r="AR794" s="25"/>
      <c r="AT794" s="25">
        <v>0</v>
      </c>
      <c r="AU794" s="26"/>
      <c r="AV794" s="26"/>
      <c r="AW794" s="26"/>
      <c r="AX794" s="26" t="str">
        <f t="shared" si="36"/>
        <v/>
      </c>
      <c r="AY794" t="str">
        <f t="shared" si="37"/>
        <v/>
      </c>
      <c r="AZ794" t="s">
        <v>200</v>
      </c>
      <c r="BA794" s="3"/>
      <c r="BB794" t="str">
        <f t="shared" si="38"/>
        <v>No scrap rate (No impact);</v>
      </c>
    </row>
    <row r="795" spans="1:54" x14ac:dyDescent="0.3">
      <c r="A795" t="s">
        <v>2607</v>
      </c>
      <c r="B795" t="s">
        <v>2608</v>
      </c>
      <c r="C795" t="s">
        <v>1110</v>
      </c>
      <c r="D795" t="s">
        <v>1111</v>
      </c>
      <c r="G795" t="s">
        <v>903</v>
      </c>
      <c r="H795" t="s">
        <v>361</v>
      </c>
      <c r="J795" t="s">
        <v>1089</v>
      </c>
      <c r="L795">
        <v>0</v>
      </c>
      <c r="M795">
        <v>1.9E-2</v>
      </c>
      <c r="N795" t="s">
        <v>198</v>
      </c>
      <c r="O795">
        <v>1.9E-2</v>
      </c>
      <c r="P795" t="s">
        <v>198</v>
      </c>
      <c r="Q795" t="s">
        <v>199</v>
      </c>
      <c r="R795" s="3"/>
      <c r="W795" t="s">
        <v>200</v>
      </c>
      <c r="X795" s="25"/>
      <c r="Y795" s="26"/>
      <c r="Z795" s="27"/>
      <c r="AA795" t="s">
        <v>25</v>
      </c>
      <c r="AB795" t="s">
        <v>201</v>
      </c>
      <c r="AC795" s="3"/>
      <c r="AH795" t="s">
        <v>202</v>
      </c>
      <c r="AK795" t="s">
        <v>203</v>
      </c>
      <c r="AP795" t="s">
        <v>200</v>
      </c>
      <c r="AR795" s="25"/>
      <c r="AT795" s="25">
        <v>0</v>
      </c>
      <c r="AU795" s="26"/>
      <c r="AV795" s="26"/>
      <c r="AW795" s="26"/>
      <c r="AX795" s="26" t="str">
        <f t="shared" si="36"/>
        <v/>
      </c>
      <c r="AY795" t="str">
        <f t="shared" si="37"/>
        <v/>
      </c>
      <c r="AZ795" t="s">
        <v>200</v>
      </c>
      <c r="BA795" s="3"/>
      <c r="BB795" t="str">
        <f t="shared" si="38"/>
        <v>No scrap rate (No impact);</v>
      </c>
    </row>
    <row r="796" spans="1:54" x14ac:dyDescent="0.3">
      <c r="A796" t="s">
        <v>2609</v>
      </c>
      <c r="B796" t="s">
        <v>2610</v>
      </c>
      <c r="C796" t="s">
        <v>1110</v>
      </c>
      <c r="D796" t="s">
        <v>1111</v>
      </c>
      <c r="G796" t="s">
        <v>274</v>
      </c>
      <c r="H796" t="s">
        <v>275</v>
      </c>
      <c r="J796" t="s">
        <v>1089</v>
      </c>
      <c r="L796">
        <v>0</v>
      </c>
      <c r="M796">
        <v>7.6999999999999999E-2</v>
      </c>
      <c r="N796" t="s">
        <v>198</v>
      </c>
      <c r="O796">
        <v>7.6999999999999999E-2</v>
      </c>
      <c r="P796" t="s">
        <v>198</v>
      </c>
      <c r="Q796" t="s">
        <v>199</v>
      </c>
      <c r="R796" s="3"/>
      <c r="W796" t="s">
        <v>200</v>
      </c>
      <c r="X796" s="25"/>
      <c r="Y796" s="26"/>
      <c r="Z796" s="27"/>
      <c r="AA796" t="s">
        <v>25</v>
      </c>
      <c r="AB796" t="s">
        <v>201</v>
      </c>
      <c r="AC796" s="3"/>
      <c r="AH796" t="s">
        <v>202</v>
      </c>
      <c r="AK796" t="s">
        <v>203</v>
      </c>
      <c r="AP796" t="s">
        <v>200</v>
      </c>
      <c r="AR796" s="25"/>
      <c r="AT796" s="25">
        <v>0</v>
      </c>
      <c r="AU796" s="26"/>
      <c r="AV796" s="26"/>
      <c r="AW796" s="26"/>
      <c r="AX796" s="26" t="str">
        <f t="shared" si="36"/>
        <v/>
      </c>
      <c r="AY796" t="str">
        <f t="shared" si="37"/>
        <v/>
      </c>
      <c r="AZ796" t="s">
        <v>200</v>
      </c>
      <c r="BA796" s="3"/>
      <c r="BB796" t="str">
        <f t="shared" si="38"/>
        <v>No scrap rate (No impact);</v>
      </c>
    </row>
    <row r="797" spans="1:54" x14ac:dyDescent="0.3">
      <c r="A797" t="s">
        <v>2611</v>
      </c>
      <c r="B797" t="s">
        <v>2612</v>
      </c>
      <c r="C797" t="s">
        <v>918</v>
      </c>
      <c r="D797" t="s">
        <v>919</v>
      </c>
      <c r="G797" t="s">
        <v>274</v>
      </c>
      <c r="H797" t="s">
        <v>275</v>
      </c>
      <c r="J797" t="s">
        <v>1046</v>
      </c>
      <c r="L797">
        <v>0</v>
      </c>
      <c r="M797">
        <v>2E-3</v>
      </c>
      <c r="N797" t="s">
        <v>198</v>
      </c>
      <c r="O797">
        <v>2E-3</v>
      </c>
      <c r="P797" t="s">
        <v>198</v>
      </c>
      <c r="Q797" t="s">
        <v>199</v>
      </c>
      <c r="R797" s="3"/>
      <c r="W797" t="s">
        <v>200</v>
      </c>
      <c r="X797" s="25"/>
      <c r="Y797" s="26"/>
      <c r="Z797" s="27"/>
      <c r="AA797" t="s">
        <v>25</v>
      </c>
      <c r="AB797" t="s">
        <v>201</v>
      </c>
      <c r="AC797" s="3"/>
      <c r="AH797" t="s">
        <v>202</v>
      </c>
      <c r="AK797" t="s">
        <v>203</v>
      </c>
      <c r="AP797" t="s">
        <v>200</v>
      </c>
      <c r="AR797" s="25"/>
      <c r="AT797" s="25">
        <v>0</v>
      </c>
      <c r="AU797" s="26"/>
      <c r="AV797" s="26"/>
      <c r="AW797" s="26"/>
      <c r="AX797" s="26" t="str">
        <f t="shared" si="36"/>
        <v/>
      </c>
      <c r="AY797" t="str">
        <f t="shared" si="37"/>
        <v/>
      </c>
      <c r="AZ797" t="s">
        <v>200</v>
      </c>
      <c r="BA797" s="3"/>
      <c r="BB797" t="str">
        <f t="shared" si="38"/>
        <v>No scrap rate (No impact);</v>
      </c>
    </row>
    <row r="798" spans="1:54" x14ac:dyDescent="0.3">
      <c r="A798" t="s">
        <v>2613</v>
      </c>
      <c r="B798" t="s">
        <v>2614</v>
      </c>
      <c r="C798" t="s">
        <v>1256</v>
      </c>
      <c r="D798" t="s">
        <v>1257</v>
      </c>
      <c r="G798" t="s">
        <v>274</v>
      </c>
      <c r="H798" t="s">
        <v>275</v>
      </c>
      <c r="J798" t="s">
        <v>1590</v>
      </c>
      <c r="L798">
        <v>0</v>
      </c>
      <c r="M798">
        <v>4.0000000000000001E-3</v>
      </c>
      <c r="N798" t="s">
        <v>198</v>
      </c>
      <c r="O798">
        <v>4.0000000000000001E-3</v>
      </c>
      <c r="P798" t="s">
        <v>198</v>
      </c>
      <c r="Q798" t="s">
        <v>199</v>
      </c>
      <c r="R798" s="3"/>
      <c r="W798" t="s">
        <v>200</v>
      </c>
      <c r="X798" s="25"/>
      <c r="Y798" s="26"/>
      <c r="Z798" s="27"/>
      <c r="AA798" t="s">
        <v>25</v>
      </c>
      <c r="AB798" t="s">
        <v>201</v>
      </c>
      <c r="AC798" s="3"/>
      <c r="AH798" t="s">
        <v>202</v>
      </c>
      <c r="AK798" t="s">
        <v>203</v>
      </c>
      <c r="AP798" t="s">
        <v>200</v>
      </c>
      <c r="AR798" s="25"/>
      <c r="AT798" s="25">
        <v>0</v>
      </c>
      <c r="AU798" s="26"/>
      <c r="AV798" s="26"/>
      <c r="AW798" s="26"/>
      <c r="AX798" s="26" t="str">
        <f t="shared" si="36"/>
        <v/>
      </c>
      <c r="AY798" t="str">
        <f t="shared" si="37"/>
        <v/>
      </c>
      <c r="AZ798" t="s">
        <v>200</v>
      </c>
      <c r="BA798" s="3"/>
      <c r="BB798" t="str">
        <f t="shared" si="38"/>
        <v>No scrap rate (No impact);</v>
      </c>
    </row>
    <row r="799" spans="1:54" x14ac:dyDescent="0.3">
      <c r="A799" t="s">
        <v>2615</v>
      </c>
      <c r="B799" t="s">
        <v>2616</v>
      </c>
      <c r="C799" t="s">
        <v>966</v>
      </c>
      <c r="D799" t="s">
        <v>967</v>
      </c>
      <c r="G799" t="s">
        <v>246</v>
      </c>
      <c r="H799" t="s">
        <v>247</v>
      </c>
      <c r="J799" t="s">
        <v>1046</v>
      </c>
      <c r="L799">
        <v>0</v>
      </c>
      <c r="M799">
        <v>1E-3</v>
      </c>
      <c r="N799" t="s">
        <v>198</v>
      </c>
      <c r="O799">
        <v>1E-3</v>
      </c>
      <c r="P799" t="s">
        <v>198</v>
      </c>
      <c r="Q799" t="s">
        <v>199</v>
      </c>
      <c r="R799" s="3"/>
      <c r="W799" t="s">
        <v>200</v>
      </c>
      <c r="X799" s="25"/>
      <c r="Y799" s="26"/>
      <c r="Z799" s="27"/>
      <c r="AA799" t="s">
        <v>25</v>
      </c>
      <c r="AB799" t="s">
        <v>201</v>
      </c>
      <c r="AC799" s="3"/>
      <c r="AH799" t="s">
        <v>202</v>
      </c>
      <c r="AK799" t="s">
        <v>203</v>
      </c>
      <c r="AP799" t="s">
        <v>200</v>
      </c>
      <c r="AR799" s="25"/>
      <c r="AT799" s="25">
        <v>0</v>
      </c>
      <c r="AU799" s="26"/>
      <c r="AV799" s="26"/>
      <c r="AW799" s="26"/>
      <c r="AX799" s="26" t="str">
        <f t="shared" si="36"/>
        <v/>
      </c>
      <c r="AY799" t="str">
        <f t="shared" si="37"/>
        <v/>
      </c>
      <c r="AZ799" t="s">
        <v>200</v>
      </c>
      <c r="BA799" s="3"/>
      <c r="BB799" t="str">
        <f t="shared" si="38"/>
        <v>No scrap rate (No impact);</v>
      </c>
    </row>
    <row r="800" spans="1:54" x14ac:dyDescent="0.3">
      <c r="A800" t="s">
        <v>2617</v>
      </c>
      <c r="B800" t="s">
        <v>2618</v>
      </c>
      <c r="C800" t="s">
        <v>1256</v>
      </c>
      <c r="D800" t="s">
        <v>1257</v>
      </c>
      <c r="G800" t="s">
        <v>246</v>
      </c>
      <c r="H800" t="s">
        <v>247</v>
      </c>
      <c r="J800" t="s">
        <v>1590</v>
      </c>
      <c r="L800">
        <v>0</v>
      </c>
      <c r="M800">
        <v>1.7999999999999999E-2</v>
      </c>
      <c r="N800" t="s">
        <v>198</v>
      </c>
      <c r="O800">
        <v>1.7999999999999999E-2</v>
      </c>
      <c r="P800" t="s">
        <v>198</v>
      </c>
      <c r="Q800" t="s">
        <v>199</v>
      </c>
      <c r="R800" s="3"/>
      <c r="W800" t="s">
        <v>200</v>
      </c>
      <c r="X800" s="25"/>
      <c r="Y800" s="26"/>
      <c r="Z800" s="27"/>
      <c r="AA800" t="s">
        <v>25</v>
      </c>
      <c r="AB800" t="s">
        <v>201</v>
      </c>
      <c r="AC800" s="3"/>
      <c r="AH800" t="s">
        <v>202</v>
      </c>
      <c r="AK800" t="s">
        <v>203</v>
      </c>
      <c r="AP800" t="s">
        <v>200</v>
      </c>
      <c r="AR800" s="25"/>
      <c r="AT800" s="25">
        <v>0</v>
      </c>
      <c r="AU800" s="26"/>
      <c r="AV800" s="26"/>
      <c r="AW800" s="26"/>
      <c r="AX800" s="26" t="str">
        <f t="shared" si="36"/>
        <v/>
      </c>
      <c r="AY800" t="str">
        <f t="shared" si="37"/>
        <v/>
      </c>
      <c r="AZ800" t="s">
        <v>200</v>
      </c>
      <c r="BA800" s="3"/>
      <c r="BB800" t="str">
        <f t="shared" si="38"/>
        <v>No scrap rate (No impact);</v>
      </c>
    </row>
    <row r="801" spans="1:54" x14ac:dyDescent="0.3">
      <c r="A801" t="s">
        <v>2619</v>
      </c>
      <c r="B801" t="s">
        <v>2620</v>
      </c>
      <c r="C801" t="s">
        <v>1110</v>
      </c>
      <c r="D801" t="s">
        <v>1111</v>
      </c>
      <c r="G801" t="s">
        <v>246</v>
      </c>
      <c r="H801" t="s">
        <v>247</v>
      </c>
      <c r="J801" t="s">
        <v>1089</v>
      </c>
      <c r="L801">
        <v>0</v>
      </c>
      <c r="M801">
        <v>6.7000000000000004E-2</v>
      </c>
      <c r="N801" t="s">
        <v>198</v>
      </c>
      <c r="O801">
        <v>6.7000000000000004E-2</v>
      </c>
      <c r="P801" t="s">
        <v>198</v>
      </c>
      <c r="Q801" t="s">
        <v>199</v>
      </c>
      <c r="R801" s="3"/>
      <c r="W801" t="s">
        <v>200</v>
      </c>
      <c r="X801" s="25"/>
      <c r="Y801" s="26"/>
      <c r="Z801" s="27"/>
      <c r="AA801" t="s">
        <v>25</v>
      </c>
      <c r="AB801" t="s">
        <v>201</v>
      </c>
      <c r="AC801" s="3"/>
      <c r="AH801" t="s">
        <v>202</v>
      </c>
      <c r="AK801" t="s">
        <v>203</v>
      </c>
      <c r="AP801" t="s">
        <v>200</v>
      </c>
      <c r="AR801" s="25"/>
      <c r="AT801" s="25">
        <v>0</v>
      </c>
      <c r="AU801" s="26"/>
      <c r="AV801" s="26"/>
      <c r="AW801" s="26"/>
      <c r="AX801" s="26" t="str">
        <f t="shared" si="36"/>
        <v/>
      </c>
      <c r="AY801" t="str">
        <f t="shared" si="37"/>
        <v/>
      </c>
      <c r="AZ801" t="s">
        <v>200</v>
      </c>
      <c r="BA801" s="3"/>
      <c r="BB801" t="str">
        <f t="shared" si="38"/>
        <v>No scrap rate (No impact);</v>
      </c>
    </row>
    <row r="802" spans="1:54" x14ac:dyDescent="0.3">
      <c r="A802" t="s">
        <v>2621</v>
      </c>
      <c r="B802" t="s">
        <v>2622</v>
      </c>
      <c r="C802" t="s">
        <v>1110</v>
      </c>
      <c r="D802" t="s">
        <v>1111</v>
      </c>
      <c r="G802" t="s">
        <v>412</v>
      </c>
      <c r="H802" t="s">
        <v>413</v>
      </c>
      <c r="J802" t="s">
        <v>1089</v>
      </c>
      <c r="L802">
        <v>0</v>
      </c>
      <c r="M802">
        <v>5.5E-2</v>
      </c>
      <c r="N802" t="s">
        <v>198</v>
      </c>
      <c r="O802">
        <v>5.5E-2</v>
      </c>
      <c r="P802" t="s">
        <v>198</v>
      </c>
      <c r="Q802" t="s">
        <v>199</v>
      </c>
      <c r="R802" s="3"/>
      <c r="W802" t="s">
        <v>200</v>
      </c>
      <c r="X802" s="25"/>
      <c r="Y802" s="26"/>
      <c r="Z802" s="27"/>
      <c r="AA802" t="s">
        <v>25</v>
      </c>
      <c r="AB802" t="s">
        <v>201</v>
      </c>
      <c r="AC802" s="3"/>
      <c r="AH802" t="s">
        <v>202</v>
      </c>
      <c r="AK802" t="s">
        <v>203</v>
      </c>
      <c r="AP802" t="s">
        <v>200</v>
      </c>
      <c r="AR802" s="25"/>
      <c r="AT802" s="25">
        <v>0</v>
      </c>
      <c r="AU802" s="26"/>
      <c r="AV802" s="26"/>
      <c r="AW802" s="26"/>
      <c r="AX802" s="26" t="str">
        <f t="shared" si="36"/>
        <v/>
      </c>
      <c r="AY802" t="str">
        <f t="shared" si="37"/>
        <v/>
      </c>
      <c r="AZ802" t="s">
        <v>200</v>
      </c>
      <c r="BA802" s="3"/>
      <c r="BB802" t="str">
        <f t="shared" si="38"/>
        <v>No scrap rate (No impact);</v>
      </c>
    </row>
    <row r="803" spans="1:54" x14ac:dyDescent="0.3">
      <c r="A803" t="s">
        <v>2623</v>
      </c>
      <c r="B803" t="s">
        <v>2624</v>
      </c>
      <c r="C803" t="s">
        <v>1256</v>
      </c>
      <c r="D803" t="s">
        <v>1257</v>
      </c>
      <c r="G803" t="s">
        <v>412</v>
      </c>
      <c r="H803" t="s">
        <v>413</v>
      </c>
      <c r="J803" t="s">
        <v>1590</v>
      </c>
      <c r="L803">
        <v>0</v>
      </c>
      <c r="M803">
        <v>1E-3</v>
      </c>
      <c r="N803" t="s">
        <v>198</v>
      </c>
      <c r="O803">
        <v>1E-3</v>
      </c>
      <c r="P803" t="s">
        <v>198</v>
      </c>
      <c r="Q803" t="s">
        <v>199</v>
      </c>
      <c r="R803" s="3"/>
      <c r="W803" t="s">
        <v>200</v>
      </c>
      <c r="X803" s="25"/>
      <c r="Y803" s="26"/>
      <c r="Z803" s="27"/>
      <c r="AA803" t="s">
        <v>25</v>
      </c>
      <c r="AB803" t="s">
        <v>201</v>
      </c>
      <c r="AC803" s="3"/>
      <c r="AH803" t="s">
        <v>202</v>
      </c>
      <c r="AK803" t="s">
        <v>203</v>
      </c>
      <c r="AP803" t="s">
        <v>200</v>
      </c>
      <c r="AR803" s="25"/>
      <c r="AT803" s="25">
        <v>0</v>
      </c>
      <c r="AU803" s="26"/>
      <c r="AV803" s="26"/>
      <c r="AW803" s="26"/>
      <c r="AX803" s="26" t="str">
        <f t="shared" si="36"/>
        <v/>
      </c>
      <c r="AY803" t="str">
        <f t="shared" si="37"/>
        <v/>
      </c>
      <c r="AZ803" t="s">
        <v>200</v>
      </c>
      <c r="BA803" s="3"/>
      <c r="BB803" t="str">
        <f t="shared" si="38"/>
        <v>No scrap rate (No impact);</v>
      </c>
    </row>
    <row r="804" spans="1:54" x14ac:dyDescent="0.3">
      <c r="A804" t="s">
        <v>2625</v>
      </c>
      <c r="B804" t="s">
        <v>2626</v>
      </c>
      <c r="C804" t="s">
        <v>1256</v>
      </c>
      <c r="D804" t="s">
        <v>1257</v>
      </c>
      <c r="G804" t="s">
        <v>412</v>
      </c>
      <c r="H804" t="s">
        <v>413</v>
      </c>
      <c r="J804" t="s">
        <v>1590</v>
      </c>
      <c r="L804">
        <v>0</v>
      </c>
      <c r="M804">
        <v>0</v>
      </c>
      <c r="N804" t="s">
        <v>198</v>
      </c>
      <c r="O804">
        <v>0</v>
      </c>
      <c r="P804" t="s">
        <v>198</v>
      </c>
      <c r="Q804" t="s">
        <v>199</v>
      </c>
      <c r="R804" s="3"/>
      <c r="W804" t="s">
        <v>200</v>
      </c>
      <c r="X804" s="25"/>
      <c r="Y804" s="26"/>
      <c r="Z804" s="27"/>
      <c r="AA804" t="s">
        <v>25</v>
      </c>
      <c r="AB804" t="s">
        <v>201</v>
      </c>
      <c r="AC804" s="3"/>
      <c r="AH804" t="s">
        <v>202</v>
      </c>
      <c r="AK804" t="s">
        <v>203</v>
      </c>
      <c r="AP804" t="s">
        <v>200</v>
      </c>
      <c r="AR804" s="25"/>
      <c r="AT804" s="25">
        <v>0</v>
      </c>
      <c r="AU804" s="26"/>
      <c r="AV804" s="26"/>
      <c r="AW804" s="26"/>
      <c r="AX804" s="26" t="str">
        <f t="shared" si="36"/>
        <v/>
      </c>
      <c r="AY804" t="str">
        <f t="shared" si="37"/>
        <v/>
      </c>
      <c r="AZ804" t="s">
        <v>200</v>
      </c>
      <c r="BA804" s="3"/>
      <c r="BB804" t="str">
        <f t="shared" si="38"/>
        <v>No scrap rate (No impact);</v>
      </c>
    </row>
    <row r="805" spans="1:54" x14ac:dyDescent="0.3">
      <c r="A805" t="s">
        <v>2627</v>
      </c>
      <c r="B805" t="s">
        <v>2628</v>
      </c>
      <c r="C805" t="s">
        <v>1256</v>
      </c>
      <c r="D805" t="s">
        <v>1257</v>
      </c>
      <c r="G805" t="s">
        <v>196</v>
      </c>
      <c r="H805" t="s">
        <v>197</v>
      </c>
      <c r="J805" t="s">
        <v>1590</v>
      </c>
      <c r="L805">
        <v>0</v>
      </c>
      <c r="M805">
        <v>3.0000000000000001E-3</v>
      </c>
      <c r="N805" t="s">
        <v>198</v>
      </c>
      <c r="O805">
        <v>3.0000000000000001E-3</v>
      </c>
      <c r="P805" t="s">
        <v>198</v>
      </c>
      <c r="Q805" t="s">
        <v>199</v>
      </c>
      <c r="R805" s="3"/>
      <c r="W805" t="s">
        <v>200</v>
      </c>
      <c r="X805" s="25"/>
      <c r="Y805" s="26"/>
      <c r="Z805" s="27"/>
      <c r="AA805" t="s">
        <v>25</v>
      </c>
      <c r="AB805" t="s">
        <v>201</v>
      </c>
      <c r="AC805" s="3"/>
      <c r="AH805" t="s">
        <v>202</v>
      </c>
      <c r="AK805" t="s">
        <v>203</v>
      </c>
      <c r="AP805" t="s">
        <v>200</v>
      </c>
      <c r="AR805" s="25"/>
      <c r="AT805" s="25">
        <v>0</v>
      </c>
      <c r="AU805" s="26"/>
      <c r="AV805" s="26"/>
      <c r="AW805" s="26"/>
      <c r="AX805" s="26" t="str">
        <f t="shared" si="36"/>
        <v/>
      </c>
      <c r="AY805" t="str">
        <f t="shared" si="37"/>
        <v/>
      </c>
      <c r="AZ805" t="s">
        <v>200</v>
      </c>
      <c r="BA805" s="3"/>
      <c r="BB805" t="str">
        <f t="shared" si="38"/>
        <v>No scrap rate (No impact);</v>
      </c>
    </row>
    <row r="806" spans="1:54" x14ac:dyDescent="0.3">
      <c r="A806" t="s">
        <v>2629</v>
      </c>
      <c r="B806" t="s">
        <v>2630</v>
      </c>
      <c r="C806" t="s">
        <v>1110</v>
      </c>
      <c r="D806" t="s">
        <v>1111</v>
      </c>
      <c r="G806" t="s">
        <v>493</v>
      </c>
      <c r="H806" t="s">
        <v>494</v>
      </c>
      <c r="J806" t="s">
        <v>1089</v>
      </c>
      <c r="L806">
        <v>0</v>
      </c>
      <c r="M806">
        <v>2.5999999999999999E-2</v>
      </c>
      <c r="N806" t="s">
        <v>198</v>
      </c>
      <c r="O806">
        <v>2.5999999999999999E-2</v>
      </c>
      <c r="P806" t="s">
        <v>198</v>
      </c>
      <c r="Q806" t="s">
        <v>199</v>
      </c>
      <c r="R806" s="3"/>
      <c r="W806" t="s">
        <v>200</v>
      </c>
      <c r="X806" s="25"/>
      <c r="Y806" s="26"/>
      <c r="Z806" s="27"/>
      <c r="AA806" t="s">
        <v>25</v>
      </c>
      <c r="AB806" t="s">
        <v>201</v>
      </c>
      <c r="AC806" s="3"/>
      <c r="AH806" t="s">
        <v>202</v>
      </c>
      <c r="AK806" t="s">
        <v>203</v>
      </c>
      <c r="AP806" t="s">
        <v>200</v>
      </c>
      <c r="AR806" s="25"/>
      <c r="AT806" s="25">
        <v>0</v>
      </c>
      <c r="AU806" s="26"/>
      <c r="AV806" s="26"/>
      <c r="AW806" s="26"/>
      <c r="AX806" s="26" t="str">
        <f t="shared" si="36"/>
        <v/>
      </c>
      <c r="AY806" t="str">
        <f t="shared" si="37"/>
        <v/>
      </c>
      <c r="AZ806" t="s">
        <v>200</v>
      </c>
      <c r="BA806" s="3"/>
      <c r="BB806" t="str">
        <f t="shared" si="38"/>
        <v>No scrap rate (No impact);</v>
      </c>
    </row>
    <row r="807" spans="1:54" x14ac:dyDescent="0.3">
      <c r="A807" t="s">
        <v>2631</v>
      </c>
      <c r="B807" t="s">
        <v>2632</v>
      </c>
      <c r="C807" t="s">
        <v>946</v>
      </c>
      <c r="D807" t="s">
        <v>947</v>
      </c>
      <c r="G807" t="s">
        <v>493</v>
      </c>
      <c r="H807" t="s">
        <v>494</v>
      </c>
      <c r="J807" t="s">
        <v>926</v>
      </c>
      <c r="L807">
        <v>0</v>
      </c>
      <c r="M807">
        <v>0.2</v>
      </c>
      <c r="N807" t="s">
        <v>198</v>
      </c>
      <c r="O807">
        <v>0.2</v>
      </c>
      <c r="P807" t="s">
        <v>198</v>
      </c>
      <c r="Q807" t="s">
        <v>199</v>
      </c>
      <c r="R807" s="3"/>
      <c r="W807" t="s">
        <v>200</v>
      </c>
      <c r="X807" s="25"/>
      <c r="Y807" s="26"/>
      <c r="Z807" s="27"/>
      <c r="AA807" t="s">
        <v>25</v>
      </c>
      <c r="AB807" t="s">
        <v>201</v>
      </c>
      <c r="AC807" s="3"/>
      <c r="AH807" t="s">
        <v>202</v>
      </c>
      <c r="AK807" t="s">
        <v>203</v>
      </c>
      <c r="AP807" t="s">
        <v>200</v>
      </c>
      <c r="AR807" s="25"/>
      <c r="AT807" s="25">
        <v>0</v>
      </c>
      <c r="AU807" s="26"/>
      <c r="AV807" s="26"/>
      <c r="AW807" s="26"/>
      <c r="AX807" s="26" t="str">
        <f t="shared" si="36"/>
        <v/>
      </c>
      <c r="AY807" t="str">
        <f t="shared" si="37"/>
        <v/>
      </c>
      <c r="AZ807" t="s">
        <v>200</v>
      </c>
      <c r="BA807" s="3"/>
      <c r="BB807" t="str">
        <f t="shared" si="38"/>
        <v>No scrap rate (No impact);</v>
      </c>
    </row>
    <row r="808" spans="1:54" x14ac:dyDescent="0.3">
      <c r="A808" t="s">
        <v>2633</v>
      </c>
      <c r="B808" t="s">
        <v>2634</v>
      </c>
      <c r="C808" t="s">
        <v>1256</v>
      </c>
      <c r="D808" t="s">
        <v>1257</v>
      </c>
      <c r="G808" t="s">
        <v>196</v>
      </c>
      <c r="H808" t="s">
        <v>197</v>
      </c>
      <c r="J808" t="s">
        <v>1590</v>
      </c>
      <c r="L808">
        <v>0</v>
      </c>
      <c r="M808">
        <v>3.0000000000000001E-3</v>
      </c>
      <c r="N808" t="s">
        <v>198</v>
      </c>
      <c r="O808">
        <v>3.0000000000000001E-3</v>
      </c>
      <c r="P808" t="s">
        <v>198</v>
      </c>
      <c r="Q808" t="s">
        <v>199</v>
      </c>
      <c r="R808" s="3"/>
      <c r="W808" t="s">
        <v>200</v>
      </c>
      <c r="X808" s="25"/>
      <c r="Y808" s="26"/>
      <c r="Z808" s="27"/>
      <c r="AA808" t="s">
        <v>25</v>
      </c>
      <c r="AB808" t="s">
        <v>201</v>
      </c>
      <c r="AC808" s="3"/>
      <c r="AH808" t="s">
        <v>202</v>
      </c>
      <c r="AK808" t="s">
        <v>203</v>
      </c>
      <c r="AP808" t="s">
        <v>200</v>
      </c>
      <c r="AR808" s="25"/>
      <c r="AT808" s="25">
        <v>0</v>
      </c>
      <c r="AU808" s="26"/>
      <c r="AV808" s="26"/>
      <c r="AW808" s="26"/>
      <c r="AX808" s="26" t="str">
        <f t="shared" si="36"/>
        <v/>
      </c>
      <c r="AY808" t="str">
        <f t="shared" si="37"/>
        <v/>
      </c>
      <c r="AZ808" t="s">
        <v>200</v>
      </c>
      <c r="BA808" s="3"/>
      <c r="BB808" t="str">
        <f t="shared" si="38"/>
        <v>No scrap rate (No impact);</v>
      </c>
    </row>
    <row r="809" spans="1:54" x14ac:dyDescent="0.3">
      <c r="A809" t="s">
        <v>2635</v>
      </c>
      <c r="B809" t="s">
        <v>2636</v>
      </c>
      <c r="C809" t="s">
        <v>1110</v>
      </c>
      <c r="D809" t="s">
        <v>1111</v>
      </c>
      <c r="G809" t="s">
        <v>1112</v>
      </c>
      <c r="H809" t="s">
        <v>1113</v>
      </c>
      <c r="J809" t="s">
        <v>1089</v>
      </c>
      <c r="L809">
        <v>0</v>
      </c>
      <c r="M809">
        <v>0.14499999999999999</v>
      </c>
      <c r="N809" t="s">
        <v>198</v>
      </c>
      <c r="O809">
        <v>0.14499999999999999</v>
      </c>
      <c r="P809" t="s">
        <v>198</v>
      </c>
      <c r="Q809" t="s">
        <v>199</v>
      </c>
      <c r="R809" s="3"/>
      <c r="W809" t="s">
        <v>200</v>
      </c>
      <c r="X809" s="25"/>
      <c r="Y809" s="26"/>
      <c r="Z809" s="27"/>
      <c r="AA809" t="s">
        <v>25</v>
      </c>
      <c r="AB809" t="s">
        <v>201</v>
      </c>
      <c r="AC809" s="3"/>
      <c r="AH809" t="s">
        <v>202</v>
      </c>
      <c r="AK809" t="s">
        <v>203</v>
      </c>
      <c r="AP809" t="s">
        <v>200</v>
      </c>
      <c r="AR809" s="25"/>
      <c r="AT809" s="25">
        <v>0</v>
      </c>
      <c r="AU809" s="26"/>
      <c r="AV809" s="26"/>
      <c r="AW809" s="26"/>
      <c r="AX809" s="26" t="str">
        <f t="shared" si="36"/>
        <v/>
      </c>
      <c r="AY809" t="str">
        <f t="shared" si="37"/>
        <v/>
      </c>
      <c r="AZ809" t="s">
        <v>200</v>
      </c>
      <c r="BA809" s="3"/>
      <c r="BB809" t="str">
        <f t="shared" si="38"/>
        <v>No scrap rate (No impact);</v>
      </c>
    </row>
    <row r="810" spans="1:54" x14ac:dyDescent="0.3">
      <c r="A810" t="s">
        <v>2637</v>
      </c>
      <c r="B810" t="s">
        <v>2638</v>
      </c>
      <c r="C810" t="s">
        <v>1110</v>
      </c>
      <c r="D810" t="s">
        <v>1111</v>
      </c>
      <c r="G810" t="s">
        <v>1112</v>
      </c>
      <c r="H810" t="s">
        <v>1113</v>
      </c>
      <c r="J810" t="s">
        <v>1089</v>
      </c>
      <c r="L810">
        <v>1</v>
      </c>
      <c r="M810">
        <v>0.14499999999999999</v>
      </c>
      <c r="N810" t="s">
        <v>198</v>
      </c>
      <c r="O810">
        <v>0.14499999999999999</v>
      </c>
      <c r="P810" t="s">
        <v>198</v>
      </c>
      <c r="Q810" t="s">
        <v>199</v>
      </c>
      <c r="R810" s="3"/>
      <c r="W810" t="s">
        <v>200</v>
      </c>
      <c r="X810" s="25"/>
      <c r="Y810" s="26"/>
      <c r="Z810" s="27"/>
      <c r="AA810" t="s">
        <v>25</v>
      </c>
      <c r="AB810" t="s">
        <v>201</v>
      </c>
      <c r="AC810" s="3"/>
      <c r="AH810" t="s">
        <v>202</v>
      </c>
      <c r="AK810" t="s">
        <v>203</v>
      </c>
      <c r="AP810" t="s">
        <v>200</v>
      </c>
      <c r="AR810" s="25"/>
      <c r="AT810" s="25">
        <v>0</v>
      </c>
      <c r="AU810" s="26"/>
      <c r="AV810" s="26"/>
      <c r="AW810" s="26"/>
      <c r="AX810" s="26" t="str">
        <f t="shared" si="36"/>
        <v/>
      </c>
      <c r="AY810" t="str">
        <f t="shared" si="37"/>
        <v/>
      </c>
      <c r="AZ810" t="s">
        <v>200</v>
      </c>
      <c r="BA810" s="3"/>
      <c r="BB810" t="str">
        <f t="shared" si="38"/>
        <v>No scrap rate (No impact);</v>
      </c>
    </row>
    <row r="811" spans="1:54" x14ac:dyDescent="0.3">
      <c r="A811" t="s">
        <v>2639</v>
      </c>
      <c r="B811" t="s">
        <v>2640</v>
      </c>
      <c r="C811" t="s">
        <v>966</v>
      </c>
      <c r="D811" t="s">
        <v>967</v>
      </c>
      <c r="G811" t="s">
        <v>2641</v>
      </c>
      <c r="H811" t="s">
        <v>2642</v>
      </c>
      <c r="J811" t="s">
        <v>1060</v>
      </c>
      <c r="L811">
        <v>0</v>
      </c>
      <c r="M811">
        <v>1E-3</v>
      </c>
      <c r="N811" t="s">
        <v>198</v>
      </c>
      <c r="O811">
        <v>1E-3</v>
      </c>
      <c r="P811" t="s">
        <v>198</v>
      </c>
      <c r="Q811" t="s">
        <v>199</v>
      </c>
      <c r="R811" s="3"/>
      <c r="W811" t="s">
        <v>200</v>
      </c>
      <c r="X811" s="25"/>
      <c r="Y811" s="26"/>
      <c r="Z811" s="27"/>
      <c r="AA811" t="s">
        <v>25</v>
      </c>
      <c r="AB811" t="s">
        <v>201</v>
      </c>
      <c r="AC811" s="3"/>
      <c r="AH811" t="s">
        <v>202</v>
      </c>
      <c r="AK811" t="s">
        <v>203</v>
      </c>
      <c r="AP811" t="s">
        <v>200</v>
      </c>
      <c r="AR811" s="25"/>
      <c r="AT811" s="25">
        <v>0</v>
      </c>
      <c r="AU811" s="26"/>
      <c r="AV811" s="26"/>
      <c r="AW811" s="26"/>
      <c r="AX811" s="26" t="str">
        <f t="shared" si="36"/>
        <v/>
      </c>
      <c r="AY811" t="str">
        <f t="shared" si="37"/>
        <v/>
      </c>
      <c r="AZ811" t="s">
        <v>200</v>
      </c>
      <c r="BA811" s="3"/>
      <c r="BB811" t="str">
        <f t="shared" si="38"/>
        <v>No scrap rate (No impact);</v>
      </c>
    </row>
    <row r="812" spans="1:54" x14ac:dyDescent="0.3">
      <c r="A812" t="s">
        <v>2643</v>
      </c>
      <c r="B812" t="s">
        <v>2644</v>
      </c>
      <c r="C812" t="s">
        <v>1110</v>
      </c>
      <c r="D812" t="s">
        <v>1111</v>
      </c>
      <c r="G812" t="s">
        <v>1655</v>
      </c>
      <c r="H812" t="s">
        <v>1656</v>
      </c>
      <c r="J812" t="s">
        <v>1089</v>
      </c>
      <c r="L812">
        <v>0</v>
      </c>
      <c r="M812">
        <v>0.03</v>
      </c>
      <c r="N812" t="s">
        <v>198</v>
      </c>
      <c r="O812">
        <v>0.03</v>
      </c>
      <c r="P812" t="s">
        <v>198</v>
      </c>
      <c r="Q812" t="s">
        <v>199</v>
      </c>
      <c r="R812" s="3"/>
      <c r="W812" t="s">
        <v>200</v>
      </c>
      <c r="X812" s="25"/>
      <c r="Y812" s="26"/>
      <c r="Z812" s="27"/>
      <c r="AA812" t="s">
        <v>25</v>
      </c>
      <c r="AB812" t="s">
        <v>201</v>
      </c>
      <c r="AC812" s="3"/>
      <c r="AH812" t="s">
        <v>202</v>
      </c>
      <c r="AK812" t="s">
        <v>203</v>
      </c>
      <c r="AP812" t="s">
        <v>200</v>
      </c>
      <c r="AR812" s="25"/>
      <c r="AT812" s="25">
        <v>0</v>
      </c>
      <c r="AU812" s="26"/>
      <c r="AV812" s="26"/>
      <c r="AW812" s="26"/>
      <c r="AX812" s="26" t="str">
        <f t="shared" si="36"/>
        <v/>
      </c>
      <c r="AY812" t="str">
        <f t="shared" si="37"/>
        <v/>
      </c>
      <c r="AZ812" t="s">
        <v>200</v>
      </c>
      <c r="BA812" s="3"/>
      <c r="BB812" t="str">
        <f t="shared" si="38"/>
        <v>No scrap rate (No impact);</v>
      </c>
    </row>
    <row r="813" spans="1:54" x14ac:dyDescent="0.3">
      <c r="A813" t="s">
        <v>2645</v>
      </c>
      <c r="B813" t="s">
        <v>2646</v>
      </c>
      <c r="C813" t="s">
        <v>1256</v>
      </c>
      <c r="D813" t="s">
        <v>1257</v>
      </c>
      <c r="G813" t="s">
        <v>196</v>
      </c>
      <c r="H813" t="s">
        <v>197</v>
      </c>
      <c r="J813" t="s">
        <v>1590</v>
      </c>
      <c r="L813">
        <v>0</v>
      </c>
      <c r="M813">
        <v>3.0000000000000001E-3</v>
      </c>
      <c r="N813" t="s">
        <v>198</v>
      </c>
      <c r="O813">
        <v>3.0000000000000001E-3</v>
      </c>
      <c r="P813" t="s">
        <v>198</v>
      </c>
      <c r="Q813" t="s">
        <v>199</v>
      </c>
      <c r="R813" s="3"/>
      <c r="W813" t="s">
        <v>200</v>
      </c>
      <c r="X813" s="25"/>
      <c r="Y813" s="26"/>
      <c r="Z813" s="27"/>
      <c r="AA813" t="s">
        <v>25</v>
      </c>
      <c r="AB813" t="s">
        <v>201</v>
      </c>
      <c r="AC813" s="3"/>
      <c r="AH813" t="s">
        <v>202</v>
      </c>
      <c r="AK813" t="s">
        <v>203</v>
      </c>
      <c r="AP813" t="s">
        <v>200</v>
      </c>
      <c r="AR813" s="25"/>
      <c r="AT813" s="25">
        <v>0</v>
      </c>
      <c r="AU813" s="26"/>
      <c r="AV813" s="26"/>
      <c r="AW813" s="26"/>
      <c r="AX813" s="26" t="str">
        <f t="shared" si="36"/>
        <v/>
      </c>
      <c r="AY813" t="str">
        <f t="shared" si="37"/>
        <v/>
      </c>
      <c r="AZ813" t="s">
        <v>200</v>
      </c>
      <c r="BA813" s="3"/>
      <c r="BB813" t="str">
        <f t="shared" si="38"/>
        <v>No scrap rate (No impact);</v>
      </c>
    </row>
    <row r="814" spans="1:54" x14ac:dyDescent="0.3">
      <c r="A814" t="s">
        <v>2647</v>
      </c>
      <c r="B814" t="s">
        <v>2648</v>
      </c>
      <c r="C814" t="s">
        <v>966</v>
      </c>
      <c r="D814" t="s">
        <v>967</v>
      </c>
      <c r="G814" t="s">
        <v>2641</v>
      </c>
      <c r="H814" t="s">
        <v>2642</v>
      </c>
      <c r="J814" t="s">
        <v>1060</v>
      </c>
      <c r="L814">
        <v>0</v>
      </c>
      <c r="M814">
        <v>1E-3</v>
      </c>
      <c r="N814" t="s">
        <v>198</v>
      </c>
      <c r="O814">
        <v>1E-3</v>
      </c>
      <c r="P814" t="s">
        <v>198</v>
      </c>
      <c r="Q814" t="s">
        <v>199</v>
      </c>
      <c r="R814" s="3"/>
      <c r="W814" t="s">
        <v>200</v>
      </c>
      <c r="X814" s="25"/>
      <c r="Y814" s="26"/>
      <c r="Z814" s="27"/>
      <c r="AA814" t="s">
        <v>25</v>
      </c>
      <c r="AB814" t="s">
        <v>201</v>
      </c>
      <c r="AC814" s="3"/>
      <c r="AH814" t="s">
        <v>202</v>
      </c>
      <c r="AK814" t="s">
        <v>203</v>
      </c>
      <c r="AP814" t="s">
        <v>200</v>
      </c>
      <c r="AR814" s="25"/>
      <c r="AT814" s="25">
        <v>0</v>
      </c>
      <c r="AU814" s="26"/>
      <c r="AV814" s="26"/>
      <c r="AW814" s="26"/>
      <c r="AX814" s="26" t="str">
        <f t="shared" si="36"/>
        <v/>
      </c>
      <c r="AY814" t="str">
        <f t="shared" si="37"/>
        <v/>
      </c>
      <c r="AZ814" t="s">
        <v>200</v>
      </c>
      <c r="BA814" s="3"/>
      <c r="BB814" t="str">
        <f t="shared" si="38"/>
        <v>No scrap rate (No impact);</v>
      </c>
    </row>
    <row r="815" spans="1:54" x14ac:dyDescent="0.3">
      <c r="A815" t="s">
        <v>2649</v>
      </c>
      <c r="B815" t="s">
        <v>2650</v>
      </c>
      <c r="C815" t="s">
        <v>1110</v>
      </c>
      <c r="D815" t="s">
        <v>1111</v>
      </c>
      <c r="G815" t="s">
        <v>1112</v>
      </c>
      <c r="H815" t="s">
        <v>1113</v>
      </c>
      <c r="J815" t="s">
        <v>1089</v>
      </c>
      <c r="L815">
        <v>0</v>
      </c>
      <c r="M815">
        <v>0.14499999999999999</v>
      </c>
      <c r="N815" t="s">
        <v>198</v>
      </c>
      <c r="O815">
        <v>0.14499999999999999</v>
      </c>
      <c r="P815" t="s">
        <v>198</v>
      </c>
      <c r="Q815" t="s">
        <v>199</v>
      </c>
      <c r="R815" s="3"/>
      <c r="W815" t="s">
        <v>200</v>
      </c>
      <c r="X815" s="25"/>
      <c r="Y815" s="26"/>
      <c r="Z815" s="27"/>
      <c r="AA815" t="s">
        <v>25</v>
      </c>
      <c r="AB815" t="s">
        <v>201</v>
      </c>
      <c r="AC815" s="3"/>
      <c r="AH815" t="s">
        <v>202</v>
      </c>
      <c r="AK815" t="s">
        <v>203</v>
      </c>
      <c r="AP815" t="s">
        <v>200</v>
      </c>
      <c r="AR815" s="25"/>
      <c r="AT815" s="25">
        <v>0</v>
      </c>
      <c r="AU815" s="26"/>
      <c r="AV815" s="26"/>
      <c r="AW815" s="26"/>
      <c r="AX815" s="26" t="str">
        <f t="shared" si="36"/>
        <v/>
      </c>
      <c r="AY815" t="str">
        <f t="shared" si="37"/>
        <v/>
      </c>
      <c r="AZ815" t="s">
        <v>200</v>
      </c>
      <c r="BA815" s="3"/>
      <c r="BB815" t="str">
        <f t="shared" si="38"/>
        <v>No scrap rate (No impact);</v>
      </c>
    </row>
    <row r="816" spans="1:54" x14ac:dyDescent="0.3">
      <c r="A816" t="s">
        <v>2651</v>
      </c>
      <c r="B816" t="s">
        <v>2652</v>
      </c>
      <c r="C816" t="s">
        <v>1256</v>
      </c>
      <c r="D816" t="s">
        <v>1257</v>
      </c>
      <c r="G816" t="s">
        <v>196</v>
      </c>
      <c r="H816" t="s">
        <v>197</v>
      </c>
      <c r="J816" t="s">
        <v>1590</v>
      </c>
      <c r="L816">
        <v>0</v>
      </c>
      <c r="M816">
        <v>3.0000000000000001E-3</v>
      </c>
      <c r="N816" t="s">
        <v>198</v>
      </c>
      <c r="O816">
        <v>3.0000000000000001E-3</v>
      </c>
      <c r="P816" t="s">
        <v>198</v>
      </c>
      <c r="Q816" t="s">
        <v>199</v>
      </c>
      <c r="R816" s="3"/>
      <c r="W816" t="s">
        <v>200</v>
      </c>
      <c r="X816" s="25"/>
      <c r="Y816" s="26"/>
      <c r="Z816" s="27"/>
      <c r="AA816" t="s">
        <v>25</v>
      </c>
      <c r="AB816" t="s">
        <v>201</v>
      </c>
      <c r="AC816" s="3"/>
      <c r="AH816" t="s">
        <v>202</v>
      </c>
      <c r="AK816" t="s">
        <v>203</v>
      </c>
      <c r="AP816" t="s">
        <v>200</v>
      </c>
      <c r="AR816" s="25"/>
      <c r="AT816" s="25">
        <v>0</v>
      </c>
      <c r="AU816" s="26"/>
      <c r="AV816" s="26"/>
      <c r="AW816" s="26"/>
      <c r="AX816" s="26" t="str">
        <f t="shared" si="36"/>
        <v/>
      </c>
      <c r="AY816" t="str">
        <f t="shared" si="37"/>
        <v/>
      </c>
      <c r="AZ816" t="s">
        <v>200</v>
      </c>
      <c r="BA816" s="3"/>
      <c r="BB816" t="str">
        <f t="shared" si="38"/>
        <v>No scrap rate (No impact);</v>
      </c>
    </row>
    <row r="817" spans="1:54" x14ac:dyDescent="0.3">
      <c r="A817" t="s">
        <v>2653</v>
      </c>
      <c r="B817" t="s">
        <v>2654</v>
      </c>
      <c r="C817" t="s">
        <v>1256</v>
      </c>
      <c r="D817" t="s">
        <v>1257</v>
      </c>
      <c r="G817" t="s">
        <v>529</v>
      </c>
      <c r="H817" t="s">
        <v>530</v>
      </c>
      <c r="J817" t="s">
        <v>1590</v>
      </c>
      <c r="L817">
        <v>0</v>
      </c>
      <c r="M817">
        <v>4.0000000000000001E-3</v>
      </c>
      <c r="N817" t="s">
        <v>198</v>
      </c>
      <c r="O817">
        <v>4.0000000000000001E-3</v>
      </c>
      <c r="P817" t="s">
        <v>198</v>
      </c>
      <c r="Q817" t="s">
        <v>199</v>
      </c>
      <c r="R817" s="3"/>
      <c r="W817" t="s">
        <v>200</v>
      </c>
      <c r="X817" s="25"/>
      <c r="Y817" s="26"/>
      <c r="Z817" s="27"/>
      <c r="AA817" t="s">
        <v>25</v>
      </c>
      <c r="AB817" t="s">
        <v>201</v>
      </c>
      <c r="AC817" s="3"/>
      <c r="AH817" t="s">
        <v>202</v>
      </c>
      <c r="AK817" t="s">
        <v>203</v>
      </c>
      <c r="AP817" t="s">
        <v>200</v>
      </c>
      <c r="AR817" s="25"/>
      <c r="AT817" s="25">
        <v>0</v>
      </c>
      <c r="AU817" s="26"/>
      <c r="AV817" s="26"/>
      <c r="AW817" s="26"/>
      <c r="AX817" s="26" t="str">
        <f t="shared" si="36"/>
        <v/>
      </c>
      <c r="AY817" t="str">
        <f t="shared" si="37"/>
        <v/>
      </c>
      <c r="AZ817" t="s">
        <v>200</v>
      </c>
      <c r="BA817" s="3"/>
      <c r="BB817" t="str">
        <f t="shared" si="38"/>
        <v>No scrap rate (No impact);</v>
      </c>
    </row>
    <row r="818" spans="1:54" x14ac:dyDescent="0.3">
      <c r="A818" t="s">
        <v>2655</v>
      </c>
      <c r="B818" t="s">
        <v>2656</v>
      </c>
      <c r="C818" t="s">
        <v>1256</v>
      </c>
      <c r="D818" t="s">
        <v>1257</v>
      </c>
      <c r="G818" t="s">
        <v>529</v>
      </c>
      <c r="H818" t="s">
        <v>530</v>
      </c>
      <c r="J818" t="s">
        <v>1590</v>
      </c>
      <c r="L818">
        <v>0</v>
      </c>
      <c r="M818">
        <v>4.0000000000000001E-3</v>
      </c>
      <c r="N818" t="s">
        <v>198</v>
      </c>
      <c r="O818">
        <v>4.0000000000000001E-3</v>
      </c>
      <c r="P818" t="s">
        <v>198</v>
      </c>
      <c r="Q818" t="s">
        <v>199</v>
      </c>
      <c r="R818" s="3"/>
      <c r="W818" t="s">
        <v>200</v>
      </c>
      <c r="X818" s="25"/>
      <c r="Y818" s="26"/>
      <c r="Z818" s="27"/>
      <c r="AA818" t="s">
        <v>25</v>
      </c>
      <c r="AB818" t="s">
        <v>201</v>
      </c>
      <c r="AC818" s="3"/>
      <c r="AH818" t="s">
        <v>202</v>
      </c>
      <c r="AK818" t="s">
        <v>203</v>
      </c>
      <c r="AP818" t="s">
        <v>200</v>
      </c>
      <c r="AR818" s="25"/>
      <c r="AT818" s="25">
        <v>0</v>
      </c>
      <c r="AU818" s="26"/>
      <c r="AV818" s="26"/>
      <c r="AW818" s="26"/>
      <c r="AX818" s="26" t="str">
        <f t="shared" si="36"/>
        <v/>
      </c>
      <c r="AY818" t="str">
        <f t="shared" si="37"/>
        <v/>
      </c>
      <c r="AZ818" t="s">
        <v>200</v>
      </c>
      <c r="BA818" s="3"/>
      <c r="BB818" t="str">
        <f t="shared" si="38"/>
        <v>No scrap rate (No impact);</v>
      </c>
    </row>
    <row r="819" spans="1:54" x14ac:dyDescent="0.3">
      <c r="A819" t="s">
        <v>2657</v>
      </c>
      <c r="B819" t="s">
        <v>2658</v>
      </c>
      <c r="C819" t="s">
        <v>1222</v>
      </c>
      <c r="G819" t="s">
        <v>463</v>
      </c>
      <c r="H819" t="s">
        <v>464</v>
      </c>
      <c r="J819" t="s">
        <v>1067</v>
      </c>
      <c r="L819">
        <v>0</v>
      </c>
      <c r="M819">
        <v>0.11600000000000001</v>
      </c>
      <c r="N819" t="s">
        <v>198</v>
      </c>
      <c r="O819">
        <v>0.11600000000000001</v>
      </c>
      <c r="P819" t="s">
        <v>198</v>
      </c>
      <c r="Q819" t="s">
        <v>199</v>
      </c>
      <c r="R819" s="3"/>
      <c r="W819" t="s">
        <v>200</v>
      </c>
      <c r="X819" s="25"/>
      <c r="Y819" s="26"/>
      <c r="Z819" s="27"/>
      <c r="AA819" t="s">
        <v>25</v>
      </c>
      <c r="AB819" t="s">
        <v>201</v>
      </c>
      <c r="AC819" s="3"/>
      <c r="AH819" t="s">
        <v>202</v>
      </c>
      <c r="AK819" t="s">
        <v>203</v>
      </c>
      <c r="AP819" t="s">
        <v>200</v>
      </c>
      <c r="AR819" s="25"/>
      <c r="AT819" s="25">
        <v>0</v>
      </c>
      <c r="AU819" s="26"/>
      <c r="AV819" s="26"/>
      <c r="AW819" s="26"/>
      <c r="AX819" s="26" t="str">
        <f t="shared" si="36"/>
        <v/>
      </c>
      <c r="AY819" t="str">
        <f t="shared" si="37"/>
        <v/>
      </c>
      <c r="AZ819" t="s">
        <v>200</v>
      </c>
      <c r="BA819" s="3"/>
      <c r="BB819" t="str">
        <f t="shared" si="38"/>
        <v>No scrap rate (No impact);</v>
      </c>
    </row>
    <row r="820" spans="1:54" x14ac:dyDescent="0.3">
      <c r="A820" t="s">
        <v>2659</v>
      </c>
      <c r="B820" t="s">
        <v>2660</v>
      </c>
      <c r="C820" t="s">
        <v>1256</v>
      </c>
      <c r="D820" t="s">
        <v>1257</v>
      </c>
      <c r="G820" t="s">
        <v>463</v>
      </c>
      <c r="H820" t="s">
        <v>464</v>
      </c>
      <c r="J820" t="s">
        <v>1590</v>
      </c>
      <c r="L820">
        <v>0</v>
      </c>
      <c r="M820">
        <v>4.0000000000000001E-3</v>
      </c>
      <c r="N820" t="s">
        <v>198</v>
      </c>
      <c r="O820">
        <v>4.0000000000000001E-3</v>
      </c>
      <c r="P820" t="s">
        <v>198</v>
      </c>
      <c r="Q820" t="s">
        <v>199</v>
      </c>
      <c r="R820" s="3"/>
      <c r="W820" t="s">
        <v>200</v>
      </c>
      <c r="X820" s="25"/>
      <c r="Y820" s="26"/>
      <c r="Z820" s="27"/>
      <c r="AA820" t="s">
        <v>25</v>
      </c>
      <c r="AB820" t="s">
        <v>201</v>
      </c>
      <c r="AC820" s="3"/>
      <c r="AH820" t="s">
        <v>202</v>
      </c>
      <c r="AK820" t="s">
        <v>203</v>
      </c>
      <c r="AP820" t="s">
        <v>200</v>
      </c>
      <c r="AR820" s="25"/>
      <c r="AT820" s="25">
        <v>0</v>
      </c>
      <c r="AU820" s="26"/>
      <c r="AV820" s="26"/>
      <c r="AW820" s="26"/>
      <c r="AX820" s="26" t="str">
        <f t="shared" si="36"/>
        <v/>
      </c>
      <c r="AY820" t="str">
        <f t="shared" si="37"/>
        <v/>
      </c>
      <c r="AZ820" t="s">
        <v>200</v>
      </c>
      <c r="BA820" s="3"/>
      <c r="BB820" t="str">
        <f t="shared" si="38"/>
        <v>No scrap rate (No impact);</v>
      </c>
    </row>
    <row r="821" spans="1:54" x14ac:dyDescent="0.3">
      <c r="A821" t="s">
        <v>2661</v>
      </c>
      <c r="B821" t="s">
        <v>2662</v>
      </c>
      <c r="C821" t="s">
        <v>1256</v>
      </c>
      <c r="D821" t="s">
        <v>1257</v>
      </c>
      <c r="G821" t="s">
        <v>214</v>
      </c>
      <c r="H821" t="s">
        <v>215</v>
      </c>
      <c r="J821" t="s">
        <v>1590</v>
      </c>
      <c r="L821">
        <v>0</v>
      </c>
      <c r="M821">
        <v>1E-3</v>
      </c>
      <c r="N821" t="s">
        <v>198</v>
      </c>
      <c r="O821">
        <v>1E-3</v>
      </c>
      <c r="P821" t="s">
        <v>198</v>
      </c>
      <c r="Q821" t="s">
        <v>199</v>
      </c>
      <c r="R821" s="3"/>
      <c r="W821" t="s">
        <v>200</v>
      </c>
      <c r="X821" s="25"/>
      <c r="Y821" s="26"/>
      <c r="Z821" s="27"/>
      <c r="AA821" t="s">
        <v>25</v>
      </c>
      <c r="AB821" t="s">
        <v>201</v>
      </c>
      <c r="AC821" s="3"/>
      <c r="AH821" t="s">
        <v>202</v>
      </c>
      <c r="AK821" t="s">
        <v>203</v>
      </c>
      <c r="AP821" t="s">
        <v>200</v>
      </c>
      <c r="AR821" s="25"/>
      <c r="AT821" s="25">
        <v>0</v>
      </c>
      <c r="AU821" s="26"/>
      <c r="AV821" s="26"/>
      <c r="AW821" s="26"/>
      <c r="AX821" s="26" t="str">
        <f t="shared" si="36"/>
        <v/>
      </c>
      <c r="AY821" t="str">
        <f t="shared" si="37"/>
        <v/>
      </c>
      <c r="AZ821" t="s">
        <v>200</v>
      </c>
      <c r="BA821" s="3"/>
      <c r="BB821" t="str">
        <f t="shared" si="38"/>
        <v>No scrap rate (No impact);</v>
      </c>
    </row>
    <row r="822" spans="1:54" x14ac:dyDescent="0.3">
      <c r="A822" t="s">
        <v>2663</v>
      </c>
      <c r="B822" t="s">
        <v>2664</v>
      </c>
      <c r="C822" t="s">
        <v>966</v>
      </c>
      <c r="D822" t="s">
        <v>967</v>
      </c>
      <c r="G822" t="s">
        <v>2641</v>
      </c>
      <c r="H822" t="s">
        <v>2642</v>
      </c>
      <c r="J822" t="s">
        <v>1060</v>
      </c>
      <c r="L822">
        <v>0</v>
      </c>
      <c r="M822">
        <v>1E-3</v>
      </c>
      <c r="N822" t="s">
        <v>198</v>
      </c>
      <c r="O822">
        <v>1E-3</v>
      </c>
      <c r="P822" t="s">
        <v>198</v>
      </c>
      <c r="Q822" t="s">
        <v>199</v>
      </c>
      <c r="R822" s="3"/>
      <c r="W822" t="s">
        <v>200</v>
      </c>
      <c r="X822" s="25"/>
      <c r="Y822" s="26"/>
      <c r="Z822" s="27"/>
      <c r="AA822" t="s">
        <v>25</v>
      </c>
      <c r="AB822" t="s">
        <v>201</v>
      </c>
      <c r="AC822" s="3"/>
      <c r="AH822" t="s">
        <v>202</v>
      </c>
      <c r="AK822" t="s">
        <v>203</v>
      </c>
      <c r="AP822" t="s">
        <v>200</v>
      </c>
      <c r="AR822" s="25"/>
      <c r="AT822" s="25">
        <v>0</v>
      </c>
      <c r="AU822" s="26"/>
      <c r="AV822" s="26"/>
      <c r="AW822" s="26"/>
      <c r="AX822" s="26" t="str">
        <f t="shared" si="36"/>
        <v/>
      </c>
      <c r="AY822" t="str">
        <f t="shared" si="37"/>
        <v/>
      </c>
      <c r="AZ822" t="s">
        <v>200</v>
      </c>
      <c r="BA822" s="3"/>
      <c r="BB822" t="str">
        <f t="shared" si="38"/>
        <v>No scrap rate (No impact);</v>
      </c>
    </row>
    <row r="823" spans="1:54" x14ac:dyDescent="0.3">
      <c r="A823" t="s">
        <v>2665</v>
      </c>
      <c r="B823" t="s">
        <v>2666</v>
      </c>
      <c r="C823" t="s">
        <v>966</v>
      </c>
      <c r="D823" t="s">
        <v>967</v>
      </c>
      <c r="G823" t="s">
        <v>2641</v>
      </c>
      <c r="H823" t="s">
        <v>2642</v>
      </c>
      <c r="J823" t="s">
        <v>1060</v>
      </c>
      <c r="L823">
        <v>0</v>
      </c>
      <c r="M823">
        <v>1E-3</v>
      </c>
      <c r="N823" t="s">
        <v>198</v>
      </c>
      <c r="O823">
        <v>1E-3</v>
      </c>
      <c r="P823" t="s">
        <v>198</v>
      </c>
      <c r="Q823" t="s">
        <v>199</v>
      </c>
      <c r="R823" s="3"/>
      <c r="W823" t="s">
        <v>200</v>
      </c>
      <c r="X823" s="25"/>
      <c r="Y823" s="26"/>
      <c r="Z823" s="27"/>
      <c r="AA823" t="s">
        <v>25</v>
      </c>
      <c r="AB823" t="s">
        <v>201</v>
      </c>
      <c r="AC823" s="3"/>
      <c r="AH823" t="s">
        <v>202</v>
      </c>
      <c r="AK823" t="s">
        <v>203</v>
      </c>
      <c r="AP823" t="s">
        <v>200</v>
      </c>
      <c r="AR823" s="25"/>
      <c r="AT823" s="25">
        <v>0</v>
      </c>
      <c r="AU823" s="26"/>
      <c r="AV823" s="26"/>
      <c r="AW823" s="26"/>
      <c r="AX823" s="26" t="str">
        <f t="shared" si="36"/>
        <v/>
      </c>
      <c r="AY823" t="str">
        <f t="shared" si="37"/>
        <v/>
      </c>
      <c r="AZ823" t="s">
        <v>200</v>
      </c>
      <c r="BA823" s="3"/>
      <c r="BB823" t="str">
        <f t="shared" si="38"/>
        <v>No scrap rate (No impact);</v>
      </c>
    </row>
    <row r="824" spans="1:54" x14ac:dyDescent="0.3">
      <c r="A824" t="s">
        <v>2667</v>
      </c>
      <c r="B824" t="s">
        <v>2668</v>
      </c>
      <c r="C824" t="s">
        <v>966</v>
      </c>
      <c r="D824" t="s">
        <v>967</v>
      </c>
      <c r="G824" t="s">
        <v>246</v>
      </c>
      <c r="H824" t="s">
        <v>247</v>
      </c>
      <c r="J824" t="s">
        <v>1590</v>
      </c>
      <c r="L824">
        <v>0</v>
      </c>
      <c r="M824">
        <v>0.02</v>
      </c>
      <c r="N824" t="s">
        <v>198</v>
      </c>
      <c r="O824">
        <v>0.02</v>
      </c>
      <c r="P824" t="s">
        <v>198</v>
      </c>
      <c r="Q824" t="s">
        <v>199</v>
      </c>
      <c r="R824" s="3"/>
      <c r="W824" t="s">
        <v>200</v>
      </c>
      <c r="X824" s="25"/>
      <c r="Y824" s="26"/>
      <c r="Z824" s="27"/>
      <c r="AA824" t="s">
        <v>25</v>
      </c>
      <c r="AB824" t="s">
        <v>201</v>
      </c>
      <c r="AC824" s="3"/>
      <c r="AH824" t="s">
        <v>202</v>
      </c>
      <c r="AK824" t="s">
        <v>203</v>
      </c>
      <c r="AP824" t="s">
        <v>200</v>
      </c>
      <c r="AR824" s="25"/>
      <c r="AT824" s="25">
        <v>0</v>
      </c>
      <c r="AU824" s="26"/>
      <c r="AV824" s="26"/>
      <c r="AW824" s="26"/>
      <c r="AX824" s="26" t="str">
        <f t="shared" si="36"/>
        <v/>
      </c>
      <c r="AY824" t="str">
        <f t="shared" si="37"/>
        <v/>
      </c>
      <c r="AZ824" t="s">
        <v>200</v>
      </c>
      <c r="BA824" s="3"/>
      <c r="BB824" t="str">
        <f t="shared" si="38"/>
        <v>No scrap rate (No impact);</v>
      </c>
    </row>
    <row r="825" spans="1:54" x14ac:dyDescent="0.3">
      <c r="A825" t="s">
        <v>2669</v>
      </c>
      <c r="B825" t="s">
        <v>2670</v>
      </c>
      <c r="C825" t="s">
        <v>1256</v>
      </c>
      <c r="D825" t="s">
        <v>1257</v>
      </c>
      <c r="G825" t="s">
        <v>1615</v>
      </c>
      <c r="H825" t="s">
        <v>1616</v>
      </c>
      <c r="J825" t="s">
        <v>1046</v>
      </c>
      <c r="L825">
        <v>0</v>
      </c>
      <c r="M825">
        <v>1E-3</v>
      </c>
      <c r="N825" t="s">
        <v>198</v>
      </c>
      <c r="O825">
        <v>1E-3</v>
      </c>
      <c r="P825" t="s">
        <v>198</v>
      </c>
      <c r="Q825" t="s">
        <v>199</v>
      </c>
      <c r="R825" s="3"/>
      <c r="W825" t="s">
        <v>200</v>
      </c>
      <c r="X825" s="25"/>
      <c r="Y825" s="26"/>
      <c r="Z825" s="27"/>
      <c r="AA825" t="s">
        <v>25</v>
      </c>
      <c r="AB825" t="s">
        <v>201</v>
      </c>
      <c r="AC825" s="3"/>
      <c r="AH825" t="s">
        <v>202</v>
      </c>
      <c r="AK825" t="s">
        <v>203</v>
      </c>
      <c r="AP825" t="s">
        <v>200</v>
      </c>
      <c r="AR825" s="25"/>
      <c r="AT825" s="25">
        <v>0</v>
      </c>
      <c r="AU825" s="26"/>
      <c r="AV825" s="26"/>
      <c r="AW825" s="26"/>
      <c r="AX825" s="26" t="str">
        <f t="shared" si="36"/>
        <v/>
      </c>
      <c r="AY825" t="str">
        <f t="shared" si="37"/>
        <v/>
      </c>
      <c r="AZ825" t="s">
        <v>200</v>
      </c>
      <c r="BA825" s="3"/>
      <c r="BB825" t="str">
        <f t="shared" si="38"/>
        <v>No scrap rate (No impact);</v>
      </c>
    </row>
    <row r="826" spans="1:54" x14ac:dyDescent="0.3">
      <c r="A826" t="s">
        <v>2671</v>
      </c>
      <c r="B826" t="s">
        <v>2672</v>
      </c>
      <c r="C826" t="s">
        <v>1256</v>
      </c>
      <c r="D826" t="s">
        <v>1257</v>
      </c>
      <c r="G826" t="s">
        <v>443</v>
      </c>
      <c r="H826" t="s">
        <v>444</v>
      </c>
      <c r="J826" t="s">
        <v>1590</v>
      </c>
      <c r="L826">
        <v>0</v>
      </c>
      <c r="M826">
        <v>5.0000000000000001E-3</v>
      </c>
      <c r="N826" t="s">
        <v>198</v>
      </c>
      <c r="O826">
        <v>5.0000000000000001E-3</v>
      </c>
      <c r="P826" t="s">
        <v>198</v>
      </c>
      <c r="Q826" t="s">
        <v>199</v>
      </c>
      <c r="R826" s="3"/>
      <c r="W826" t="s">
        <v>200</v>
      </c>
      <c r="X826" s="25"/>
      <c r="Y826" s="26"/>
      <c r="Z826" s="27"/>
      <c r="AA826" t="s">
        <v>25</v>
      </c>
      <c r="AB826" t="s">
        <v>201</v>
      </c>
      <c r="AC826" s="3"/>
      <c r="AH826" t="s">
        <v>202</v>
      </c>
      <c r="AK826" t="s">
        <v>203</v>
      </c>
      <c r="AP826" t="s">
        <v>200</v>
      </c>
      <c r="AR826" s="25"/>
      <c r="AT826" s="25">
        <v>0</v>
      </c>
      <c r="AU826" s="26"/>
      <c r="AV826" s="26"/>
      <c r="AW826" s="26"/>
      <c r="AX826" s="26" t="str">
        <f t="shared" si="36"/>
        <v/>
      </c>
      <c r="AY826" t="str">
        <f t="shared" si="37"/>
        <v/>
      </c>
      <c r="AZ826" t="s">
        <v>200</v>
      </c>
      <c r="BA826" s="3"/>
      <c r="BB826" t="str">
        <f t="shared" si="38"/>
        <v>No scrap rate (No impact);</v>
      </c>
    </row>
    <row r="827" spans="1:54" x14ac:dyDescent="0.3">
      <c r="A827" t="s">
        <v>2673</v>
      </c>
      <c r="B827" t="s">
        <v>2674</v>
      </c>
      <c r="C827" t="s">
        <v>1110</v>
      </c>
      <c r="D827" t="s">
        <v>1111</v>
      </c>
      <c r="G827" t="s">
        <v>443</v>
      </c>
      <c r="H827" t="s">
        <v>444</v>
      </c>
      <c r="J827" t="s">
        <v>926</v>
      </c>
      <c r="L827">
        <v>0</v>
      </c>
      <c r="M827">
        <v>9.6000000000000002E-2</v>
      </c>
      <c r="N827" t="s">
        <v>198</v>
      </c>
      <c r="O827">
        <v>9.6000000000000002E-2</v>
      </c>
      <c r="P827" t="s">
        <v>198</v>
      </c>
      <c r="Q827" t="s">
        <v>199</v>
      </c>
      <c r="R827" s="3"/>
      <c r="W827" t="s">
        <v>200</v>
      </c>
      <c r="X827" s="25"/>
      <c r="Y827" s="26"/>
      <c r="Z827" s="27"/>
      <c r="AA827" t="s">
        <v>25</v>
      </c>
      <c r="AB827" t="s">
        <v>201</v>
      </c>
      <c r="AC827" s="3"/>
      <c r="AH827" t="s">
        <v>202</v>
      </c>
      <c r="AK827" t="s">
        <v>203</v>
      </c>
      <c r="AP827" t="s">
        <v>200</v>
      </c>
      <c r="AR827" s="25"/>
      <c r="AT827" s="25">
        <v>0</v>
      </c>
      <c r="AU827" s="26"/>
      <c r="AV827" s="26"/>
      <c r="AW827" s="26"/>
      <c r="AX827" s="26" t="str">
        <f t="shared" si="36"/>
        <v/>
      </c>
      <c r="AY827" t="str">
        <f t="shared" si="37"/>
        <v/>
      </c>
      <c r="AZ827" t="s">
        <v>200</v>
      </c>
      <c r="BA827" s="3"/>
      <c r="BB827" t="str">
        <f t="shared" si="38"/>
        <v>No scrap rate (No impact);</v>
      </c>
    </row>
    <row r="828" spans="1:54" x14ac:dyDescent="0.3">
      <c r="A828" t="s">
        <v>2675</v>
      </c>
      <c r="B828" t="s">
        <v>2676</v>
      </c>
      <c r="C828" t="s">
        <v>966</v>
      </c>
      <c r="D828" t="s">
        <v>967</v>
      </c>
      <c r="G828" t="s">
        <v>1078</v>
      </c>
      <c r="H828" t="s">
        <v>1079</v>
      </c>
      <c r="J828" t="s">
        <v>1060</v>
      </c>
      <c r="L828">
        <v>0</v>
      </c>
      <c r="M828">
        <v>8.1000000000000003E-2</v>
      </c>
      <c r="N828" t="s">
        <v>198</v>
      </c>
      <c r="O828">
        <v>8.1000000000000003E-2</v>
      </c>
      <c r="P828" t="s">
        <v>198</v>
      </c>
      <c r="Q828" t="s">
        <v>199</v>
      </c>
      <c r="R828" s="3"/>
      <c r="W828" t="s">
        <v>200</v>
      </c>
      <c r="X828" s="25"/>
      <c r="Y828" s="26"/>
      <c r="Z828" s="27"/>
      <c r="AA828" t="s">
        <v>25</v>
      </c>
      <c r="AB828" t="s">
        <v>201</v>
      </c>
      <c r="AC828" s="3"/>
      <c r="AH828" t="s">
        <v>202</v>
      </c>
      <c r="AK828" t="s">
        <v>203</v>
      </c>
      <c r="AP828" t="s">
        <v>200</v>
      </c>
      <c r="AR828" s="25"/>
      <c r="AT828" s="25">
        <v>0</v>
      </c>
      <c r="AU828" s="26"/>
      <c r="AV828" s="26"/>
      <c r="AW828" s="26"/>
      <c r="AX828" s="26" t="str">
        <f t="shared" si="36"/>
        <v/>
      </c>
      <c r="AY828" t="str">
        <f t="shared" si="37"/>
        <v/>
      </c>
      <c r="AZ828" t="s">
        <v>200</v>
      </c>
      <c r="BA828" s="3"/>
      <c r="BB828" t="str">
        <f t="shared" si="38"/>
        <v>No scrap rate (No impact);</v>
      </c>
    </row>
    <row r="829" spans="1:54" x14ac:dyDescent="0.3">
      <c r="A829" t="s">
        <v>2677</v>
      </c>
      <c r="B829" t="s">
        <v>2678</v>
      </c>
      <c r="C829" t="s">
        <v>1110</v>
      </c>
      <c r="D829" t="s">
        <v>1111</v>
      </c>
      <c r="G829" t="s">
        <v>575</v>
      </c>
      <c r="H829" t="s">
        <v>576</v>
      </c>
      <c r="J829" t="s">
        <v>1089</v>
      </c>
      <c r="L829">
        <v>0</v>
      </c>
      <c r="M829">
        <v>0.17199999999999999</v>
      </c>
      <c r="N829" t="s">
        <v>198</v>
      </c>
      <c r="O829">
        <v>0.17199999999999999</v>
      </c>
      <c r="P829" t="s">
        <v>198</v>
      </c>
      <c r="Q829" t="s">
        <v>199</v>
      </c>
      <c r="R829" s="3"/>
      <c r="W829" t="s">
        <v>200</v>
      </c>
      <c r="X829" s="25"/>
      <c r="Y829" s="26"/>
      <c r="Z829" s="27"/>
      <c r="AA829" t="s">
        <v>25</v>
      </c>
      <c r="AB829" t="s">
        <v>201</v>
      </c>
      <c r="AC829" s="3"/>
      <c r="AH829" t="s">
        <v>202</v>
      </c>
      <c r="AK829" t="s">
        <v>203</v>
      </c>
      <c r="AP829" t="s">
        <v>200</v>
      </c>
      <c r="AR829" s="25"/>
      <c r="AT829" s="25">
        <v>0</v>
      </c>
      <c r="AU829" s="26"/>
      <c r="AV829" s="26"/>
      <c r="AW829" s="26"/>
      <c r="AX829" s="26" t="str">
        <f t="shared" si="36"/>
        <v/>
      </c>
      <c r="AY829" t="str">
        <f t="shared" si="37"/>
        <v/>
      </c>
      <c r="AZ829" t="s">
        <v>200</v>
      </c>
      <c r="BA829" s="3"/>
      <c r="BB829" t="str">
        <f t="shared" si="38"/>
        <v>No scrap rate (No impact);</v>
      </c>
    </row>
    <row r="830" spans="1:54" x14ac:dyDescent="0.3">
      <c r="A830" t="s">
        <v>2679</v>
      </c>
      <c r="B830" t="s">
        <v>2680</v>
      </c>
      <c r="C830" t="s">
        <v>1110</v>
      </c>
      <c r="D830" t="s">
        <v>1111</v>
      </c>
      <c r="G830" t="s">
        <v>575</v>
      </c>
      <c r="H830" t="s">
        <v>576</v>
      </c>
      <c r="J830" t="s">
        <v>1089</v>
      </c>
      <c r="L830">
        <v>0</v>
      </c>
      <c r="M830">
        <v>1.7000000000000001E-2</v>
      </c>
      <c r="N830" t="s">
        <v>198</v>
      </c>
      <c r="O830">
        <v>1.7000000000000001E-2</v>
      </c>
      <c r="P830" t="s">
        <v>198</v>
      </c>
      <c r="Q830" t="s">
        <v>199</v>
      </c>
      <c r="R830" s="3"/>
      <c r="W830" t="s">
        <v>200</v>
      </c>
      <c r="X830" s="25"/>
      <c r="Y830" s="26"/>
      <c r="Z830" s="27"/>
      <c r="AA830" t="s">
        <v>25</v>
      </c>
      <c r="AB830" t="s">
        <v>201</v>
      </c>
      <c r="AC830" s="3"/>
      <c r="AH830" t="s">
        <v>202</v>
      </c>
      <c r="AK830" t="s">
        <v>203</v>
      </c>
      <c r="AP830" t="s">
        <v>200</v>
      </c>
      <c r="AR830" s="25"/>
      <c r="AT830" s="25">
        <v>0</v>
      </c>
      <c r="AU830" s="26"/>
      <c r="AV830" s="26"/>
      <c r="AW830" s="26"/>
      <c r="AX830" s="26" t="str">
        <f t="shared" si="36"/>
        <v/>
      </c>
      <c r="AY830" t="str">
        <f t="shared" si="37"/>
        <v/>
      </c>
      <c r="AZ830" t="s">
        <v>200</v>
      </c>
      <c r="BA830" s="3"/>
      <c r="BB830" t="str">
        <f t="shared" si="38"/>
        <v>No scrap rate (No impact);</v>
      </c>
    </row>
    <row r="831" spans="1:54" x14ac:dyDescent="0.3">
      <c r="A831" t="s">
        <v>2681</v>
      </c>
      <c r="B831" t="s">
        <v>2682</v>
      </c>
      <c r="C831" t="s">
        <v>1256</v>
      </c>
      <c r="D831" t="s">
        <v>1257</v>
      </c>
      <c r="G831" t="s">
        <v>443</v>
      </c>
      <c r="H831" t="s">
        <v>444</v>
      </c>
      <c r="J831" t="s">
        <v>1527</v>
      </c>
      <c r="L831">
        <v>0</v>
      </c>
      <c r="M831">
        <v>1.5</v>
      </c>
      <c r="N831" t="s">
        <v>198</v>
      </c>
      <c r="O831">
        <v>1.5</v>
      </c>
      <c r="P831" t="s">
        <v>198</v>
      </c>
      <c r="Q831" t="s">
        <v>199</v>
      </c>
      <c r="R831" s="3"/>
      <c r="W831" t="s">
        <v>200</v>
      </c>
      <c r="X831" s="25"/>
      <c r="Y831" s="26"/>
      <c r="Z831" s="27"/>
      <c r="AA831" t="s">
        <v>25</v>
      </c>
      <c r="AB831" t="s">
        <v>201</v>
      </c>
      <c r="AC831" s="3"/>
      <c r="AH831" t="s">
        <v>202</v>
      </c>
      <c r="AK831" t="s">
        <v>203</v>
      </c>
      <c r="AP831" t="s">
        <v>200</v>
      </c>
      <c r="AR831" s="25"/>
      <c r="AT831" s="25">
        <v>0</v>
      </c>
      <c r="AU831" s="26"/>
      <c r="AV831" s="26"/>
      <c r="AW831" s="26"/>
      <c r="AX831" s="26" t="str">
        <f t="shared" si="36"/>
        <v/>
      </c>
      <c r="AY831" t="str">
        <f t="shared" si="37"/>
        <v/>
      </c>
      <c r="AZ831" t="s">
        <v>200</v>
      </c>
      <c r="BA831" s="3"/>
      <c r="BB831" t="str">
        <f t="shared" si="38"/>
        <v>No scrap rate (No impact);</v>
      </c>
    </row>
    <row r="832" spans="1:54" x14ac:dyDescent="0.3">
      <c r="A832" t="s">
        <v>2683</v>
      </c>
      <c r="B832" t="s">
        <v>2684</v>
      </c>
      <c r="C832" t="s">
        <v>946</v>
      </c>
      <c r="D832" t="s">
        <v>947</v>
      </c>
      <c r="G832" t="s">
        <v>443</v>
      </c>
      <c r="H832" t="s">
        <v>444</v>
      </c>
      <c r="J832" t="s">
        <v>926</v>
      </c>
      <c r="L832">
        <v>0</v>
      </c>
      <c r="M832">
        <v>0.14099999999999999</v>
      </c>
      <c r="N832" t="s">
        <v>198</v>
      </c>
      <c r="O832">
        <v>0.14099999999999999</v>
      </c>
      <c r="P832" t="s">
        <v>198</v>
      </c>
      <c r="Q832" t="s">
        <v>199</v>
      </c>
      <c r="R832" s="3"/>
      <c r="W832" t="s">
        <v>200</v>
      </c>
      <c r="X832" s="25"/>
      <c r="Y832" s="26"/>
      <c r="Z832" s="27"/>
      <c r="AA832" t="s">
        <v>25</v>
      </c>
      <c r="AB832" t="s">
        <v>201</v>
      </c>
      <c r="AC832" s="3"/>
      <c r="AH832" t="s">
        <v>202</v>
      </c>
      <c r="AK832" t="s">
        <v>203</v>
      </c>
      <c r="AP832" t="s">
        <v>200</v>
      </c>
      <c r="AR832" s="25"/>
      <c r="AT832" s="25">
        <v>0</v>
      </c>
      <c r="AU832" s="26"/>
      <c r="AV832" s="26"/>
      <c r="AW832" s="26"/>
      <c r="AX832" s="26" t="str">
        <f t="shared" si="36"/>
        <v/>
      </c>
      <c r="AY832" t="str">
        <f t="shared" si="37"/>
        <v/>
      </c>
      <c r="AZ832" t="s">
        <v>200</v>
      </c>
      <c r="BA832" s="3"/>
      <c r="BB832" t="str">
        <f t="shared" si="38"/>
        <v>No scrap rate (No impact);</v>
      </c>
    </row>
    <row r="833" spans="1:54" x14ac:dyDescent="0.3">
      <c r="A833" t="s">
        <v>2685</v>
      </c>
      <c r="B833" t="s">
        <v>2686</v>
      </c>
      <c r="C833" t="s">
        <v>1256</v>
      </c>
      <c r="D833" t="s">
        <v>1257</v>
      </c>
      <c r="G833" t="s">
        <v>214</v>
      </c>
      <c r="H833" t="s">
        <v>215</v>
      </c>
      <c r="J833" t="s">
        <v>1590</v>
      </c>
      <c r="L833">
        <v>0</v>
      </c>
      <c r="M833">
        <v>2E-3</v>
      </c>
      <c r="N833" t="s">
        <v>198</v>
      </c>
      <c r="O833">
        <v>2E-3</v>
      </c>
      <c r="P833" t="s">
        <v>198</v>
      </c>
      <c r="Q833" t="s">
        <v>199</v>
      </c>
      <c r="R833" s="3"/>
      <c r="W833" t="s">
        <v>200</v>
      </c>
      <c r="X833" s="25"/>
      <c r="Y833" s="26"/>
      <c r="Z833" s="27"/>
      <c r="AA833" t="s">
        <v>25</v>
      </c>
      <c r="AB833" t="s">
        <v>201</v>
      </c>
      <c r="AC833" s="3"/>
      <c r="AH833" t="s">
        <v>202</v>
      </c>
      <c r="AK833" t="s">
        <v>203</v>
      </c>
      <c r="AP833" t="s">
        <v>200</v>
      </c>
      <c r="AR833" s="25"/>
      <c r="AT833" s="25">
        <v>0</v>
      </c>
      <c r="AU833" s="26"/>
      <c r="AV833" s="26"/>
      <c r="AW833" s="26"/>
      <c r="AX833" s="26" t="str">
        <f t="shared" si="36"/>
        <v/>
      </c>
      <c r="AY833" t="str">
        <f t="shared" si="37"/>
        <v/>
      </c>
      <c r="AZ833" t="s">
        <v>200</v>
      </c>
      <c r="BA833" s="3"/>
      <c r="BB833" t="str">
        <f t="shared" si="38"/>
        <v>No scrap rate (No impact);</v>
      </c>
    </row>
    <row r="834" spans="1:54" x14ac:dyDescent="0.3">
      <c r="A834" t="s">
        <v>2687</v>
      </c>
      <c r="B834" t="s">
        <v>2688</v>
      </c>
      <c r="C834" t="s">
        <v>1110</v>
      </c>
      <c r="D834" t="s">
        <v>1111</v>
      </c>
      <c r="G834" t="s">
        <v>288</v>
      </c>
      <c r="H834" t="s">
        <v>289</v>
      </c>
      <c r="J834" t="s">
        <v>926</v>
      </c>
      <c r="L834">
        <v>0</v>
      </c>
      <c r="M834">
        <v>0</v>
      </c>
      <c r="N834" t="s">
        <v>198</v>
      </c>
      <c r="O834">
        <v>0</v>
      </c>
      <c r="P834" t="s">
        <v>198</v>
      </c>
      <c r="Q834" t="s">
        <v>199</v>
      </c>
      <c r="R834" s="3"/>
      <c r="W834" t="s">
        <v>200</v>
      </c>
      <c r="X834" s="25"/>
      <c r="Y834" s="26"/>
      <c r="Z834" s="27"/>
      <c r="AA834" t="s">
        <v>25</v>
      </c>
      <c r="AB834" t="s">
        <v>201</v>
      </c>
      <c r="AC834" s="3"/>
      <c r="AH834" t="s">
        <v>202</v>
      </c>
      <c r="AK834" t="s">
        <v>203</v>
      </c>
      <c r="AP834" t="s">
        <v>200</v>
      </c>
      <c r="AR834" s="25"/>
      <c r="AT834" s="25">
        <v>0</v>
      </c>
      <c r="AU834" s="26"/>
      <c r="AV834" s="26"/>
      <c r="AW834" s="26"/>
      <c r="AX834" s="26" t="str">
        <f t="shared" si="36"/>
        <v/>
      </c>
      <c r="AY834" t="str">
        <f t="shared" si="37"/>
        <v/>
      </c>
      <c r="AZ834" t="s">
        <v>200</v>
      </c>
      <c r="BA834" s="3"/>
      <c r="BB834" t="str">
        <f t="shared" si="38"/>
        <v>No scrap rate (No impact);</v>
      </c>
    </row>
    <row r="835" spans="1:54" x14ac:dyDescent="0.3">
      <c r="A835" t="s">
        <v>2689</v>
      </c>
      <c r="B835" t="s">
        <v>2690</v>
      </c>
      <c r="C835" t="s">
        <v>946</v>
      </c>
      <c r="D835" t="s">
        <v>947</v>
      </c>
      <c r="G835" t="s">
        <v>288</v>
      </c>
      <c r="H835" t="s">
        <v>289</v>
      </c>
      <c r="J835" t="s">
        <v>926</v>
      </c>
      <c r="L835">
        <v>0</v>
      </c>
      <c r="M835">
        <v>0.73</v>
      </c>
      <c r="N835" t="s">
        <v>198</v>
      </c>
      <c r="O835">
        <v>0.73</v>
      </c>
      <c r="P835" t="s">
        <v>198</v>
      </c>
      <c r="Q835" t="s">
        <v>199</v>
      </c>
      <c r="R835" s="3"/>
      <c r="W835" t="s">
        <v>200</v>
      </c>
      <c r="X835" s="25"/>
      <c r="Y835" s="26"/>
      <c r="Z835" s="27"/>
      <c r="AA835" t="s">
        <v>25</v>
      </c>
      <c r="AB835" t="s">
        <v>201</v>
      </c>
      <c r="AC835" s="3"/>
      <c r="AH835" t="s">
        <v>202</v>
      </c>
      <c r="AK835" t="s">
        <v>203</v>
      </c>
      <c r="AP835" t="s">
        <v>200</v>
      </c>
      <c r="AR835" s="25"/>
      <c r="AT835" s="25">
        <v>0</v>
      </c>
      <c r="AU835" s="26"/>
      <c r="AV835" s="26"/>
      <c r="AW835" s="26"/>
      <c r="AX835" s="26" t="str">
        <f t="shared" ref="AX835:AX898" si="39">IF(COUNT(AU835,AV835,AW835)=0,"",ROUND(AVERAGE(AU835,AV835,AW835),3))</f>
        <v/>
      </c>
      <c r="AY835" t="str">
        <f t="shared" ref="AY835:AY898" si="40">IF(AO835="","",ROUND(AO835*IF(M835="",0,M835)*(1+IF(AR835="",0,AR835)),5))</f>
        <v/>
      </c>
      <c r="AZ835" t="s">
        <v>200</v>
      </c>
      <c r="BA835" s="3"/>
      <c r="BB835" t="str">
        <f t="shared" ref="BB835:BB898" si="41">IF(AND(A835&lt;&gt;"",G835=""),"Supplier code empty (High);","")&amp;IF(AND(X835&lt;&gt;"",OR(X835&gt;1,X835&lt;0)),"Incorrect PDS value (High);",IF(AND(X835&lt;&gt;"",X835&gt;0.5),"High PDS value (Medium);",""))&amp;IF(AND(Y835&lt;&gt;"",OR(Y835&gt;5,Y835&lt;1)),"Incorrect DQR value (High);",IF(AND(Y835&lt;&gt;"",Y835&gt;4),"Incorrect DQR value (Medium);",IF(AND(Y835&lt;&gt;"",Y835&gt;3),"Incorrect DQR value (Low);","")))&amp;IF(AND(V835&lt;&gt;"",OR(V835&lt;=0,V835&gt;100)),"Unusual PCF value might be wrong (High);","")&amp;IF(AND(AT835&lt;&gt;"",OR(AT835&gt;1,AT835&lt;0)),"Incorrect PDS value (High);",IF(AND(AT835&lt;&gt;"",AT835&gt;0.5),"High PDS value (Medium);",""))&amp;IF(AND(AX835&lt;&gt;"",OR(AX835&gt;5,AX835&lt;1)),"Incorrect DQR value (High);",IF(AND(AX835&lt;&gt;"",AX835&gt;4),"Incorrect DQR value (Medium);",IF(AND(AX835&lt;&gt;"",AX835&gt;3),"Incorrect DQR value (Low);","")))&amp;IF(AND(AR835&lt;&gt;"",OR(AR835&gt;1,AR835&lt;0)),"Incorrect scrap rate (High);",IF(AND(A835&lt;&gt;"",AR835=0),"No scrap rate (No impact);",""))&amp;IF(AND(A835&lt;&gt;"",I835="",J835="",K835=""),"No raw material available (High);","")&amp;""</f>
        <v>No scrap rate (No impact);</v>
      </c>
    </row>
    <row r="836" spans="1:54" x14ac:dyDescent="0.3">
      <c r="A836" t="s">
        <v>2691</v>
      </c>
      <c r="B836" t="s">
        <v>2692</v>
      </c>
      <c r="C836" t="s">
        <v>1222</v>
      </c>
      <c r="G836" t="s">
        <v>316</v>
      </c>
      <c r="H836" t="s">
        <v>317</v>
      </c>
      <c r="J836" t="s">
        <v>1067</v>
      </c>
      <c r="L836">
        <v>0</v>
      </c>
      <c r="M836">
        <v>0.104</v>
      </c>
      <c r="N836" t="s">
        <v>198</v>
      </c>
      <c r="O836">
        <v>0.104</v>
      </c>
      <c r="P836" t="s">
        <v>198</v>
      </c>
      <c r="Q836" t="s">
        <v>199</v>
      </c>
      <c r="R836" s="3"/>
      <c r="W836" t="s">
        <v>200</v>
      </c>
      <c r="X836" s="25"/>
      <c r="Y836" s="26"/>
      <c r="Z836" s="27"/>
      <c r="AA836" t="s">
        <v>25</v>
      </c>
      <c r="AB836" t="s">
        <v>201</v>
      </c>
      <c r="AC836" s="3"/>
      <c r="AH836" t="s">
        <v>202</v>
      </c>
      <c r="AK836" t="s">
        <v>203</v>
      </c>
      <c r="AP836" t="s">
        <v>200</v>
      </c>
      <c r="AR836" s="25"/>
      <c r="AT836" s="25">
        <v>0</v>
      </c>
      <c r="AU836" s="26"/>
      <c r="AV836" s="26"/>
      <c r="AW836" s="26"/>
      <c r="AX836" s="26" t="str">
        <f t="shared" si="39"/>
        <v/>
      </c>
      <c r="AY836" t="str">
        <f t="shared" si="40"/>
        <v/>
      </c>
      <c r="AZ836" t="s">
        <v>200</v>
      </c>
      <c r="BA836" s="3"/>
      <c r="BB836" t="str">
        <f t="shared" si="41"/>
        <v>No scrap rate (No impact);</v>
      </c>
    </row>
    <row r="837" spans="1:54" x14ac:dyDescent="0.3">
      <c r="A837" t="s">
        <v>2693</v>
      </c>
      <c r="B837" t="s">
        <v>2694</v>
      </c>
      <c r="C837" t="s">
        <v>1256</v>
      </c>
      <c r="D837" t="s">
        <v>1257</v>
      </c>
      <c r="G837" t="s">
        <v>316</v>
      </c>
      <c r="H837" t="s">
        <v>317</v>
      </c>
      <c r="J837" t="s">
        <v>1590</v>
      </c>
      <c r="L837">
        <v>0</v>
      </c>
      <c r="M837">
        <v>2E-3</v>
      </c>
      <c r="N837" t="s">
        <v>198</v>
      </c>
      <c r="O837">
        <v>2E-3</v>
      </c>
      <c r="P837" t="s">
        <v>198</v>
      </c>
      <c r="Q837" t="s">
        <v>199</v>
      </c>
      <c r="R837" s="3"/>
      <c r="W837" t="s">
        <v>200</v>
      </c>
      <c r="X837" s="25"/>
      <c r="Y837" s="26"/>
      <c r="Z837" s="27"/>
      <c r="AA837" t="s">
        <v>25</v>
      </c>
      <c r="AB837" t="s">
        <v>201</v>
      </c>
      <c r="AC837" s="3"/>
      <c r="AH837" t="s">
        <v>202</v>
      </c>
      <c r="AK837" t="s">
        <v>203</v>
      </c>
      <c r="AP837" t="s">
        <v>200</v>
      </c>
      <c r="AR837" s="25"/>
      <c r="AT837" s="25">
        <v>0</v>
      </c>
      <c r="AU837" s="26"/>
      <c r="AV837" s="26"/>
      <c r="AW837" s="26"/>
      <c r="AX837" s="26" t="str">
        <f t="shared" si="39"/>
        <v/>
      </c>
      <c r="AY837" t="str">
        <f t="shared" si="40"/>
        <v/>
      </c>
      <c r="AZ837" t="s">
        <v>200</v>
      </c>
      <c r="BA837" s="3"/>
      <c r="BB837" t="str">
        <f t="shared" si="41"/>
        <v>No scrap rate (No impact);</v>
      </c>
    </row>
    <row r="838" spans="1:54" x14ac:dyDescent="0.3">
      <c r="A838" t="s">
        <v>2695</v>
      </c>
      <c r="B838" t="s">
        <v>2696</v>
      </c>
      <c r="C838" t="s">
        <v>1110</v>
      </c>
      <c r="D838" t="s">
        <v>1111</v>
      </c>
      <c r="G838" t="s">
        <v>288</v>
      </c>
      <c r="H838" t="s">
        <v>289</v>
      </c>
      <c r="J838" t="s">
        <v>926</v>
      </c>
      <c r="L838">
        <v>0</v>
      </c>
      <c r="M838">
        <v>5.5E-2</v>
      </c>
      <c r="N838" t="s">
        <v>198</v>
      </c>
      <c r="O838">
        <v>5.5E-2</v>
      </c>
      <c r="P838" t="s">
        <v>198</v>
      </c>
      <c r="Q838" t="s">
        <v>199</v>
      </c>
      <c r="R838" s="3"/>
      <c r="W838" t="s">
        <v>200</v>
      </c>
      <c r="X838" s="25"/>
      <c r="Y838" s="26"/>
      <c r="Z838" s="27"/>
      <c r="AA838" t="s">
        <v>25</v>
      </c>
      <c r="AB838" t="s">
        <v>201</v>
      </c>
      <c r="AC838" s="3"/>
      <c r="AH838" t="s">
        <v>202</v>
      </c>
      <c r="AK838" t="s">
        <v>203</v>
      </c>
      <c r="AP838" t="s">
        <v>200</v>
      </c>
      <c r="AR838" s="25"/>
      <c r="AT838" s="25">
        <v>0</v>
      </c>
      <c r="AU838" s="26"/>
      <c r="AV838" s="26"/>
      <c r="AW838" s="26"/>
      <c r="AX838" s="26" t="str">
        <f t="shared" si="39"/>
        <v/>
      </c>
      <c r="AY838" t="str">
        <f t="shared" si="40"/>
        <v/>
      </c>
      <c r="AZ838" t="s">
        <v>200</v>
      </c>
      <c r="BA838" s="3"/>
      <c r="BB838" t="str">
        <f t="shared" si="41"/>
        <v>No scrap rate (No impact);</v>
      </c>
    </row>
    <row r="839" spans="1:54" x14ac:dyDescent="0.3">
      <c r="A839" t="s">
        <v>2697</v>
      </c>
      <c r="B839" t="s">
        <v>2698</v>
      </c>
      <c r="C839" t="s">
        <v>1110</v>
      </c>
      <c r="D839" t="s">
        <v>1111</v>
      </c>
      <c r="G839" t="s">
        <v>288</v>
      </c>
      <c r="H839" t="s">
        <v>289</v>
      </c>
      <c r="J839" t="s">
        <v>1089</v>
      </c>
      <c r="L839">
        <v>0</v>
      </c>
      <c r="M839">
        <v>0.06</v>
      </c>
      <c r="N839" t="s">
        <v>198</v>
      </c>
      <c r="O839">
        <v>0.06</v>
      </c>
      <c r="P839" t="s">
        <v>198</v>
      </c>
      <c r="Q839" t="s">
        <v>199</v>
      </c>
      <c r="R839" s="3"/>
      <c r="W839" t="s">
        <v>200</v>
      </c>
      <c r="X839" s="25"/>
      <c r="Y839" s="26"/>
      <c r="Z839" s="27"/>
      <c r="AA839" t="s">
        <v>25</v>
      </c>
      <c r="AB839" t="s">
        <v>201</v>
      </c>
      <c r="AC839" s="3"/>
      <c r="AH839" t="s">
        <v>202</v>
      </c>
      <c r="AK839" t="s">
        <v>203</v>
      </c>
      <c r="AP839" t="s">
        <v>200</v>
      </c>
      <c r="AR839" s="25"/>
      <c r="AT839" s="25">
        <v>0</v>
      </c>
      <c r="AU839" s="26"/>
      <c r="AV839" s="26"/>
      <c r="AW839" s="26"/>
      <c r="AX839" s="26" t="str">
        <f t="shared" si="39"/>
        <v/>
      </c>
      <c r="AY839" t="str">
        <f t="shared" si="40"/>
        <v/>
      </c>
      <c r="AZ839" t="s">
        <v>200</v>
      </c>
      <c r="BA839" s="3"/>
      <c r="BB839" t="str">
        <f t="shared" si="41"/>
        <v>No scrap rate (No impact);</v>
      </c>
    </row>
    <row r="840" spans="1:54" x14ac:dyDescent="0.3">
      <c r="A840" t="s">
        <v>2699</v>
      </c>
      <c r="B840" t="s">
        <v>2700</v>
      </c>
      <c r="C840" t="s">
        <v>1110</v>
      </c>
      <c r="D840" t="s">
        <v>1111</v>
      </c>
      <c r="G840" t="s">
        <v>288</v>
      </c>
      <c r="H840" t="s">
        <v>289</v>
      </c>
      <c r="J840" t="s">
        <v>1089</v>
      </c>
      <c r="L840">
        <v>0</v>
      </c>
      <c r="M840">
        <v>2.5000000000000001E-2</v>
      </c>
      <c r="N840" t="s">
        <v>198</v>
      </c>
      <c r="O840">
        <v>2.5000000000000001E-2</v>
      </c>
      <c r="P840" t="s">
        <v>198</v>
      </c>
      <c r="Q840" t="s">
        <v>199</v>
      </c>
      <c r="R840" s="3"/>
      <c r="W840" t="s">
        <v>200</v>
      </c>
      <c r="X840" s="25"/>
      <c r="Y840" s="26"/>
      <c r="Z840" s="27"/>
      <c r="AA840" t="s">
        <v>25</v>
      </c>
      <c r="AB840" t="s">
        <v>201</v>
      </c>
      <c r="AC840" s="3"/>
      <c r="AH840" t="s">
        <v>202</v>
      </c>
      <c r="AK840" t="s">
        <v>203</v>
      </c>
      <c r="AP840" t="s">
        <v>200</v>
      </c>
      <c r="AR840" s="25"/>
      <c r="AT840" s="25">
        <v>0</v>
      </c>
      <c r="AU840" s="26"/>
      <c r="AV840" s="26"/>
      <c r="AW840" s="26"/>
      <c r="AX840" s="26" t="str">
        <f t="shared" si="39"/>
        <v/>
      </c>
      <c r="AY840" t="str">
        <f t="shared" si="40"/>
        <v/>
      </c>
      <c r="AZ840" t="s">
        <v>200</v>
      </c>
      <c r="BA840" s="3"/>
      <c r="BB840" t="str">
        <f t="shared" si="41"/>
        <v>No scrap rate (No impact);</v>
      </c>
    </row>
    <row r="841" spans="1:54" x14ac:dyDescent="0.3">
      <c r="A841" t="s">
        <v>2701</v>
      </c>
      <c r="B841" t="s">
        <v>2702</v>
      </c>
      <c r="C841" t="s">
        <v>1256</v>
      </c>
      <c r="D841" t="s">
        <v>1257</v>
      </c>
      <c r="G841" t="s">
        <v>288</v>
      </c>
      <c r="H841" t="s">
        <v>289</v>
      </c>
      <c r="J841" t="s">
        <v>1590</v>
      </c>
      <c r="L841">
        <v>0</v>
      </c>
      <c r="M841">
        <v>1E-3</v>
      </c>
      <c r="N841" t="s">
        <v>198</v>
      </c>
      <c r="O841">
        <v>1E-3</v>
      </c>
      <c r="P841" t="s">
        <v>198</v>
      </c>
      <c r="Q841" t="s">
        <v>199</v>
      </c>
      <c r="R841" s="3"/>
      <c r="W841" t="s">
        <v>200</v>
      </c>
      <c r="X841" s="25"/>
      <c r="Y841" s="26"/>
      <c r="Z841" s="27"/>
      <c r="AA841" t="s">
        <v>25</v>
      </c>
      <c r="AB841" t="s">
        <v>201</v>
      </c>
      <c r="AC841" s="3"/>
      <c r="AH841" t="s">
        <v>202</v>
      </c>
      <c r="AK841" t="s">
        <v>203</v>
      </c>
      <c r="AP841" t="s">
        <v>200</v>
      </c>
      <c r="AR841" s="25"/>
      <c r="AT841" s="25">
        <v>0</v>
      </c>
      <c r="AU841" s="26"/>
      <c r="AV841" s="26"/>
      <c r="AW841" s="26"/>
      <c r="AX841" s="26" t="str">
        <f t="shared" si="39"/>
        <v/>
      </c>
      <c r="AY841" t="str">
        <f t="shared" si="40"/>
        <v/>
      </c>
      <c r="AZ841" t="s">
        <v>200</v>
      </c>
      <c r="BA841" s="3"/>
      <c r="BB841" t="str">
        <f t="shared" si="41"/>
        <v>No scrap rate (No impact);</v>
      </c>
    </row>
    <row r="842" spans="1:54" x14ac:dyDescent="0.3">
      <c r="A842" t="s">
        <v>2703</v>
      </c>
      <c r="B842" t="s">
        <v>2704</v>
      </c>
      <c r="C842" t="s">
        <v>1256</v>
      </c>
      <c r="D842" t="s">
        <v>1257</v>
      </c>
      <c r="G842" t="s">
        <v>288</v>
      </c>
      <c r="H842" t="s">
        <v>289</v>
      </c>
      <c r="J842" t="s">
        <v>1590</v>
      </c>
      <c r="L842">
        <v>0</v>
      </c>
      <c r="M842">
        <v>3.0000000000000001E-3</v>
      </c>
      <c r="N842" t="s">
        <v>198</v>
      </c>
      <c r="O842">
        <v>3.0000000000000001E-3</v>
      </c>
      <c r="P842" t="s">
        <v>198</v>
      </c>
      <c r="Q842" t="s">
        <v>199</v>
      </c>
      <c r="R842" s="3"/>
      <c r="W842" t="s">
        <v>200</v>
      </c>
      <c r="X842" s="25"/>
      <c r="Y842" s="26"/>
      <c r="Z842" s="27"/>
      <c r="AA842" t="s">
        <v>25</v>
      </c>
      <c r="AB842" t="s">
        <v>201</v>
      </c>
      <c r="AC842" s="3"/>
      <c r="AH842" t="s">
        <v>202</v>
      </c>
      <c r="AK842" t="s">
        <v>203</v>
      </c>
      <c r="AP842" t="s">
        <v>200</v>
      </c>
      <c r="AR842" s="25"/>
      <c r="AT842" s="25">
        <v>0</v>
      </c>
      <c r="AU842" s="26"/>
      <c r="AV842" s="26"/>
      <c r="AW842" s="26"/>
      <c r="AX842" s="26" t="str">
        <f t="shared" si="39"/>
        <v/>
      </c>
      <c r="AY842" t="str">
        <f t="shared" si="40"/>
        <v/>
      </c>
      <c r="AZ842" t="s">
        <v>200</v>
      </c>
      <c r="BA842" s="3"/>
      <c r="BB842" t="str">
        <f t="shared" si="41"/>
        <v>No scrap rate (No impact);</v>
      </c>
    </row>
    <row r="843" spans="1:54" x14ac:dyDescent="0.3">
      <c r="A843" t="s">
        <v>2705</v>
      </c>
      <c r="B843" t="s">
        <v>2706</v>
      </c>
      <c r="C843" t="s">
        <v>946</v>
      </c>
      <c r="D843" t="s">
        <v>947</v>
      </c>
      <c r="G843" t="s">
        <v>288</v>
      </c>
      <c r="H843" t="s">
        <v>289</v>
      </c>
      <c r="J843" t="s">
        <v>926</v>
      </c>
      <c r="L843">
        <v>0</v>
      </c>
      <c r="M843">
        <v>3.6999999999999998E-2</v>
      </c>
      <c r="N843" t="s">
        <v>198</v>
      </c>
      <c r="O843">
        <v>3.6999999999999998E-2</v>
      </c>
      <c r="P843" t="s">
        <v>198</v>
      </c>
      <c r="Q843" t="s">
        <v>199</v>
      </c>
      <c r="R843" s="3"/>
      <c r="W843" t="s">
        <v>200</v>
      </c>
      <c r="X843" s="25"/>
      <c r="Y843" s="26"/>
      <c r="Z843" s="27"/>
      <c r="AA843" t="s">
        <v>25</v>
      </c>
      <c r="AB843" t="s">
        <v>201</v>
      </c>
      <c r="AC843" s="3"/>
      <c r="AH843" t="s">
        <v>202</v>
      </c>
      <c r="AK843" t="s">
        <v>203</v>
      </c>
      <c r="AP843" t="s">
        <v>200</v>
      </c>
      <c r="AR843" s="25"/>
      <c r="AT843" s="25">
        <v>0</v>
      </c>
      <c r="AU843" s="26"/>
      <c r="AV843" s="26"/>
      <c r="AW843" s="26"/>
      <c r="AX843" s="26" t="str">
        <f t="shared" si="39"/>
        <v/>
      </c>
      <c r="AY843" t="str">
        <f t="shared" si="40"/>
        <v/>
      </c>
      <c r="AZ843" t="s">
        <v>200</v>
      </c>
      <c r="BA843" s="3"/>
      <c r="BB843" t="str">
        <f t="shared" si="41"/>
        <v>No scrap rate (No impact);</v>
      </c>
    </row>
    <row r="844" spans="1:54" x14ac:dyDescent="0.3">
      <c r="A844" t="s">
        <v>2707</v>
      </c>
      <c r="B844" t="s">
        <v>2708</v>
      </c>
      <c r="C844" t="s">
        <v>1256</v>
      </c>
      <c r="D844" t="s">
        <v>1257</v>
      </c>
      <c r="G844" t="s">
        <v>288</v>
      </c>
      <c r="H844" t="s">
        <v>289</v>
      </c>
      <c r="J844" t="s">
        <v>1590</v>
      </c>
      <c r="L844">
        <v>0</v>
      </c>
      <c r="M844">
        <v>3.0000000000000001E-3</v>
      </c>
      <c r="N844" t="s">
        <v>198</v>
      </c>
      <c r="O844">
        <v>3.0000000000000001E-3</v>
      </c>
      <c r="P844" t="s">
        <v>198</v>
      </c>
      <c r="Q844" t="s">
        <v>199</v>
      </c>
      <c r="R844" s="3"/>
      <c r="W844" t="s">
        <v>200</v>
      </c>
      <c r="X844" s="25"/>
      <c r="Y844" s="26"/>
      <c r="Z844" s="27"/>
      <c r="AA844" t="s">
        <v>25</v>
      </c>
      <c r="AB844" t="s">
        <v>201</v>
      </c>
      <c r="AC844" s="3"/>
      <c r="AH844" t="s">
        <v>202</v>
      </c>
      <c r="AK844" t="s">
        <v>203</v>
      </c>
      <c r="AP844" t="s">
        <v>200</v>
      </c>
      <c r="AR844" s="25"/>
      <c r="AT844" s="25">
        <v>0</v>
      </c>
      <c r="AU844" s="26"/>
      <c r="AV844" s="26"/>
      <c r="AW844" s="26"/>
      <c r="AX844" s="26" t="str">
        <f t="shared" si="39"/>
        <v/>
      </c>
      <c r="AY844" t="str">
        <f t="shared" si="40"/>
        <v/>
      </c>
      <c r="AZ844" t="s">
        <v>200</v>
      </c>
      <c r="BA844" s="3"/>
      <c r="BB844" t="str">
        <f t="shared" si="41"/>
        <v>No scrap rate (No impact);</v>
      </c>
    </row>
    <row r="845" spans="1:54" x14ac:dyDescent="0.3">
      <c r="A845" t="s">
        <v>2709</v>
      </c>
      <c r="B845" t="s">
        <v>2710</v>
      </c>
      <c r="C845" t="s">
        <v>946</v>
      </c>
      <c r="D845" t="s">
        <v>947</v>
      </c>
      <c r="G845" t="s">
        <v>288</v>
      </c>
      <c r="H845" t="s">
        <v>289</v>
      </c>
      <c r="J845" t="s">
        <v>926</v>
      </c>
      <c r="L845">
        <v>0</v>
      </c>
      <c r="M845">
        <v>0.17</v>
      </c>
      <c r="N845" t="s">
        <v>198</v>
      </c>
      <c r="O845">
        <v>0.17</v>
      </c>
      <c r="P845" t="s">
        <v>198</v>
      </c>
      <c r="Q845" t="s">
        <v>199</v>
      </c>
      <c r="R845" s="3"/>
      <c r="W845" t="s">
        <v>200</v>
      </c>
      <c r="X845" s="25"/>
      <c r="Y845" s="26"/>
      <c r="Z845" s="27"/>
      <c r="AA845" t="s">
        <v>25</v>
      </c>
      <c r="AB845" t="s">
        <v>201</v>
      </c>
      <c r="AC845" s="3"/>
      <c r="AH845" t="s">
        <v>202</v>
      </c>
      <c r="AK845" t="s">
        <v>203</v>
      </c>
      <c r="AP845" t="s">
        <v>200</v>
      </c>
      <c r="AR845" s="25"/>
      <c r="AT845" s="25">
        <v>0</v>
      </c>
      <c r="AU845" s="26"/>
      <c r="AV845" s="26"/>
      <c r="AW845" s="26"/>
      <c r="AX845" s="26" t="str">
        <f t="shared" si="39"/>
        <v/>
      </c>
      <c r="AY845" t="str">
        <f t="shared" si="40"/>
        <v/>
      </c>
      <c r="AZ845" t="s">
        <v>200</v>
      </c>
      <c r="BA845" s="3"/>
      <c r="BB845" t="str">
        <f t="shared" si="41"/>
        <v>No scrap rate (No impact);</v>
      </c>
    </row>
    <row r="846" spans="1:54" x14ac:dyDescent="0.3">
      <c r="A846" t="s">
        <v>2711</v>
      </c>
      <c r="B846" t="s">
        <v>2712</v>
      </c>
      <c r="C846" t="s">
        <v>946</v>
      </c>
      <c r="D846" t="s">
        <v>947</v>
      </c>
      <c r="G846" t="s">
        <v>288</v>
      </c>
      <c r="H846" t="s">
        <v>289</v>
      </c>
      <c r="J846" t="s">
        <v>926</v>
      </c>
      <c r="L846">
        <v>0</v>
      </c>
      <c r="M846">
        <v>0</v>
      </c>
      <c r="N846" t="s">
        <v>198</v>
      </c>
      <c r="O846">
        <v>0</v>
      </c>
      <c r="P846" t="s">
        <v>198</v>
      </c>
      <c r="Q846" t="s">
        <v>199</v>
      </c>
      <c r="R846" s="3"/>
      <c r="W846" t="s">
        <v>200</v>
      </c>
      <c r="X846" s="25"/>
      <c r="Y846" s="26"/>
      <c r="Z846" s="27"/>
      <c r="AA846" t="s">
        <v>25</v>
      </c>
      <c r="AB846" t="s">
        <v>201</v>
      </c>
      <c r="AC846" s="3"/>
      <c r="AH846" t="s">
        <v>202</v>
      </c>
      <c r="AK846" t="s">
        <v>203</v>
      </c>
      <c r="AP846" t="s">
        <v>200</v>
      </c>
      <c r="AR846" s="25"/>
      <c r="AT846" s="25">
        <v>0</v>
      </c>
      <c r="AU846" s="26"/>
      <c r="AV846" s="26"/>
      <c r="AW846" s="26"/>
      <c r="AX846" s="26" t="str">
        <f t="shared" si="39"/>
        <v/>
      </c>
      <c r="AY846" t="str">
        <f t="shared" si="40"/>
        <v/>
      </c>
      <c r="AZ846" t="s">
        <v>200</v>
      </c>
      <c r="BA846" s="3"/>
      <c r="BB846" t="str">
        <f t="shared" si="41"/>
        <v>No scrap rate (No impact);</v>
      </c>
    </row>
    <row r="847" spans="1:54" x14ac:dyDescent="0.3">
      <c r="A847" t="s">
        <v>2713</v>
      </c>
      <c r="B847" t="s">
        <v>2714</v>
      </c>
      <c r="C847" t="s">
        <v>1256</v>
      </c>
      <c r="D847" t="s">
        <v>1257</v>
      </c>
      <c r="G847" t="s">
        <v>1615</v>
      </c>
      <c r="H847" t="s">
        <v>1616</v>
      </c>
      <c r="J847" t="s">
        <v>1046</v>
      </c>
      <c r="L847">
        <v>0</v>
      </c>
      <c r="M847">
        <v>1.4E-2</v>
      </c>
      <c r="N847" t="s">
        <v>198</v>
      </c>
      <c r="O847">
        <v>1.4E-2</v>
      </c>
      <c r="P847" t="s">
        <v>198</v>
      </c>
      <c r="Q847" t="s">
        <v>199</v>
      </c>
      <c r="R847" s="3"/>
      <c r="W847" t="s">
        <v>200</v>
      </c>
      <c r="X847" s="25"/>
      <c r="Y847" s="26"/>
      <c r="Z847" s="27"/>
      <c r="AA847" t="s">
        <v>25</v>
      </c>
      <c r="AB847" t="s">
        <v>201</v>
      </c>
      <c r="AC847" s="3"/>
      <c r="AH847" t="s">
        <v>202</v>
      </c>
      <c r="AK847" t="s">
        <v>203</v>
      </c>
      <c r="AP847" t="s">
        <v>200</v>
      </c>
      <c r="AR847" s="25"/>
      <c r="AT847" s="25">
        <v>0</v>
      </c>
      <c r="AU847" s="26"/>
      <c r="AV847" s="26"/>
      <c r="AW847" s="26"/>
      <c r="AX847" s="26" t="str">
        <f t="shared" si="39"/>
        <v/>
      </c>
      <c r="AY847" t="str">
        <f t="shared" si="40"/>
        <v/>
      </c>
      <c r="AZ847" t="s">
        <v>200</v>
      </c>
      <c r="BA847" s="3"/>
      <c r="BB847" t="str">
        <f t="shared" si="41"/>
        <v>No scrap rate (No impact);</v>
      </c>
    </row>
    <row r="848" spans="1:54" x14ac:dyDescent="0.3">
      <c r="A848" t="s">
        <v>2715</v>
      </c>
      <c r="B848" t="s">
        <v>2716</v>
      </c>
      <c r="C848" t="s">
        <v>1256</v>
      </c>
      <c r="D848" t="s">
        <v>1257</v>
      </c>
      <c r="G848" t="s">
        <v>1615</v>
      </c>
      <c r="H848" t="s">
        <v>1616</v>
      </c>
      <c r="J848" t="s">
        <v>1046</v>
      </c>
      <c r="L848">
        <v>0</v>
      </c>
      <c r="M848">
        <v>1.4E-2</v>
      </c>
      <c r="N848" t="s">
        <v>198</v>
      </c>
      <c r="O848">
        <v>1.4E-2</v>
      </c>
      <c r="P848" t="s">
        <v>198</v>
      </c>
      <c r="Q848" t="s">
        <v>199</v>
      </c>
      <c r="R848" s="3"/>
      <c r="W848" t="s">
        <v>200</v>
      </c>
      <c r="X848" s="25"/>
      <c r="Y848" s="26"/>
      <c r="Z848" s="27"/>
      <c r="AA848" t="s">
        <v>25</v>
      </c>
      <c r="AB848" t="s">
        <v>201</v>
      </c>
      <c r="AC848" s="3"/>
      <c r="AH848" t="s">
        <v>202</v>
      </c>
      <c r="AK848" t="s">
        <v>203</v>
      </c>
      <c r="AP848" t="s">
        <v>200</v>
      </c>
      <c r="AR848" s="25"/>
      <c r="AT848" s="25">
        <v>0</v>
      </c>
      <c r="AU848" s="26"/>
      <c r="AV848" s="26"/>
      <c r="AW848" s="26"/>
      <c r="AX848" s="26" t="str">
        <f t="shared" si="39"/>
        <v/>
      </c>
      <c r="AY848" t="str">
        <f t="shared" si="40"/>
        <v/>
      </c>
      <c r="AZ848" t="s">
        <v>200</v>
      </c>
      <c r="BA848" s="3"/>
      <c r="BB848" t="str">
        <f t="shared" si="41"/>
        <v>No scrap rate (No impact);</v>
      </c>
    </row>
    <row r="849" spans="1:54" x14ac:dyDescent="0.3">
      <c r="A849" t="s">
        <v>2717</v>
      </c>
      <c r="B849" t="s">
        <v>2718</v>
      </c>
      <c r="C849" t="s">
        <v>1256</v>
      </c>
      <c r="D849" t="s">
        <v>1257</v>
      </c>
      <c r="G849" t="s">
        <v>1565</v>
      </c>
      <c r="H849" t="s">
        <v>421</v>
      </c>
      <c r="J849" t="s">
        <v>1590</v>
      </c>
      <c r="L849">
        <v>0</v>
      </c>
      <c r="M849">
        <v>0</v>
      </c>
      <c r="N849" t="s">
        <v>198</v>
      </c>
      <c r="O849">
        <v>0</v>
      </c>
      <c r="P849" t="s">
        <v>198</v>
      </c>
      <c r="Q849" t="s">
        <v>199</v>
      </c>
      <c r="R849" s="3"/>
      <c r="W849" t="s">
        <v>200</v>
      </c>
      <c r="X849" s="25"/>
      <c r="Y849" s="26"/>
      <c r="Z849" s="27"/>
      <c r="AA849" t="s">
        <v>25</v>
      </c>
      <c r="AB849" t="s">
        <v>201</v>
      </c>
      <c r="AC849" s="3"/>
      <c r="AH849" t="s">
        <v>202</v>
      </c>
      <c r="AK849" t="s">
        <v>203</v>
      </c>
      <c r="AP849" t="s">
        <v>200</v>
      </c>
      <c r="AR849" s="25"/>
      <c r="AT849" s="25">
        <v>0</v>
      </c>
      <c r="AU849" s="26"/>
      <c r="AV849" s="26"/>
      <c r="AW849" s="26"/>
      <c r="AX849" s="26" t="str">
        <f t="shared" si="39"/>
        <v/>
      </c>
      <c r="AY849" t="str">
        <f t="shared" si="40"/>
        <v/>
      </c>
      <c r="AZ849" t="s">
        <v>200</v>
      </c>
      <c r="BA849" s="3"/>
      <c r="BB849" t="str">
        <f t="shared" si="41"/>
        <v>No scrap rate (No impact);</v>
      </c>
    </row>
    <row r="850" spans="1:54" x14ac:dyDescent="0.3">
      <c r="A850" t="s">
        <v>2719</v>
      </c>
      <c r="B850" t="s">
        <v>2720</v>
      </c>
      <c r="C850" t="s">
        <v>966</v>
      </c>
      <c r="D850" t="s">
        <v>967</v>
      </c>
      <c r="G850" t="s">
        <v>1078</v>
      </c>
      <c r="H850" t="s">
        <v>1079</v>
      </c>
      <c r="J850" t="s">
        <v>1060</v>
      </c>
      <c r="L850">
        <v>0</v>
      </c>
      <c r="M850">
        <v>8.7999999999999995E-2</v>
      </c>
      <c r="N850" t="s">
        <v>198</v>
      </c>
      <c r="O850">
        <v>8.7999999999999995E-2</v>
      </c>
      <c r="P850" t="s">
        <v>198</v>
      </c>
      <c r="Q850" t="s">
        <v>199</v>
      </c>
      <c r="R850" s="3"/>
      <c r="W850" t="s">
        <v>200</v>
      </c>
      <c r="X850" s="25"/>
      <c r="Y850" s="26"/>
      <c r="Z850" s="27"/>
      <c r="AA850" t="s">
        <v>25</v>
      </c>
      <c r="AB850" t="s">
        <v>201</v>
      </c>
      <c r="AC850" s="3"/>
      <c r="AH850" t="s">
        <v>202</v>
      </c>
      <c r="AK850" t="s">
        <v>203</v>
      </c>
      <c r="AP850" t="s">
        <v>200</v>
      </c>
      <c r="AR850" s="25"/>
      <c r="AT850" s="25">
        <v>0</v>
      </c>
      <c r="AU850" s="26"/>
      <c r="AV850" s="26"/>
      <c r="AW850" s="26"/>
      <c r="AX850" s="26" t="str">
        <f t="shared" si="39"/>
        <v/>
      </c>
      <c r="AY850" t="str">
        <f t="shared" si="40"/>
        <v/>
      </c>
      <c r="AZ850" t="s">
        <v>200</v>
      </c>
      <c r="BA850" s="3"/>
      <c r="BB850" t="str">
        <f t="shared" si="41"/>
        <v>No scrap rate (No impact);</v>
      </c>
    </row>
    <row r="851" spans="1:54" x14ac:dyDescent="0.3">
      <c r="A851" t="s">
        <v>2721</v>
      </c>
      <c r="B851" t="s">
        <v>2722</v>
      </c>
      <c r="C851" t="s">
        <v>1256</v>
      </c>
      <c r="D851" t="s">
        <v>1257</v>
      </c>
      <c r="G851" t="s">
        <v>196</v>
      </c>
      <c r="H851" t="s">
        <v>197</v>
      </c>
      <c r="J851" t="s">
        <v>1590</v>
      </c>
      <c r="L851">
        <v>0</v>
      </c>
      <c r="M851">
        <v>3.0000000000000001E-3</v>
      </c>
      <c r="N851" t="s">
        <v>198</v>
      </c>
      <c r="O851">
        <v>3.0000000000000001E-3</v>
      </c>
      <c r="P851" t="s">
        <v>198</v>
      </c>
      <c r="Q851" t="s">
        <v>199</v>
      </c>
      <c r="R851" s="3"/>
      <c r="W851" t="s">
        <v>200</v>
      </c>
      <c r="X851" s="25"/>
      <c r="Y851" s="26"/>
      <c r="Z851" s="27"/>
      <c r="AA851" t="s">
        <v>25</v>
      </c>
      <c r="AB851" t="s">
        <v>201</v>
      </c>
      <c r="AC851" s="3"/>
      <c r="AH851" t="s">
        <v>202</v>
      </c>
      <c r="AK851" t="s">
        <v>203</v>
      </c>
      <c r="AP851" t="s">
        <v>200</v>
      </c>
      <c r="AR851" s="25"/>
      <c r="AT851" s="25">
        <v>0</v>
      </c>
      <c r="AU851" s="26"/>
      <c r="AV851" s="26"/>
      <c r="AW851" s="26"/>
      <c r="AX851" s="26" t="str">
        <f t="shared" si="39"/>
        <v/>
      </c>
      <c r="AY851" t="str">
        <f t="shared" si="40"/>
        <v/>
      </c>
      <c r="AZ851" t="s">
        <v>200</v>
      </c>
      <c r="BA851" s="3"/>
      <c r="BB851" t="str">
        <f t="shared" si="41"/>
        <v>No scrap rate (No impact);</v>
      </c>
    </row>
    <row r="852" spans="1:54" x14ac:dyDescent="0.3">
      <c r="A852" t="s">
        <v>2723</v>
      </c>
      <c r="B852" t="s">
        <v>2724</v>
      </c>
      <c r="C852" t="s">
        <v>1110</v>
      </c>
      <c r="D852" t="s">
        <v>1111</v>
      </c>
      <c r="G852" t="s">
        <v>1112</v>
      </c>
      <c r="H852" t="s">
        <v>1113</v>
      </c>
      <c r="J852" t="s">
        <v>1089</v>
      </c>
      <c r="L852">
        <v>0</v>
      </c>
      <c r="M852">
        <v>7.4999999999999997E-2</v>
      </c>
      <c r="N852" t="s">
        <v>198</v>
      </c>
      <c r="O852">
        <v>7.4999999999999997E-2</v>
      </c>
      <c r="P852" t="s">
        <v>198</v>
      </c>
      <c r="Q852" t="s">
        <v>199</v>
      </c>
      <c r="R852" s="3"/>
      <c r="W852" t="s">
        <v>200</v>
      </c>
      <c r="X852" s="25"/>
      <c r="Y852" s="26"/>
      <c r="Z852" s="27"/>
      <c r="AA852" t="s">
        <v>25</v>
      </c>
      <c r="AB852" t="s">
        <v>201</v>
      </c>
      <c r="AC852" s="3"/>
      <c r="AH852" t="s">
        <v>202</v>
      </c>
      <c r="AK852" t="s">
        <v>203</v>
      </c>
      <c r="AP852" t="s">
        <v>200</v>
      </c>
      <c r="AR852" s="25"/>
      <c r="AT852" s="25">
        <v>0</v>
      </c>
      <c r="AU852" s="26"/>
      <c r="AV852" s="26"/>
      <c r="AW852" s="26"/>
      <c r="AX852" s="26" t="str">
        <f t="shared" si="39"/>
        <v/>
      </c>
      <c r="AY852" t="str">
        <f t="shared" si="40"/>
        <v/>
      </c>
      <c r="AZ852" t="s">
        <v>200</v>
      </c>
      <c r="BA852" s="3"/>
      <c r="BB852" t="str">
        <f t="shared" si="41"/>
        <v>No scrap rate (No impact);</v>
      </c>
    </row>
    <row r="853" spans="1:54" x14ac:dyDescent="0.3">
      <c r="A853" t="s">
        <v>2725</v>
      </c>
      <c r="B853" t="s">
        <v>2726</v>
      </c>
      <c r="C853" t="s">
        <v>1256</v>
      </c>
      <c r="D853" t="s">
        <v>1257</v>
      </c>
      <c r="G853" t="s">
        <v>196</v>
      </c>
      <c r="H853" t="s">
        <v>197</v>
      </c>
      <c r="J853" t="s">
        <v>1590</v>
      </c>
      <c r="L853">
        <v>0</v>
      </c>
      <c r="M853">
        <v>3.0000000000000001E-3</v>
      </c>
      <c r="N853" t="s">
        <v>198</v>
      </c>
      <c r="O853">
        <v>3.0000000000000001E-3</v>
      </c>
      <c r="P853" t="s">
        <v>198</v>
      </c>
      <c r="Q853" t="s">
        <v>199</v>
      </c>
      <c r="R853" s="3"/>
      <c r="W853" t="s">
        <v>200</v>
      </c>
      <c r="X853" s="25"/>
      <c r="Y853" s="26"/>
      <c r="Z853" s="27"/>
      <c r="AA853" t="s">
        <v>25</v>
      </c>
      <c r="AB853" t="s">
        <v>201</v>
      </c>
      <c r="AC853" s="3"/>
      <c r="AH853" t="s">
        <v>202</v>
      </c>
      <c r="AK853" t="s">
        <v>203</v>
      </c>
      <c r="AP853" t="s">
        <v>200</v>
      </c>
      <c r="AR853" s="25"/>
      <c r="AT853" s="25">
        <v>0</v>
      </c>
      <c r="AU853" s="26"/>
      <c r="AV853" s="26"/>
      <c r="AW853" s="26"/>
      <c r="AX853" s="26" t="str">
        <f t="shared" si="39"/>
        <v/>
      </c>
      <c r="AY853" t="str">
        <f t="shared" si="40"/>
        <v/>
      </c>
      <c r="AZ853" t="s">
        <v>200</v>
      </c>
      <c r="BA853" s="3"/>
      <c r="BB853" t="str">
        <f t="shared" si="41"/>
        <v>No scrap rate (No impact);</v>
      </c>
    </row>
    <row r="854" spans="1:54" x14ac:dyDescent="0.3">
      <c r="A854" t="s">
        <v>2727</v>
      </c>
      <c r="B854" t="s">
        <v>2728</v>
      </c>
      <c r="C854" t="s">
        <v>1256</v>
      </c>
      <c r="D854" t="s">
        <v>1257</v>
      </c>
      <c r="G854" t="s">
        <v>196</v>
      </c>
      <c r="H854" t="s">
        <v>197</v>
      </c>
      <c r="J854" t="s">
        <v>1590</v>
      </c>
      <c r="L854">
        <v>0</v>
      </c>
      <c r="M854">
        <v>3.0000000000000001E-3</v>
      </c>
      <c r="N854" t="s">
        <v>198</v>
      </c>
      <c r="O854">
        <v>3.0000000000000001E-3</v>
      </c>
      <c r="P854" t="s">
        <v>198</v>
      </c>
      <c r="Q854" t="s">
        <v>199</v>
      </c>
      <c r="R854" s="3"/>
      <c r="W854" t="s">
        <v>200</v>
      </c>
      <c r="X854" s="25"/>
      <c r="Y854" s="26"/>
      <c r="Z854" s="27"/>
      <c r="AA854" t="s">
        <v>25</v>
      </c>
      <c r="AB854" t="s">
        <v>201</v>
      </c>
      <c r="AC854" s="3"/>
      <c r="AH854" t="s">
        <v>202</v>
      </c>
      <c r="AK854" t="s">
        <v>203</v>
      </c>
      <c r="AP854" t="s">
        <v>200</v>
      </c>
      <c r="AR854" s="25"/>
      <c r="AT854" s="25">
        <v>0</v>
      </c>
      <c r="AU854" s="26"/>
      <c r="AV854" s="26"/>
      <c r="AW854" s="26"/>
      <c r="AX854" s="26" t="str">
        <f t="shared" si="39"/>
        <v/>
      </c>
      <c r="AY854" t="str">
        <f t="shared" si="40"/>
        <v/>
      </c>
      <c r="AZ854" t="s">
        <v>200</v>
      </c>
      <c r="BA854" s="3"/>
      <c r="BB854" t="str">
        <f t="shared" si="41"/>
        <v>No scrap rate (No impact);</v>
      </c>
    </row>
    <row r="855" spans="1:54" x14ac:dyDescent="0.3">
      <c r="A855" t="s">
        <v>2729</v>
      </c>
      <c r="B855" t="s">
        <v>2730</v>
      </c>
      <c r="C855" t="s">
        <v>2731</v>
      </c>
      <c r="D855" t="s">
        <v>2732</v>
      </c>
      <c r="G855" t="s">
        <v>2733</v>
      </c>
      <c r="H855" t="s">
        <v>2734</v>
      </c>
      <c r="I855" t="s">
        <v>2735</v>
      </c>
      <c r="L855">
        <v>750</v>
      </c>
      <c r="M855">
        <v>1</v>
      </c>
      <c r="N855" t="s">
        <v>198</v>
      </c>
      <c r="O855">
        <v>0</v>
      </c>
      <c r="P855" t="s">
        <v>198</v>
      </c>
      <c r="Q855" t="s">
        <v>199</v>
      </c>
      <c r="R855" s="3"/>
      <c r="W855" t="s">
        <v>200</v>
      </c>
      <c r="X855" s="25"/>
      <c r="Y855" s="26"/>
      <c r="Z855" s="27"/>
      <c r="AA855" t="s">
        <v>25</v>
      </c>
      <c r="AB855" t="s">
        <v>201</v>
      </c>
      <c r="AC855" s="3"/>
      <c r="AH855" t="s">
        <v>202</v>
      </c>
      <c r="AK855" t="s">
        <v>203</v>
      </c>
      <c r="AP855" t="s">
        <v>200</v>
      </c>
      <c r="AR855" s="25"/>
      <c r="AT855" s="25">
        <v>0</v>
      </c>
      <c r="AU855" s="26"/>
      <c r="AV855" s="26"/>
      <c r="AW855" s="26"/>
      <c r="AX855" s="26" t="str">
        <f t="shared" si="39"/>
        <v/>
      </c>
      <c r="AY855" t="str">
        <f t="shared" si="40"/>
        <v/>
      </c>
      <c r="AZ855" t="s">
        <v>200</v>
      </c>
      <c r="BA855" s="3"/>
      <c r="BB855" t="str">
        <f t="shared" si="41"/>
        <v>No scrap rate (No impact);</v>
      </c>
    </row>
    <row r="856" spans="1:54" x14ac:dyDescent="0.3">
      <c r="A856" t="s">
        <v>2736</v>
      </c>
      <c r="B856" t="s">
        <v>2737</v>
      </c>
      <c r="C856" t="s">
        <v>2731</v>
      </c>
      <c r="D856" t="s">
        <v>2732</v>
      </c>
      <c r="G856" t="s">
        <v>529</v>
      </c>
      <c r="H856" t="s">
        <v>530</v>
      </c>
      <c r="L856">
        <v>1000</v>
      </c>
      <c r="M856">
        <v>1</v>
      </c>
      <c r="N856" t="s">
        <v>198</v>
      </c>
      <c r="O856">
        <v>0</v>
      </c>
      <c r="P856" t="s">
        <v>198</v>
      </c>
      <c r="Q856" t="s">
        <v>199</v>
      </c>
      <c r="R856" s="3"/>
      <c r="W856" t="s">
        <v>200</v>
      </c>
      <c r="X856" s="25"/>
      <c r="Y856" s="26"/>
      <c r="Z856" s="27"/>
      <c r="AA856" t="s">
        <v>25</v>
      </c>
      <c r="AB856" t="s">
        <v>201</v>
      </c>
      <c r="AC856" s="3"/>
      <c r="AH856" t="s">
        <v>202</v>
      </c>
      <c r="AK856" t="s">
        <v>203</v>
      </c>
      <c r="AP856" t="s">
        <v>200</v>
      </c>
      <c r="AR856" s="25"/>
      <c r="AT856" s="25">
        <v>0</v>
      </c>
      <c r="AU856" s="26"/>
      <c r="AV856" s="26"/>
      <c r="AW856" s="26"/>
      <c r="AX856" s="26" t="str">
        <f t="shared" si="39"/>
        <v/>
      </c>
      <c r="AY856" t="str">
        <f t="shared" si="40"/>
        <v/>
      </c>
      <c r="AZ856" t="s">
        <v>200</v>
      </c>
      <c r="BA856" s="3"/>
      <c r="BB856" t="str">
        <f t="shared" si="41"/>
        <v>No scrap rate (No impact);No raw material available (High);</v>
      </c>
    </row>
    <row r="857" spans="1:54" x14ac:dyDescent="0.3">
      <c r="A857" t="s">
        <v>2738</v>
      </c>
      <c r="B857" t="s">
        <v>2739</v>
      </c>
      <c r="C857" t="s">
        <v>2731</v>
      </c>
      <c r="D857" t="s">
        <v>2732</v>
      </c>
      <c r="G857" t="s">
        <v>2740</v>
      </c>
      <c r="H857" t="s">
        <v>2741</v>
      </c>
      <c r="I857" t="s">
        <v>2742</v>
      </c>
      <c r="L857">
        <v>0</v>
      </c>
      <c r="M857">
        <v>0</v>
      </c>
      <c r="N857" t="s">
        <v>198</v>
      </c>
      <c r="O857">
        <v>0</v>
      </c>
      <c r="P857" t="s">
        <v>198</v>
      </c>
      <c r="R857" s="3"/>
      <c r="W857" t="s">
        <v>200</v>
      </c>
      <c r="X857" s="25"/>
      <c r="Y857" s="26"/>
      <c r="Z857" s="27"/>
      <c r="AA857" t="s">
        <v>25</v>
      </c>
      <c r="AB857" t="s">
        <v>201</v>
      </c>
      <c r="AC857" s="3"/>
      <c r="AH857" t="s">
        <v>202</v>
      </c>
      <c r="AK857" t="s">
        <v>203</v>
      </c>
      <c r="AP857" t="s">
        <v>200</v>
      </c>
      <c r="AR857" s="25"/>
      <c r="AT857" s="25">
        <v>0</v>
      </c>
      <c r="AU857" s="26"/>
      <c r="AV857" s="26"/>
      <c r="AW857" s="26"/>
      <c r="AX857" s="26" t="str">
        <f t="shared" si="39"/>
        <v/>
      </c>
      <c r="AY857" t="str">
        <f t="shared" si="40"/>
        <v/>
      </c>
      <c r="AZ857" t="s">
        <v>200</v>
      </c>
      <c r="BA857" s="3"/>
      <c r="BB857" t="str">
        <f t="shared" si="41"/>
        <v>No scrap rate (No impact);</v>
      </c>
    </row>
    <row r="858" spans="1:54" x14ac:dyDescent="0.3">
      <c r="A858" t="s">
        <v>2743</v>
      </c>
      <c r="B858" t="s">
        <v>2744</v>
      </c>
      <c r="C858" t="s">
        <v>2731</v>
      </c>
      <c r="D858" t="s">
        <v>2732</v>
      </c>
      <c r="G858" t="s">
        <v>2745</v>
      </c>
      <c r="H858" t="s">
        <v>2746</v>
      </c>
      <c r="I858" t="s">
        <v>2747</v>
      </c>
      <c r="K858" t="s">
        <v>2748</v>
      </c>
      <c r="L858">
        <v>500</v>
      </c>
      <c r="M858">
        <v>1</v>
      </c>
      <c r="N858" t="s">
        <v>198</v>
      </c>
      <c r="O858">
        <v>0</v>
      </c>
      <c r="P858" t="s">
        <v>198</v>
      </c>
      <c r="Q858" t="s">
        <v>199</v>
      </c>
      <c r="R858" s="3"/>
      <c r="W858" t="s">
        <v>200</v>
      </c>
      <c r="X858" s="25"/>
      <c r="Y858" s="26"/>
      <c r="Z858" s="27"/>
      <c r="AA858" t="s">
        <v>25</v>
      </c>
      <c r="AB858" t="s">
        <v>201</v>
      </c>
      <c r="AC858" s="3"/>
      <c r="AH858" t="s">
        <v>202</v>
      </c>
      <c r="AK858" t="s">
        <v>203</v>
      </c>
      <c r="AP858" t="s">
        <v>200</v>
      </c>
      <c r="AR858" s="25"/>
      <c r="AT858" s="25">
        <v>0</v>
      </c>
      <c r="AU858" s="26"/>
      <c r="AV858" s="26"/>
      <c r="AW858" s="26"/>
      <c r="AX858" s="26" t="str">
        <f t="shared" si="39"/>
        <v/>
      </c>
      <c r="AY858" t="str">
        <f t="shared" si="40"/>
        <v/>
      </c>
      <c r="AZ858" t="s">
        <v>200</v>
      </c>
      <c r="BA858" s="3"/>
      <c r="BB858" t="str">
        <f t="shared" si="41"/>
        <v>No scrap rate (No impact);</v>
      </c>
    </row>
    <row r="859" spans="1:54" x14ac:dyDescent="0.3">
      <c r="A859" t="s">
        <v>2749</v>
      </c>
      <c r="B859" t="s">
        <v>2750</v>
      </c>
      <c r="C859" t="s">
        <v>723</v>
      </c>
      <c r="D859" t="s">
        <v>724</v>
      </c>
      <c r="G859" t="s">
        <v>2745</v>
      </c>
      <c r="H859" t="s">
        <v>2746</v>
      </c>
      <c r="I859" t="s">
        <v>2747</v>
      </c>
      <c r="K859" t="s">
        <v>2748</v>
      </c>
      <c r="L859">
        <v>500</v>
      </c>
      <c r="M859">
        <v>1</v>
      </c>
      <c r="N859" t="s">
        <v>198</v>
      </c>
      <c r="O859">
        <v>0</v>
      </c>
      <c r="P859" t="s">
        <v>198</v>
      </c>
      <c r="Q859" t="s">
        <v>199</v>
      </c>
      <c r="R859" s="3"/>
      <c r="W859" t="s">
        <v>200</v>
      </c>
      <c r="X859" s="25"/>
      <c r="Y859" s="26"/>
      <c r="Z859" s="27"/>
      <c r="AA859" t="s">
        <v>25</v>
      </c>
      <c r="AB859" t="s">
        <v>201</v>
      </c>
      <c r="AC859" s="3"/>
      <c r="AH859" t="s">
        <v>202</v>
      </c>
      <c r="AK859" t="s">
        <v>203</v>
      </c>
      <c r="AP859" t="s">
        <v>200</v>
      </c>
      <c r="AR859" s="25"/>
      <c r="AT859" s="25">
        <v>0</v>
      </c>
      <c r="AU859" s="26"/>
      <c r="AV859" s="26"/>
      <c r="AW859" s="26"/>
      <c r="AX859" s="26" t="str">
        <f t="shared" si="39"/>
        <v/>
      </c>
      <c r="AY859" t="str">
        <f t="shared" si="40"/>
        <v/>
      </c>
      <c r="AZ859" t="s">
        <v>200</v>
      </c>
      <c r="BA859" s="3"/>
      <c r="BB859" t="str">
        <f t="shared" si="41"/>
        <v>No scrap rate (No impact);</v>
      </c>
    </row>
    <row r="860" spans="1:54" x14ac:dyDescent="0.3">
      <c r="A860" t="s">
        <v>2751</v>
      </c>
      <c r="B860" t="s">
        <v>2752</v>
      </c>
      <c r="C860" t="s">
        <v>2731</v>
      </c>
      <c r="D860" t="s">
        <v>2732</v>
      </c>
      <c r="G860" t="s">
        <v>2745</v>
      </c>
      <c r="H860" t="s">
        <v>2746</v>
      </c>
      <c r="I860" t="s">
        <v>2753</v>
      </c>
      <c r="K860" t="s">
        <v>2748</v>
      </c>
      <c r="L860">
        <v>1000</v>
      </c>
      <c r="M860">
        <v>1</v>
      </c>
      <c r="N860" t="s">
        <v>198</v>
      </c>
      <c r="O860">
        <v>0</v>
      </c>
      <c r="P860" t="s">
        <v>198</v>
      </c>
      <c r="Q860" t="s">
        <v>199</v>
      </c>
      <c r="R860" s="3"/>
      <c r="W860" t="s">
        <v>200</v>
      </c>
      <c r="X860" s="25"/>
      <c r="Y860" s="26"/>
      <c r="Z860" s="27"/>
      <c r="AA860" t="s">
        <v>25</v>
      </c>
      <c r="AB860" t="s">
        <v>201</v>
      </c>
      <c r="AC860" s="3"/>
      <c r="AH860" t="s">
        <v>202</v>
      </c>
      <c r="AK860" t="s">
        <v>203</v>
      </c>
      <c r="AP860" t="s">
        <v>200</v>
      </c>
      <c r="AR860" s="25"/>
      <c r="AT860" s="25">
        <v>0</v>
      </c>
      <c r="AU860" s="26"/>
      <c r="AV860" s="26"/>
      <c r="AW860" s="26"/>
      <c r="AX860" s="26" t="str">
        <f t="shared" si="39"/>
        <v/>
      </c>
      <c r="AY860" t="str">
        <f t="shared" si="40"/>
        <v/>
      </c>
      <c r="AZ860" t="s">
        <v>200</v>
      </c>
      <c r="BA860" s="3"/>
      <c r="BB860" t="str">
        <f t="shared" si="41"/>
        <v>No scrap rate (No impact);</v>
      </c>
    </row>
    <row r="861" spans="1:54" x14ac:dyDescent="0.3">
      <c r="A861" t="s">
        <v>2754</v>
      </c>
      <c r="B861" t="s">
        <v>2755</v>
      </c>
      <c r="C861" t="s">
        <v>2731</v>
      </c>
      <c r="D861" t="s">
        <v>2732</v>
      </c>
      <c r="G861" t="s">
        <v>2745</v>
      </c>
      <c r="H861" t="s">
        <v>2746</v>
      </c>
      <c r="I861" t="s">
        <v>2756</v>
      </c>
      <c r="K861" t="s">
        <v>2748</v>
      </c>
      <c r="L861">
        <v>500</v>
      </c>
      <c r="M861">
        <v>1</v>
      </c>
      <c r="N861" t="s">
        <v>198</v>
      </c>
      <c r="O861">
        <v>0</v>
      </c>
      <c r="P861" t="s">
        <v>198</v>
      </c>
      <c r="Q861" t="s">
        <v>199</v>
      </c>
      <c r="R861" s="3"/>
      <c r="W861" t="s">
        <v>200</v>
      </c>
      <c r="X861" s="25"/>
      <c r="Y861" s="26"/>
      <c r="Z861" s="27"/>
      <c r="AA861" t="s">
        <v>25</v>
      </c>
      <c r="AB861" t="s">
        <v>201</v>
      </c>
      <c r="AC861" s="3"/>
      <c r="AH861" t="s">
        <v>202</v>
      </c>
      <c r="AK861" t="s">
        <v>203</v>
      </c>
      <c r="AP861" t="s">
        <v>200</v>
      </c>
      <c r="AR861" s="25"/>
      <c r="AT861" s="25">
        <v>0</v>
      </c>
      <c r="AU861" s="26"/>
      <c r="AV861" s="26"/>
      <c r="AW861" s="26"/>
      <c r="AX861" s="26" t="str">
        <f t="shared" si="39"/>
        <v/>
      </c>
      <c r="AY861" t="str">
        <f t="shared" si="40"/>
        <v/>
      </c>
      <c r="AZ861" t="s">
        <v>200</v>
      </c>
      <c r="BA861" s="3"/>
      <c r="BB861" t="str">
        <f t="shared" si="41"/>
        <v>No scrap rate (No impact);</v>
      </c>
    </row>
    <row r="862" spans="1:54" x14ac:dyDescent="0.3">
      <c r="A862" t="s">
        <v>2757</v>
      </c>
      <c r="B862" t="s">
        <v>2755</v>
      </c>
      <c r="C862" t="s">
        <v>723</v>
      </c>
      <c r="D862" t="s">
        <v>724</v>
      </c>
      <c r="G862" t="s">
        <v>2745</v>
      </c>
      <c r="H862" t="s">
        <v>2746</v>
      </c>
      <c r="I862" t="s">
        <v>2756</v>
      </c>
      <c r="K862" t="s">
        <v>2758</v>
      </c>
      <c r="L862">
        <v>500</v>
      </c>
      <c r="M862">
        <v>1</v>
      </c>
      <c r="N862" t="s">
        <v>198</v>
      </c>
      <c r="O862">
        <v>0</v>
      </c>
      <c r="P862" t="s">
        <v>198</v>
      </c>
      <c r="Q862" t="s">
        <v>199</v>
      </c>
      <c r="R862" s="3"/>
      <c r="W862" t="s">
        <v>200</v>
      </c>
      <c r="X862" s="25"/>
      <c r="Y862" s="26"/>
      <c r="Z862" s="27"/>
      <c r="AA862" t="s">
        <v>25</v>
      </c>
      <c r="AB862" t="s">
        <v>201</v>
      </c>
      <c r="AC862" s="3"/>
      <c r="AH862" t="s">
        <v>202</v>
      </c>
      <c r="AK862" t="s">
        <v>203</v>
      </c>
      <c r="AP862" t="s">
        <v>200</v>
      </c>
      <c r="AR862" s="25"/>
      <c r="AT862" s="25">
        <v>0</v>
      </c>
      <c r="AU862" s="26"/>
      <c r="AV862" s="26"/>
      <c r="AW862" s="26"/>
      <c r="AX862" s="26" t="str">
        <f t="shared" si="39"/>
        <v/>
      </c>
      <c r="AY862" t="str">
        <f t="shared" si="40"/>
        <v/>
      </c>
      <c r="AZ862" t="s">
        <v>200</v>
      </c>
      <c r="BA862" s="3"/>
      <c r="BB862" t="str">
        <f t="shared" si="41"/>
        <v>No scrap rate (No impact);</v>
      </c>
    </row>
    <row r="863" spans="1:54" x14ac:dyDescent="0.3">
      <c r="A863" t="s">
        <v>2759</v>
      </c>
      <c r="B863" t="s">
        <v>2760</v>
      </c>
      <c r="C863" t="s">
        <v>2731</v>
      </c>
      <c r="D863" t="s">
        <v>2732</v>
      </c>
      <c r="G863" t="s">
        <v>2761</v>
      </c>
      <c r="H863" t="s">
        <v>2762</v>
      </c>
      <c r="L863">
        <v>1000</v>
      </c>
      <c r="M863">
        <v>1</v>
      </c>
      <c r="N863" t="s">
        <v>198</v>
      </c>
      <c r="O863">
        <v>0</v>
      </c>
      <c r="P863" t="s">
        <v>198</v>
      </c>
      <c r="Q863" t="s">
        <v>199</v>
      </c>
      <c r="R863" s="3"/>
      <c r="W863" t="s">
        <v>200</v>
      </c>
      <c r="X863" s="25"/>
      <c r="Y863" s="26"/>
      <c r="Z863" s="27"/>
      <c r="AA863" t="s">
        <v>25</v>
      </c>
      <c r="AB863" t="s">
        <v>201</v>
      </c>
      <c r="AC863" s="3"/>
      <c r="AH863" t="s">
        <v>202</v>
      </c>
      <c r="AK863" t="s">
        <v>203</v>
      </c>
      <c r="AP863" t="s">
        <v>200</v>
      </c>
      <c r="AR863" s="25"/>
      <c r="AT863" s="25">
        <v>0</v>
      </c>
      <c r="AU863" s="26"/>
      <c r="AV863" s="26"/>
      <c r="AW863" s="26"/>
      <c r="AX863" s="26" t="str">
        <f t="shared" si="39"/>
        <v/>
      </c>
      <c r="AY863" t="str">
        <f t="shared" si="40"/>
        <v/>
      </c>
      <c r="AZ863" t="s">
        <v>200</v>
      </c>
      <c r="BA863" s="3"/>
      <c r="BB863" t="str">
        <f t="shared" si="41"/>
        <v>No scrap rate (No impact);No raw material available (High);</v>
      </c>
    </row>
    <row r="864" spans="1:54" x14ac:dyDescent="0.3">
      <c r="A864" t="s">
        <v>2763</v>
      </c>
      <c r="B864" t="s">
        <v>2764</v>
      </c>
      <c r="C864" t="s">
        <v>2731</v>
      </c>
      <c r="D864" t="s">
        <v>2732</v>
      </c>
      <c r="G864" t="s">
        <v>236</v>
      </c>
      <c r="H864" t="s">
        <v>237</v>
      </c>
      <c r="I864" t="s">
        <v>2765</v>
      </c>
      <c r="K864" t="s">
        <v>2766</v>
      </c>
      <c r="L864">
        <v>1000</v>
      </c>
      <c r="M864">
        <v>1</v>
      </c>
      <c r="N864" t="s">
        <v>198</v>
      </c>
      <c r="O864">
        <v>0</v>
      </c>
      <c r="P864" t="s">
        <v>198</v>
      </c>
      <c r="Q864" t="s">
        <v>199</v>
      </c>
      <c r="R864" s="3"/>
      <c r="W864" t="s">
        <v>200</v>
      </c>
      <c r="X864" s="25"/>
      <c r="Y864" s="26"/>
      <c r="Z864" s="27"/>
      <c r="AA864" t="s">
        <v>25</v>
      </c>
      <c r="AB864" t="s">
        <v>201</v>
      </c>
      <c r="AC864" s="3"/>
      <c r="AH864" t="s">
        <v>202</v>
      </c>
      <c r="AK864" t="s">
        <v>203</v>
      </c>
      <c r="AP864" t="s">
        <v>200</v>
      </c>
      <c r="AR864" s="25"/>
      <c r="AT864" s="25">
        <v>0</v>
      </c>
      <c r="AU864" s="26"/>
      <c r="AV864" s="26"/>
      <c r="AW864" s="26"/>
      <c r="AX864" s="26" t="str">
        <f t="shared" si="39"/>
        <v/>
      </c>
      <c r="AY864" t="str">
        <f t="shared" si="40"/>
        <v/>
      </c>
      <c r="AZ864" t="s">
        <v>200</v>
      </c>
      <c r="BA864" s="3"/>
      <c r="BB864" t="str">
        <f t="shared" si="41"/>
        <v>No scrap rate (No impact);</v>
      </c>
    </row>
    <row r="865" spans="1:54" x14ac:dyDescent="0.3">
      <c r="A865" t="s">
        <v>2767</v>
      </c>
      <c r="B865" t="s">
        <v>2768</v>
      </c>
      <c r="C865" t="s">
        <v>2731</v>
      </c>
      <c r="D865" t="s">
        <v>2732</v>
      </c>
      <c r="G865" t="s">
        <v>2769</v>
      </c>
      <c r="H865" t="s">
        <v>2770</v>
      </c>
      <c r="I865" t="s">
        <v>2771</v>
      </c>
      <c r="L865">
        <v>25</v>
      </c>
      <c r="M865">
        <v>1</v>
      </c>
      <c r="N865" t="s">
        <v>198</v>
      </c>
      <c r="O865">
        <v>0</v>
      </c>
      <c r="P865" t="s">
        <v>198</v>
      </c>
      <c r="Q865" t="s">
        <v>199</v>
      </c>
      <c r="R865" s="3"/>
      <c r="W865" t="s">
        <v>200</v>
      </c>
      <c r="X865" s="25"/>
      <c r="Y865" s="26"/>
      <c r="Z865" s="27"/>
      <c r="AA865" t="s">
        <v>25</v>
      </c>
      <c r="AB865" t="s">
        <v>201</v>
      </c>
      <c r="AC865" s="3"/>
      <c r="AH865" t="s">
        <v>202</v>
      </c>
      <c r="AK865" t="s">
        <v>203</v>
      </c>
      <c r="AP865" t="s">
        <v>200</v>
      </c>
      <c r="AR865" s="25"/>
      <c r="AT865" s="25">
        <v>0</v>
      </c>
      <c r="AU865" s="26"/>
      <c r="AV865" s="26"/>
      <c r="AW865" s="26"/>
      <c r="AX865" s="26" t="str">
        <f t="shared" si="39"/>
        <v/>
      </c>
      <c r="AY865" t="str">
        <f t="shared" si="40"/>
        <v/>
      </c>
      <c r="AZ865" t="s">
        <v>200</v>
      </c>
      <c r="BA865" s="3"/>
      <c r="BB865" t="str">
        <f t="shared" si="41"/>
        <v>No scrap rate (No impact);</v>
      </c>
    </row>
    <row r="866" spans="1:54" x14ac:dyDescent="0.3">
      <c r="A866" t="s">
        <v>2772</v>
      </c>
      <c r="B866" t="s">
        <v>2773</v>
      </c>
      <c r="C866" t="s">
        <v>2731</v>
      </c>
      <c r="D866" t="s">
        <v>2732</v>
      </c>
      <c r="G866" t="s">
        <v>2774</v>
      </c>
      <c r="H866" t="s">
        <v>2775</v>
      </c>
      <c r="I866" t="s">
        <v>2776</v>
      </c>
      <c r="L866">
        <v>1</v>
      </c>
      <c r="M866">
        <v>1</v>
      </c>
      <c r="N866" t="s">
        <v>198</v>
      </c>
      <c r="O866">
        <v>0</v>
      </c>
      <c r="P866" t="s">
        <v>198</v>
      </c>
      <c r="Q866" t="s">
        <v>199</v>
      </c>
      <c r="R866" s="3"/>
      <c r="W866" t="s">
        <v>200</v>
      </c>
      <c r="X866" s="25"/>
      <c r="Y866" s="26"/>
      <c r="Z866" s="27"/>
      <c r="AA866" t="s">
        <v>25</v>
      </c>
      <c r="AB866" t="s">
        <v>201</v>
      </c>
      <c r="AC866" s="3"/>
      <c r="AH866" t="s">
        <v>202</v>
      </c>
      <c r="AK866" t="s">
        <v>203</v>
      </c>
      <c r="AP866" t="s">
        <v>200</v>
      </c>
      <c r="AR866" s="25"/>
      <c r="AT866" s="25">
        <v>0</v>
      </c>
      <c r="AU866" s="26"/>
      <c r="AV866" s="26"/>
      <c r="AW866" s="26"/>
      <c r="AX866" s="26" t="str">
        <f t="shared" si="39"/>
        <v/>
      </c>
      <c r="AY866" t="str">
        <f t="shared" si="40"/>
        <v/>
      </c>
      <c r="AZ866" t="s">
        <v>200</v>
      </c>
      <c r="BA866" s="3"/>
      <c r="BB866" t="str">
        <f t="shared" si="41"/>
        <v>No scrap rate (No impact);</v>
      </c>
    </row>
    <row r="867" spans="1:54" x14ac:dyDescent="0.3">
      <c r="A867" t="s">
        <v>2777</v>
      </c>
      <c r="B867" t="s">
        <v>2778</v>
      </c>
      <c r="C867" t="s">
        <v>2731</v>
      </c>
      <c r="D867" t="s">
        <v>2732</v>
      </c>
      <c r="G867" t="s">
        <v>2779</v>
      </c>
      <c r="H867" t="s">
        <v>2780</v>
      </c>
      <c r="I867" t="s">
        <v>2781</v>
      </c>
      <c r="K867" t="s">
        <v>2782</v>
      </c>
      <c r="L867">
        <v>1000</v>
      </c>
      <c r="M867">
        <v>1</v>
      </c>
      <c r="N867" t="s">
        <v>198</v>
      </c>
      <c r="O867">
        <v>0</v>
      </c>
      <c r="P867" t="s">
        <v>198</v>
      </c>
      <c r="Q867" t="s">
        <v>199</v>
      </c>
      <c r="R867" s="3"/>
      <c r="W867" t="s">
        <v>200</v>
      </c>
      <c r="X867" s="25"/>
      <c r="Y867" s="26"/>
      <c r="Z867" s="27"/>
      <c r="AA867" t="s">
        <v>25</v>
      </c>
      <c r="AB867" t="s">
        <v>201</v>
      </c>
      <c r="AC867" s="3"/>
      <c r="AH867" t="s">
        <v>202</v>
      </c>
      <c r="AK867" t="s">
        <v>203</v>
      </c>
      <c r="AP867" t="s">
        <v>200</v>
      </c>
      <c r="AR867" s="25"/>
      <c r="AT867" s="25">
        <v>0</v>
      </c>
      <c r="AU867" s="26"/>
      <c r="AV867" s="26"/>
      <c r="AW867" s="26"/>
      <c r="AX867" s="26" t="str">
        <f t="shared" si="39"/>
        <v/>
      </c>
      <c r="AY867" t="str">
        <f t="shared" si="40"/>
        <v/>
      </c>
      <c r="AZ867" t="s">
        <v>200</v>
      </c>
      <c r="BA867" s="3"/>
      <c r="BB867" t="str">
        <f t="shared" si="41"/>
        <v>No scrap rate (No impact);</v>
      </c>
    </row>
    <row r="868" spans="1:54" x14ac:dyDescent="0.3">
      <c r="A868" t="s">
        <v>2783</v>
      </c>
      <c r="B868" t="s">
        <v>2784</v>
      </c>
      <c r="C868" t="s">
        <v>2731</v>
      </c>
      <c r="D868" t="s">
        <v>2732</v>
      </c>
      <c r="G868" t="s">
        <v>2785</v>
      </c>
      <c r="H868" t="s">
        <v>2786</v>
      </c>
      <c r="I868" t="s">
        <v>2787</v>
      </c>
      <c r="L868">
        <v>500</v>
      </c>
      <c r="M868">
        <v>1</v>
      </c>
      <c r="N868" t="s">
        <v>198</v>
      </c>
      <c r="O868">
        <v>0</v>
      </c>
      <c r="P868" t="s">
        <v>198</v>
      </c>
      <c r="Q868" t="s">
        <v>199</v>
      </c>
      <c r="R868" s="3"/>
      <c r="W868" t="s">
        <v>200</v>
      </c>
      <c r="X868" s="25"/>
      <c r="Y868" s="26"/>
      <c r="Z868" s="27"/>
      <c r="AA868" t="s">
        <v>25</v>
      </c>
      <c r="AB868" t="s">
        <v>201</v>
      </c>
      <c r="AC868" s="3"/>
      <c r="AH868" t="s">
        <v>202</v>
      </c>
      <c r="AK868" t="s">
        <v>203</v>
      </c>
      <c r="AP868" t="s">
        <v>200</v>
      </c>
      <c r="AR868" s="25"/>
      <c r="AT868" s="25">
        <v>0</v>
      </c>
      <c r="AU868" s="26"/>
      <c r="AV868" s="26"/>
      <c r="AW868" s="26"/>
      <c r="AX868" s="26" t="str">
        <f t="shared" si="39"/>
        <v/>
      </c>
      <c r="AY868" t="str">
        <f t="shared" si="40"/>
        <v/>
      </c>
      <c r="AZ868" t="s">
        <v>200</v>
      </c>
      <c r="BA868" s="3"/>
      <c r="BB868" t="str">
        <f t="shared" si="41"/>
        <v>No scrap rate (No impact);</v>
      </c>
    </row>
    <row r="869" spans="1:54" x14ac:dyDescent="0.3">
      <c r="A869" t="s">
        <v>2788</v>
      </c>
      <c r="B869" t="s">
        <v>2789</v>
      </c>
      <c r="C869" t="s">
        <v>2731</v>
      </c>
      <c r="D869" t="s">
        <v>2732</v>
      </c>
      <c r="G869" t="s">
        <v>312</v>
      </c>
      <c r="H869" t="s">
        <v>313</v>
      </c>
      <c r="I869" t="s">
        <v>2790</v>
      </c>
      <c r="L869">
        <v>500</v>
      </c>
      <c r="M869">
        <v>1</v>
      </c>
      <c r="N869" t="s">
        <v>198</v>
      </c>
      <c r="O869">
        <v>0</v>
      </c>
      <c r="P869" t="s">
        <v>198</v>
      </c>
      <c r="Q869" t="s">
        <v>199</v>
      </c>
      <c r="R869" s="3"/>
      <c r="W869" t="s">
        <v>200</v>
      </c>
      <c r="X869" s="25"/>
      <c r="Y869" s="26"/>
      <c r="Z869" s="27"/>
      <c r="AA869" t="s">
        <v>25</v>
      </c>
      <c r="AB869" t="s">
        <v>201</v>
      </c>
      <c r="AC869" s="3"/>
      <c r="AH869" t="s">
        <v>202</v>
      </c>
      <c r="AK869" t="s">
        <v>203</v>
      </c>
      <c r="AP869" t="s">
        <v>200</v>
      </c>
      <c r="AR869" s="25"/>
      <c r="AT869" s="25">
        <v>0</v>
      </c>
      <c r="AU869" s="26"/>
      <c r="AV869" s="26"/>
      <c r="AW869" s="26"/>
      <c r="AX869" s="26" t="str">
        <f t="shared" si="39"/>
        <v/>
      </c>
      <c r="AY869" t="str">
        <f t="shared" si="40"/>
        <v/>
      </c>
      <c r="AZ869" t="s">
        <v>200</v>
      </c>
      <c r="BA869" s="3"/>
      <c r="BB869" t="str">
        <f t="shared" si="41"/>
        <v>No scrap rate (No impact);</v>
      </c>
    </row>
    <row r="870" spans="1:54" x14ac:dyDescent="0.3">
      <c r="A870" t="s">
        <v>2791</v>
      </c>
      <c r="B870" t="s">
        <v>2792</v>
      </c>
      <c r="C870" t="s">
        <v>2731</v>
      </c>
      <c r="D870" t="s">
        <v>2732</v>
      </c>
      <c r="G870" t="s">
        <v>2745</v>
      </c>
      <c r="H870" t="s">
        <v>2746</v>
      </c>
      <c r="I870" t="s">
        <v>2793</v>
      </c>
      <c r="L870">
        <v>500</v>
      </c>
      <c r="M870">
        <v>1</v>
      </c>
      <c r="N870" t="s">
        <v>198</v>
      </c>
      <c r="O870">
        <v>0</v>
      </c>
      <c r="P870" t="s">
        <v>198</v>
      </c>
      <c r="Q870" t="s">
        <v>199</v>
      </c>
      <c r="R870" s="3"/>
      <c r="W870" t="s">
        <v>200</v>
      </c>
      <c r="X870" s="25"/>
      <c r="Y870" s="26"/>
      <c r="Z870" s="27"/>
      <c r="AA870" t="s">
        <v>25</v>
      </c>
      <c r="AB870" t="s">
        <v>201</v>
      </c>
      <c r="AC870" s="3"/>
      <c r="AH870" t="s">
        <v>202</v>
      </c>
      <c r="AK870" t="s">
        <v>203</v>
      </c>
      <c r="AP870" t="s">
        <v>200</v>
      </c>
      <c r="AR870" s="25"/>
      <c r="AT870" s="25">
        <v>0</v>
      </c>
      <c r="AU870" s="26"/>
      <c r="AV870" s="26"/>
      <c r="AW870" s="26"/>
      <c r="AX870" s="26" t="str">
        <f t="shared" si="39"/>
        <v/>
      </c>
      <c r="AY870" t="str">
        <f t="shared" si="40"/>
        <v/>
      </c>
      <c r="AZ870" t="s">
        <v>200</v>
      </c>
      <c r="BA870" s="3"/>
      <c r="BB870" t="str">
        <f t="shared" si="41"/>
        <v>No scrap rate (No impact);</v>
      </c>
    </row>
    <row r="871" spans="1:54" x14ac:dyDescent="0.3">
      <c r="A871" t="s">
        <v>2794</v>
      </c>
      <c r="B871" t="s">
        <v>2795</v>
      </c>
      <c r="C871" t="s">
        <v>2731</v>
      </c>
      <c r="D871" t="s">
        <v>2732</v>
      </c>
      <c r="G871" t="s">
        <v>2774</v>
      </c>
      <c r="H871" t="s">
        <v>2775</v>
      </c>
      <c r="I871" t="s">
        <v>2796</v>
      </c>
      <c r="K871" t="s">
        <v>2797</v>
      </c>
      <c r="L871">
        <v>1000</v>
      </c>
      <c r="M871">
        <v>0.96299999999999997</v>
      </c>
      <c r="N871" t="s">
        <v>198</v>
      </c>
      <c r="O871">
        <v>0</v>
      </c>
      <c r="P871" t="s">
        <v>198</v>
      </c>
      <c r="Q871" t="s">
        <v>199</v>
      </c>
      <c r="R871" s="3"/>
      <c r="W871" t="s">
        <v>200</v>
      </c>
      <c r="X871" s="25"/>
      <c r="Y871" s="26"/>
      <c r="Z871" s="27"/>
      <c r="AA871" t="s">
        <v>25</v>
      </c>
      <c r="AB871" t="s">
        <v>201</v>
      </c>
      <c r="AC871" s="3"/>
      <c r="AH871" t="s">
        <v>202</v>
      </c>
      <c r="AK871" t="s">
        <v>203</v>
      </c>
      <c r="AP871" t="s">
        <v>200</v>
      </c>
      <c r="AR871" s="25"/>
      <c r="AT871" s="25">
        <v>0</v>
      </c>
      <c r="AU871" s="26"/>
      <c r="AV871" s="26"/>
      <c r="AW871" s="26"/>
      <c r="AX871" s="26" t="str">
        <f t="shared" si="39"/>
        <v/>
      </c>
      <c r="AY871" t="str">
        <f t="shared" si="40"/>
        <v/>
      </c>
      <c r="AZ871" t="s">
        <v>200</v>
      </c>
      <c r="BA871" s="3"/>
      <c r="BB871" t="str">
        <f t="shared" si="41"/>
        <v>No scrap rate (No impact);</v>
      </c>
    </row>
    <row r="872" spans="1:54" x14ac:dyDescent="0.3">
      <c r="A872" t="s">
        <v>2798</v>
      </c>
      <c r="B872" t="s">
        <v>2799</v>
      </c>
      <c r="C872" t="s">
        <v>2731</v>
      </c>
      <c r="D872" t="s">
        <v>2732</v>
      </c>
      <c r="G872" t="s">
        <v>2800</v>
      </c>
      <c r="H872" t="s">
        <v>2801</v>
      </c>
      <c r="I872" t="s">
        <v>2802</v>
      </c>
      <c r="L872">
        <v>1000</v>
      </c>
      <c r="M872">
        <v>1</v>
      </c>
      <c r="N872" t="s">
        <v>198</v>
      </c>
      <c r="O872">
        <v>0</v>
      </c>
      <c r="P872" t="s">
        <v>198</v>
      </c>
      <c r="Q872" t="s">
        <v>199</v>
      </c>
      <c r="R872" s="3"/>
      <c r="W872" t="s">
        <v>200</v>
      </c>
      <c r="X872" s="25"/>
      <c r="Y872" s="26"/>
      <c r="Z872" s="27"/>
      <c r="AA872" t="s">
        <v>25</v>
      </c>
      <c r="AB872" t="s">
        <v>201</v>
      </c>
      <c r="AC872" s="3"/>
      <c r="AH872" t="s">
        <v>202</v>
      </c>
      <c r="AK872" t="s">
        <v>203</v>
      </c>
      <c r="AP872" t="s">
        <v>200</v>
      </c>
      <c r="AR872" s="25"/>
      <c r="AT872" s="25">
        <v>0</v>
      </c>
      <c r="AU872" s="26"/>
      <c r="AV872" s="26"/>
      <c r="AW872" s="26"/>
      <c r="AX872" s="26" t="str">
        <f t="shared" si="39"/>
        <v/>
      </c>
      <c r="AY872" t="str">
        <f t="shared" si="40"/>
        <v/>
      </c>
      <c r="AZ872" t="s">
        <v>200</v>
      </c>
      <c r="BA872" s="3"/>
      <c r="BB872" t="str">
        <f t="shared" si="41"/>
        <v>No scrap rate (No impact);</v>
      </c>
    </row>
    <row r="873" spans="1:54" x14ac:dyDescent="0.3">
      <c r="A873" t="s">
        <v>2803</v>
      </c>
      <c r="B873" t="s">
        <v>2804</v>
      </c>
      <c r="C873" t="s">
        <v>2731</v>
      </c>
      <c r="D873" t="s">
        <v>2732</v>
      </c>
      <c r="G873" t="s">
        <v>2745</v>
      </c>
      <c r="H873" t="s">
        <v>2746</v>
      </c>
      <c r="I873" t="s">
        <v>2805</v>
      </c>
      <c r="L873">
        <v>1000</v>
      </c>
      <c r="M873">
        <v>1.23</v>
      </c>
      <c r="N873" t="s">
        <v>198</v>
      </c>
      <c r="O873">
        <v>0</v>
      </c>
      <c r="P873" t="s">
        <v>198</v>
      </c>
      <c r="Q873" t="s">
        <v>199</v>
      </c>
      <c r="R873" s="3"/>
      <c r="W873" t="s">
        <v>200</v>
      </c>
      <c r="X873" s="25"/>
      <c r="Y873" s="26"/>
      <c r="Z873" s="27"/>
      <c r="AA873" t="s">
        <v>25</v>
      </c>
      <c r="AB873" t="s">
        <v>201</v>
      </c>
      <c r="AC873" s="3"/>
      <c r="AH873" t="s">
        <v>202</v>
      </c>
      <c r="AK873" t="s">
        <v>203</v>
      </c>
      <c r="AP873" t="s">
        <v>200</v>
      </c>
      <c r="AR873" s="25"/>
      <c r="AT873" s="25">
        <v>0</v>
      </c>
      <c r="AU873" s="26"/>
      <c r="AV873" s="26"/>
      <c r="AW873" s="26"/>
      <c r="AX873" s="26" t="str">
        <f t="shared" si="39"/>
        <v/>
      </c>
      <c r="AY873" t="str">
        <f t="shared" si="40"/>
        <v/>
      </c>
      <c r="AZ873" t="s">
        <v>200</v>
      </c>
      <c r="BA873" s="3"/>
      <c r="BB873" t="str">
        <f t="shared" si="41"/>
        <v>No scrap rate (No impact);</v>
      </c>
    </row>
    <row r="874" spans="1:54" x14ac:dyDescent="0.3">
      <c r="A874" t="s">
        <v>2806</v>
      </c>
      <c r="B874" t="s">
        <v>2807</v>
      </c>
      <c r="C874" t="s">
        <v>2731</v>
      </c>
      <c r="D874" t="s">
        <v>2732</v>
      </c>
      <c r="G874" t="s">
        <v>2774</v>
      </c>
      <c r="H874" t="s">
        <v>2775</v>
      </c>
      <c r="I874" t="s">
        <v>2808</v>
      </c>
      <c r="K874" t="s">
        <v>2809</v>
      </c>
      <c r="L874">
        <v>25</v>
      </c>
      <c r="M874">
        <v>1</v>
      </c>
      <c r="N874" t="s">
        <v>198</v>
      </c>
      <c r="O874">
        <v>0</v>
      </c>
      <c r="P874" t="s">
        <v>198</v>
      </c>
      <c r="Q874" t="s">
        <v>199</v>
      </c>
      <c r="R874" s="3"/>
      <c r="W874" t="s">
        <v>200</v>
      </c>
      <c r="X874" s="25"/>
      <c r="Y874" s="26"/>
      <c r="Z874" s="27"/>
      <c r="AA874" t="s">
        <v>25</v>
      </c>
      <c r="AB874" t="s">
        <v>201</v>
      </c>
      <c r="AC874" s="3"/>
      <c r="AH874" t="s">
        <v>202</v>
      </c>
      <c r="AK874" t="s">
        <v>203</v>
      </c>
      <c r="AP874" t="s">
        <v>200</v>
      </c>
      <c r="AR874" s="25"/>
      <c r="AT874" s="25">
        <v>0</v>
      </c>
      <c r="AU874" s="26"/>
      <c r="AV874" s="26"/>
      <c r="AW874" s="26"/>
      <c r="AX874" s="26" t="str">
        <f t="shared" si="39"/>
        <v/>
      </c>
      <c r="AY874" t="str">
        <f t="shared" si="40"/>
        <v/>
      </c>
      <c r="AZ874" t="s">
        <v>200</v>
      </c>
      <c r="BA874" s="3"/>
      <c r="BB874" t="str">
        <f t="shared" si="41"/>
        <v>No scrap rate (No impact);</v>
      </c>
    </row>
    <row r="875" spans="1:54" x14ac:dyDescent="0.3">
      <c r="A875" t="s">
        <v>2810</v>
      </c>
      <c r="B875" t="s">
        <v>2811</v>
      </c>
      <c r="C875" t="s">
        <v>2731</v>
      </c>
      <c r="D875" t="s">
        <v>2732</v>
      </c>
      <c r="G875" t="s">
        <v>2812</v>
      </c>
      <c r="H875" t="s">
        <v>2813</v>
      </c>
      <c r="I875" t="s">
        <v>2814</v>
      </c>
      <c r="K875" t="s">
        <v>2815</v>
      </c>
      <c r="L875">
        <v>800</v>
      </c>
      <c r="M875">
        <v>1</v>
      </c>
      <c r="N875" t="s">
        <v>198</v>
      </c>
      <c r="O875">
        <v>0</v>
      </c>
      <c r="P875" t="s">
        <v>198</v>
      </c>
      <c r="Q875" t="s">
        <v>199</v>
      </c>
      <c r="R875" s="3"/>
      <c r="W875" t="s">
        <v>200</v>
      </c>
      <c r="X875" s="25"/>
      <c r="Y875" s="26"/>
      <c r="Z875" s="27"/>
      <c r="AA875" t="s">
        <v>25</v>
      </c>
      <c r="AB875" t="s">
        <v>201</v>
      </c>
      <c r="AC875" s="3"/>
      <c r="AH875" t="s">
        <v>202</v>
      </c>
      <c r="AK875" t="s">
        <v>203</v>
      </c>
      <c r="AP875" t="s">
        <v>200</v>
      </c>
      <c r="AR875" s="25"/>
      <c r="AT875" s="25">
        <v>0</v>
      </c>
      <c r="AU875" s="26"/>
      <c r="AV875" s="26"/>
      <c r="AW875" s="26"/>
      <c r="AX875" s="26" t="str">
        <f t="shared" si="39"/>
        <v/>
      </c>
      <c r="AY875" t="str">
        <f t="shared" si="40"/>
        <v/>
      </c>
      <c r="AZ875" t="s">
        <v>200</v>
      </c>
      <c r="BA875" s="3"/>
      <c r="BB875" t="str">
        <f t="shared" si="41"/>
        <v>No scrap rate (No impact);</v>
      </c>
    </row>
    <row r="876" spans="1:54" x14ac:dyDescent="0.3">
      <c r="A876" t="s">
        <v>2816</v>
      </c>
      <c r="B876" t="s">
        <v>2817</v>
      </c>
      <c r="C876" t="s">
        <v>2731</v>
      </c>
      <c r="D876" t="s">
        <v>2732</v>
      </c>
      <c r="G876" t="s">
        <v>2769</v>
      </c>
      <c r="H876" t="s">
        <v>2770</v>
      </c>
      <c r="I876" t="s">
        <v>2817</v>
      </c>
      <c r="L876">
        <v>1</v>
      </c>
      <c r="M876">
        <v>1</v>
      </c>
      <c r="N876" t="s">
        <v>198</v>
      </c>
      <c r="O876">
        <v>0</v>
      </c>
      <c r="P876" t="s">
        <v>198</v>
      </c>
      <c r="Q876" t="s">
        <v>199</v>
      </c>
      <c r="R876" s="3"/>
      <c r="W876" t="s">
        <v>200</v>
      </c>
      <c r="X876" s="25"/>
      <c r="Y876" s="26"/>
      <c r="Z876" s="27"/>
      <c r="AA876" t="s">
        <v>25</v>
      </c>
      <c r="AB876" t="s">
        <v>201</v>
      </c>
      <c r="AC876" s="3"/>
      <c r="AH876" t="s">
        <v>202</v>
      </c>
      <c r="AK876" t="s">
        <v>203</v>
      </c>
      <c r="AP876" t="s">
        <v>200</v>
      </c>
      <c r="AR876" s="25"/>
      <c r="AT876" s="25">
        <v>0</v>
      </c>
      <c r="AU876" s="26"/>
      <c r="AV876" s="26"/>
      <c r="AW876" s="26"/>
      <c r="AX876" s="26" t="str">
        <f t="shared" si="39"/>
        <v/>
      </c>
      <c r="AY876" t="str">
        <f t="shared" si="40"/>
        <v/>
      </c>
      <c r="AZ876" t="s">
        <v>200</v>
      </c>
      <c r="BA876" s="3"/>
      <c r="BB876" t="str">
        <f t="shared" si="41"/>
        <v>No scrap rate (No impact);</v>
      </c>
    </row>
    <row r="877" spans="1:54" x14ac:dyDescent="0.3">
      <c r="A877" t="s">
        <v>2818</v>
      </c>
      <c r="B877" t="s">
        <v>2819</v>
      </c>
      <c r="C877" t="s">
        <v>2731</v>
      </c>
      <c r="D877" t="s">
        <v>2732</v>
      </c>
      <c r="G877" t="s">
        <v>220</v>
      </c>
      <c r="H877" t="s">
        <v>221</v>
      </c>
      <c r="I877" t="s">
        <v>2820</v>
      </c>
      <c r="L877">
        <v>0</v>
      </c>
      <c r="M877">
        <v>2E-3</v>
      </c>
      <c r="N877" t="s">
        <v>198</v>
      </c>
      <c r="O877">
        <v>2E-3</v>
      </c>
      <c r="P877" t="s">
        <v>198</v>
      </c>
      <c r="Q877" t="s">
        <v>199</v>
      </c>
      <c r="R877" s="3"/>
      <c r="W877" t="s">
        <v>200</v>
      </c>
      <c r="X877" s="25"/>
      <c r="Y877" s="26"/>
      <c r="Z877" s="27"/>
      <c r="AA877" t="s">
        <v>25</v>
      </c>
      <c r="AB877" t="s">
        <v>201</v>
      </c>
      <c r="AC877" s="3"/>
      <c r="AH877" t="s">
        <v>202</v>
      </c>
      <c r="AK877" t="s">
        <v>203</v>
      </c>
      <c r="AP877" t="s">
        <v>200</v>
      </c>
      <c r="AR877" s="25"/>
      <c r="AT877" s="25">
        <v>0</v>
      </c>
      <c r="AU877" s="26"/>
      <c r="AV877" s="26"/>
      <c r="AW877" s="26"/>
      <c r="AX877" s="26" t="str">
        <f t="shared" si="39"/>
        <v/>
      </c>
      <c r="AY877" t="str">
        <f t="shared" si="40"/>
        <v/>
      </c>
      <c r="AZ877" t="s">
        <v>200</v>
      </c>
      <c r="BA877" s="3"/>
      <c r="BB877" t="str">
        <f t="shared" si="41"/>
        <v>No scrap rate (No impact);</v>
      </c>
    </row>
    <row r="878" spans="1:54" x14ac:dyDescent="0.3">
      <c r="A878" t="s">
        <v>2821</v>
      </c>
      <c r="B878" t="s">
        <v>2822</v>
      </c>
      <c r="C878" t="s">
        <v>2731</v>
      </c>
      <c r="D878" t="s">
        <v>2732</v>
      </c>
      <c r="G878" t="s">
        <v>1522</v>
      </c>
      <c r="H878" t="s">
        <v>347</v>
      </c>
      <c r="I878" t="s">
        <v>2823</v>
      </c>
      <c r="K878" t="s">
        <v>2797</v>
      </c>
      <c r="L878">
        <v>0</v>
      </c>
      <c r="M878">
        <v>0</v>
      </c>
      <c r="N878" t="s">
        <v>198</v>
      </c>
      <c r="O878">
        <v>0</v>
      </c>
      <c r="P878" t="s">
        <v>198</v>
      </c>
      <c r="R878" s="3"/>
      <c r="W878" t="s">
        <v>200</v>
      </c>
      <c r="X878" s="25"/>
      <c r="Y878" s="26"/>
      <c r="Z878" s="27"/>
      <c r="AA878" t="s">
        <v>25</v>
      </c>
      <c r="AB878" t="s">
        <v>201</v>
      </c>
      <c r="AC878" s="3"/>
      <c r="AH878" t="s">
        <v>202</v>
      </c>
      <c r="AK878" t="s">
        <v>203</v>
      </c>
      <c r="AP878" t="s">
        <v>200</v>
      </c>
      <c r="AR878" s="25"/>
      <c r="AT878" s="25">
        <v>0</v>
      </c>
      <c r="AU878" s="26"/>
      <c r="AV878" s="26"/>
      <c r="AW878" s="26"/>
      <c r="AX878" s="26" t="str">
        <f t="shared" si="39"/>
        <v/>
      </c>
      <c r="AY878" t="str">
        <f t="shared" si="40"/>
        <v/>
      </c>
      <c r="AZ878" t="s">
        <v>200</v>
      </c>
      <c r="BA878" s="3"/>
      <c r="BB878" t="str">
        <f t="shared" si="41"/>
        <v>No scrap rate (No impact);</v>
      </c>
    </row>
    <row r="879" spans="1:54" x14ac:dyDescent="0.3">
      <c r="A879" t="s">
        <v>2824</v>
      </c>
      <c r="B879" t="s">
        <v>2825</v>
      </c>
      <c r="C879" t="s">
        <v>2731</v>
      </c>
      <c r="D879" t="s">
        <v>2732</v>
      </c>
      <c r="G879" t="s">
        <v>2826</v>
      </c>
      <c r="H879" t="s">
        <v>526</v>
      </c>
      <c r="I879" t="s">
        <v>2827</v>
      </c>
      <c r="L879">
        <v>0</v>
      </c>
      <c r="M879">
        <v>0</v>
      </c>
      <c r="N879" t="s">
        <v>198</v>
      </c>
      <c r="O879">
        <v>0</v>
      </c>
      <c r="P879" t="s">
        <v>198</v>
      </c>
      <c r="R879" s="3"/>
      <c r="W879" t="s">
        <v>200</v>
      </c>
      <c r="X879" s="25"/>
      <c r="Y879" s="26"/>
      <c r="Z879" s="27"/>
      <c r="AA879" t="s">
        <v>25</v>
      </c>
      <c r="AB879" t="s">
        <v>201</v>
      </c>
      <c r="AC879" s="3"/>
      <c r="AH879" t="s">
        <v>202</v>
      </c>
      <c r="AK879" t="s">
        <v>203</v>
      </c>
      <c r="AP879" t="s">
        <v>200</v>
      </c>
      <c r="AR879" s="25"/>
      <c r="AT879" s="25">
        <v>0</v>
      </c>
      <c r="AU879" s="26"/>
      <c r="AV879" s="26"/>
      <c r="AW879" s="26"/>
      <c r="AX879" s="26" t="str">
        <f t="shared" si="39"/>
        <v/>
      </c>
      <c r="AY879" t="str">
        <f t="shared" si="40"/>
        <v/>
      </c>
      <c r="AZ879" t="s">
        <v>200</v>
      </c>
      <c r="BA879" s="3"/>
      <c r="BB879" t="str">
        <f t="shared" si="41"/>
        <v>No scrap rate (No impact);</v>
      </c>
    </row>
    <row r="880" spans="1:54" x14ac:dyDescent="0.3">
      <c r="A880" t="s">
        <v>2828</v>
      </c>
      <c r="B880" t="s">
        <v>2829</v>
      </c>
      <c r="C880" t="s">
        <v>2731</v>
      </c>
      <c r="D880" t="s">
        <v>2732</v>
      </c>
      <c r="G880" t="s">
        <v>777</v>
      </c>
      <c r="H880" t="s">
        <v>313</v>
      </c>
      <c r="I880" t="s">
        <v>2830</v>
      </c>
      <c r="L880">
        <v>0</v>
      </c>
      <c r="M880">
        <v>0</v>
      </c>
      <c r="N880" t="s">
        <v>198</v>
      </c>
      <c r="O880">
        <v>0</v>
      </c>
      <c r="P880" t="s">
        <v>198</v>
      </c>
      <c r="R880" s="3"/>
      <c r="W880" t="s">
        <v>200</v>
      </c>
      <c r="X880" s="25"/>
      <c r="Y880" s="26"/>
      <c r="Z880" s="27"/>
      <c r="AA880" t="s">
        <v>25</v>
      </c>
      <c r="AB880" t="s">
        <v>201</v>
      </c>
      <c r="AC880" s="3"/>
      <c r="AH880" t="s">
        <v>202</v>
      </c>
      <c r="AK880" t="s">
        <v>203</v>
      </c>
      <c r="AP880" t="s">
        <v>200</v>
      </c>
      <c r="AR880" s="25"/>
      <c r="AT880" s="25">
        <v>0</v>
      </c>
      <c r="AU880" s="26"/>
      <c r="AV880" s="26"/>
      <c r="AW880" s="26"/>
      <c r="AX880" s="26" t="str">
        <f t="shared" si="39"/>
        <v/>
      </c>
      <c r="AY880" t="str">
        <f t="shared" si="40"/>
        <v/>
      </c>
      <c r="AZ880" t="s">
        <v>200</v>
      </c>
      <c r="BA880" s="3"/>
      <c r="BB880" t="str">
        <f t="shared" si="41"/>
        <v>No scrap rate (No impact);</v>
      </c>
    </row>
    <row r="881" spans="1:54" x14ac:dyDescent="0.3">
      <c r="A881" t="s">
        <v>2831</v>
      </c>
      <c r="B881" t="s">
        <v>2832</v>
      </c>
      <c r="C881" t="s">
        <v>2731</v>
      </c>
      <c r="D881" t="s">
        <v>2732</v>
      </c>
      <c r="G881" t="s">
        <v>2833</v>
      </c>
      <c r="H881" t="s">
        <v>279</v>
      </c>
      <c r="L881">
        <v>1000</v>
      </c>
      <c r="M881">
        <v>1</v>
      </c>
      <c r="N881" t="s">
        <v>198</v>
      </c>
      <c r="O881">
        <v>0</v>
      </c>
      <c r="P881" t="s">
        <v>198</v>
      </c>
      <c r="Q881" t="s">
        <v>199</v>
      </c>
      <c r="R881" s="3"/>
      <c r="W881" t="s">
        <v>200</v>
      </c>
      <c r="X881" s="25"/>
      <c r="Y881" s="26"/>
      <c r="Z881" s="27"/>
      <c r="AA881" t="s">
        <v>25</v>
      </c>
      <c r="AB881" t="s">
        <v>201</v>
      </c>
      <c r="AC881" s="3"/>
      <c r="AH881" t="s">
        <v>202</v>
      </c>
      <c r="AK881" t="s">
        <v>203</v>
      </c>
      <c r="AP881" t="s">
        <v>200</v>
      </c>
      <c r="AR881" s="25"/>
      <c r="AT881" s="25">
        <v>0</v>
      </c>
      <c r="AU881" s="26"/>
      <c r="AV881" s="26"/>
      <c r="AW881" s="26"/>
      <c r="AX881" s="26" t="str">
        <f t="shared" si="39"/>
        <v/>
      </c>
      <c r="AY881" t="str">
        <f t="shared" si="40"/>
        <v/>
      </c>
      <c r="AZ881" t="s">
        <v>200</v>
      </c>
      <c r="BA881" s="3"/>
      <c r="BB881" t="str">
        <f t="shared" si="41"/>
        <v>No scrap rate (No impact);No raw material available (High);</v>
      </c>
    </row>
    <row r="882" spans="1:54" x14ac:dyDescent="0.3">
      <c r="A882" t="s">
        <v>2834</v>
      </c>
      <c r="B882" t="s">
        <v>2835</v>
      </c>
      <c r="C882" t="s">
        <v>2731</v>
      </c>
      <c r="D882" t="s">
        <v>2732</v>
      </c>
      <c r="G882" t="s">
        <v>1299</v>
      </c>
      <c r="H882" t="s">
        <v>1300</v>
      </c>
      <c r="I882" t="s">
        <v>2836</v>
      </c>
      <c r="L882">
        <v>1000</v>
      </c>
      <c r="M882">
        <v>1</v>
      </c>
      <c r="N882" t="s">
        <v>198</v>
      </c>
      <c r="O882">
        <v>0</v>
      </c>
      <c r="P882" t="s">
        <v>198</v>
      </c>
      <c r="Q882" t="s">
        <v>199</v>
      </c>
      <c r="R882" s="3"/>
      <c r="W882" t="s">
        <v>200</v>
      </c>
      <c r="X882" s="25"/>
      <c r="Y882" s="26"/>
      <c r="Z882" s="27"/>
      <c r="AA882" t="s">
        <v>25</v>
      </c>
      <c r="AB882" t="s">
        <v>201</v>
      </c>
      <c r="AC882" s="3"/>
      <c r="AH882" t="s">
        <v>202</v>
      </c>
      <c r="AK882" t="s">
        <v>203</v>
      </c>
      <c r="AP882" t="s">
        <v>200</v>
      </c>
      <c r="AR882" s="25"/>
      <c r="AT882" s="25">
        <v>0</v>
      </c>
      <c r="AU882" s="26"/>
      <c r="AV882" s="26"/>
      <c r="AW882" s="26"/>
      <c r="AX882" s="26" t="str">
        <f t="shared" si="39"/>
        <v/>
      </c>
      <c r="AY882" t="str">
        <f t="shared" si="40"/>
        <v/>
      </c>
      <c r="AZ882" t="s">
        <v>200</v>
      </c>
      <c r="BA882" s="3"/>
      <c r="BB882" t="str">
        <f t="shared" si="41"/>
        <v>No scrap rate (No impact);</v>
      </c>
    </row>
    <row r="883" spans="1:54" x14ac:dyDescent="0.3">
      <c r="A883" t="s">
        <v>2837</v>
      </c>
      <c r="B883" t="s">
        <v>2838</v>
      </c>
      <c r="C883" t="s">
        <v>2731</v>
      </c>
      <c r="D883" t="s">
        <v>2732</v>
      </c>
      <c r="G883" t="s">
        <v>2745</v>
      </c>
      <c r="H883" t="s">
        <v>2746</v>
      </c>
      <c r="I883" t="s">
        <v>2756</v>
      </c>
      <c r="L883">
        <v>0</v>
      </c>
      <c r="M883">
        <v>0</v>
      </c>
      <c r="N883" t="s">
        <v>198</v>
      </c>
      <c r="O883">
        <v>0</v>
      </c>
      <c r="P883" t="s">
        <v>198</v>
      </c>
      <c r="R883" s="3"/>
      <c r="W883" t="s">
        <v>200</v>
      </c>
      <c r="X883" s="25"/>
      <c r="Y883" s="26"/>
      <c r="Z883" s="27"/>
      <c r="AA883" t="s">
        <v>25</v>
      </c>
      <c r="AB883" t="s">
        <v>201</v>
      </c>
      <c r="AC883" s="3"/>
      <c r="AH883" t="s">
        <v>202</v>
      </c>
      <c r="AK883" t="s">
        <v>203</v>
      </c>
      <c r="AP883" t="s">
        <v>200</v>
      </c>
      <c r="AR883" s="25"/>
      <c r="AT883" s="25">
        <v>0</v>
      </c>
      <c r="AU883" s="26"/>
      <c r="AV883" s="26"/>
      <c r="AW883" s="26"/>
      <c r="AX883" s="26" t="str">
        <f t="shared" si="39"/>
        <v/>
      </c>
      <c r="AY883" t="str">
        <f t="shared" si="40"/>
        <v/>
      </c>
      <c r="AZ883" t="s">
        <v>200</v>
      </c>
      <c r="BA883" s="3"/>
      <c r="BB883" t="str">
        <f t="shared" si="41"/>
        <v>No scrap rate (No impact);</v>
      </c>
    </row>
    <row r="884" spans="1:54" x14ac:dyDescent="0.3">
      <c r="A884" t="s">
        <v>2839</v>
      </c>
      <c r="B884" t="s">
        <v>2840</v>
      </c>
      <c r="C884" t="s">
        <v>2731</v>
      </c>
      <c r="D884" t="s">
        <v>2732</v>
      </c>
      <c r="G884" t="s">
        <v>683</v>
      </c>
      <c r="H884" t="s">
        <v>684</v>
      </c>
      <c r="I884" t="s">
        <v>2841</v>
      </c>
      <c r="L884">
        <v>0</v>
      </c>
      <c r="M884">
        <v>0</v>
      </c>
      <c r="N884" t="s">
        <v>198</v>
      </c>
      <c r="O884">
        <v>0</v>
      </c>
      <c r="P884" t="s">
        <v>198</v>
      </c>
      <c r="Q884" t="s">
        <v>199</v>
      </c>
      <c r="R884" s="3"/>
      <c r="W884" t="s">
        <v>200</v>
      </c>
      <c r="X884" s="25"/>
      <c r="Y884" s="26"/>
      <c r="Z884" s="27"/>
      <c r="AA884" t="s">
        <v>25</v>
      </c>
      <c r="AB884" t="s">
        <v>201</v>
      </c>
      <c r="AC884" s="3"/>
      <c r="AH884" t="s">
        <v>202</v>
      </c>
      <c r="AK884" t="s">
        <v>203</v>
      </c>
      <c r="AP884" t="s">
        <v>200</v>
      </c>
      <c r="AR884" s="25"/>
      <c r="AT884" s="25">
        <v>0</v>
      </c>
      <c r="AU884" s="26"/>
      <c r="AV884" s="26"/>
      <c r="AW884" s="26"/>
      <c r="AX884" s="26" t="str">
        <f t="shared" si="39"/>
        <v/>
      </c>
      <c r="AY884" t="str">
        <f t="shared" si="40"/>
        <v/>
      </c>
      <c r="AZ884" t="s">
        <v>200</v>
      </c>
      <c r="BA884" s="3"/>
      <c r="BB884" t="str">
        <f t="shared" si="41"/>
        <v>No scrap rate (No impact);</v>
      </c>
    </row>
    <row r="885" spans="1:54" x14ac:dyDescent="0.3">
      <c r="A885" t="s">
        <v>2842</v>
      </c>
      <c r="B885" t="s">
        <v>2843</v>
      </c>
      <c r="C885" t="s">
        <v>2731</v>
      </c>
      <c r="D885" t="s">
        <v>2732</v>
      </c>
      <c r="G885" t="s">
        <v>2844</v>
      </c>
      <c r="H885" t="s">
        <v>2845</v>
      </c>
      <c r="I885" t="s">
        <v>2846</v>
      </c>
      <c r="L885">
        <v>0</v>
      </c>
      <c r="M885">
        <v>0</v>
      </c>
      <c r="N885" t="s">
        <v>198</v>
      </c>
      <c r="O885">
        <v>0</v>
      </c>
      <c r="P885" t="s">
        <v>198</v>
      </c>
      <c r="Q885" t="s">
        <v>199</v>
      </c>
      <c r="R885" s="3"/>
      <c r="W885" t="s">
        <v>200</v>
      </c>
      <c r="X885" s="25"/>
      <c r="Y885" s="26"/>
      <c r="Z885" s="27"/>
      <c r="AA885" t="s">
        <v>25</v>
      </c>
      <c r="AB885" t="s">
        <v>201</v>
      </c>
      <c r="AC885" s="3"/>
      <c r="AH885" t="s">
        <v>202</v>
      </c>
      <c r="AK885" t="s">
        <v>203</v>
      </c>
      <c r="AP885" t="s">
        <v>200</v>
      </c>
      <c r="AR885" s="25"/>
      <c r="AT885" s="25">
        <v>0</v>
      </c>
      <c r="AU885" s="26"/>
      <c r="AV885" s="26"/>
      <c r="AW885" s="26"/>
      <c r="AX885" s="26" t="str">
        <f t="shared" si="39"/>
        <v/>
      </c>
      <c r="AY885" t="str">
        <f t="shared" si="40"/>
        <v/>
      </c>
      <c r="AZ885" t="s">
        <v>200</v>
      </c>
      <c r="BA885" s="3"/>
      <c r="BB885" t="str">
        <f t="shared" si="41"/>
        <v>No scrap rate (No impact);</v>
      </c>
    </row>
    <row r="886" spans="1:54" x14ac:dyDescent="0.3">
      <c r="A886" t="s">
        <v>2847</v>
      </c>
      <c r="B886" t="s">
        <v>2848</v>
      </c>
      <c r="C886" t="s">
        <v>2731</v>
      </c>
      <c r="D886" t="s">
        <v>2732</v>
      </c>
      <c r="G886" t="s">
        <v>2849</v>
      </c>
      <c r="H886" t="s">
        <v>2850</v>
      </c>
      <c r="I886" t="s">
        <v>2851</v>
      </c>
      <c r="K886" t="s">
        <v>2852</v>
      </c>
      <c r="L886">
        <v>0</v>
      </c>
      <c r="M886">
        <v>200</v>
      </c>
      <c r="N886" t="s">
        <v>198</v>
      </c>
      <c r="O886">
        <v>0</v>
      </c>
      <c r="P886" t="s">
        <v>198</v>
      </c>
      <c r="Q886" t="s">
        <v>199</v>
      </c>
      <c r="R886" s="3"/>
      <c r="W886" t="s">
        <v>200</v>
      </c>
      <c r="X886" s="25"/>
      <c r="Y886" s="26"/>
      <c r="Z886" s="27"/>
      <c r="AA886" t="s">
        <v>25</v>
      </c>
      <c r="AB886" t="s">
        <v>201</v>
      </c>
      <c r="AC886" s="3"/>
      <c r="AH886" t="s">
        <v>202</v>
      </c>
      <c r="AK886" t="s">
        <v>203</v>
      </c>
      <c r="AP886" t="s">
        <v>200</v>
      </c>
      <c r="AR886" s="25"/>
      <c r="AT886" s="25">
        <v>0</v>
      </c>
      <c r="AU886" s="26"/>
      <c r="AV886" s="26"/>
      <c r="AW886" s="26"/>
      <c r="AX886" s="26" t="str">
        <f t="shared" si="39"/>
        <v/>
      </c>
      <c r="AY886" t="str">
        <f t="shared" si="40"/>
        <v/>
      </c>
      <c r="AZ886" t="s">
        <v>200</v>
      </c>
      <c r="BA886" s="3"/>
      <c r="BB886" t="str">
        <f t="shared" si="41"/>
        <v>No scrap rate (No impact);</v>
      </c>
    </row>
    <row r="887" spans="1:54" x14ac:dyDescent="0.3">
      <c r="A887" t="s">
        <v>2853</v>
      </c>
      <c r="B887" t="s">
        <v>2854</v>
      </c>
      <c r="C887" t="s">
        <v>2731</v>
      </c>
      <c r="D887" t="s">
        <v>2732</v>
      </c>
      <c r="G887" t="s">
        <v>2740</v>
      </c>
      <c r="H887" t="s">
        <v>2741</v>
      </c>
      <c r="I887" t="s">
        <v>2855</v>
      </c>
      <c r="K887" t="s">
        <v>2856</v>
      </c>
      <c r="L887">
        <v>1000</v>
      </c>
      <c r="M887">
        <v>1</v>
      </c>
      <c r="N887" t="s">
        <v>198</v>
      </c>
      <c r="O887">
        <v>0</v>
      </c>
      <c r="P887" t="s">
        <v>198</v>
      </c>
      <c r="Q887" t="s">
        <v>199</v>
      </c>
      <c r="R887" s="3"/>
      <c r="W887" t="s">
        <v>200</v>
      </c>
      <c r="X887" s="25"/>
      <c r="Y887" s="26"/>
      <c r="Z887" s="27"/>
      <c r="AA887" t="s">
        <v>25</v>
      </c>
      <c r="AB887" t="s">
        <v>201</v>
      </c>
      <c r="AC887" s="3"/>
      <c r="AH887" t="s">
        <v>202</v>
      </c>
      <c r="AK887" t="s">
        <v>203</v>
      </c>
      <c r="AP887" t="s">
        <v>200</v>
      </c>
      <c r="AR887" s="25"/>
      <c r="AT887" s="25">
        <v>0</v>
      </c>
      <c r="AU887" s="26"/>
      <c r="AV887" s="26"/>
      <c r="AW887" s="26"/>
      <c r="AX887" s="26" t="str">
        <f t="shared" si="39"/>
        <v/>
      </c>
      <c r="AY887" t="str">
        <f t="shared" si="40"/>
        <v/>
      </c>
      <c r="AZ887" t="s">
        <v>200</v>
      </c>
      <c r="BA887" s="3"/>
      <c r="BB887" t="str">
        <f t="shared" si="41"/>
        <v>No scrap rate (No impact);</v>
      </c>
    </row>
    <row r="888" spans="1:54" x14ac:dyDescent="0.3">
      <c r="A888" t="s">
        <v>2857</v>
      </c>
      <c r="B888" t="s">
        <v>2858</v>
      </c>
      <c r="C888" t="s">
        <v>2731</v>
      </c>
      <c r="D888" t="s">
        <v>2732</v>
      </c>
      <c r="G888" t="s">
        <v>2859</v>
      </c>
      <c r="H888" t="s">
        <v>2860</v>
      </c>
      <c r="L888">
        <v>1000</v>
      </c>
      <c r="M888">
        <v>1.22</v>
      </c>
      <c r="N888" t="s">
        <v>198</v>
      </c>
      <c r="O888">
        <v>0</v>
      </c>
      <c r="P888" t="s">
        <v>198</v>
      </c>
      <c r="Q888" t="s">
        <v>199</v>
      </c>
      <c r="R888" s="3"/>
      <c r="W888" t="s">
        <v>200</v>
      </c>
      <c r="X888" s="25"/>
      <c r="Y888" s="26"/>
      <c r="Z888" s="27"/>
      <c r="AA888" t="s">
        <v>25</v>
      </c>
      <c r="AB888" t="s">
        <v>201</v>
      </c>
      <c r="AC888" s="3"/>
      <c r="AH888" t="s">
        <v>202</v>
      </c>
      <c r="AK888" t="s">
        <v>203</v>
      </c>
      <c r="AP888" t="s">
        <v>200</v>
      </c>
      <c r="AR888" s="25"/>
      <c r="AT888" s="25">
        <v>0</v>
      </c>
      <c r="AU888" s="26"/>
      <c r="AV888" s="26"/>
      <c r="AW888" s="26"/>
      <c r="AX888" s="26" t="str">
        <f t="shared" si="39"/>
        <v/>
      </c>
      <c r="AY888" t="str">
        <f t="shared" si="40"/>
        <v/>
      </c>
      <c r="AZ888" t="s">
        <v>200</v>
      </c>
      <c r="BA888" s="3"/>
      <c r="BB888" t="str">
        <f t="shared" si="41"/>
        <v>No scrap rate (No impact);No raw material available (High);</v>
      </c>
    </row>
    <row r="889" spans="1:54" x14ac:dyDescent="0.3">
      <c r="A889" t="s">
        <v>2861</v>
      </c>
      <c r="B889" t="s">
        <v>2862</v>
      </c>
      <c r="C889" t="s">
        <v>2731</v>
      </c>
      <c r="D889" t="s">
        <v>2732</v>
      </c>
      <c r="G889" t="s">
        <v>2863</v>
      </c>
      <c r="H889" t="s">
        <v>2864</v>
      </c>
      <c r="I889" t="s">
        <v>2865</v>
      </c>
      <c r="K889" t="s">
        <v>2852</v>
      </c>
      <c r="L889">
        <v>160</v>
      </c>
      <c r="M889">
        <v>1</v>
      </c>
      <c r="N889" t="s">
        <v>198</v>
      </c>
      <c r="O889">
        <v>0</v>
      </c>
      <c r="P889" t="s">
        <v>198</v>
      </c>
      <c r="Q889" t="s">
        <v>199</v>
      </c>
      <c r="R889" s="3"/>
      <c r="W889" t="s">
        <v>200</v>
      </c>
      <c r="X889" s="25"/>
      <c r="Y889" s="26"/>
      <c r="Z889" s="27"/>
      <c r="AA889" t="s">
        <v>25</v>
      </c>
      <c r="AB889" t="s">
        <v>201</v>
      </c>
      <c r="AC889" s="3"/>
      <c r="AH889" t="s">
        <v>202</v>
      </c>
      <c r="AK889" t="s">
        <v>203</v>
      </c>
      <c r="AP889" t="s">
        <v>200</v>
      </c>
      <c r="AR889" s="25"/>
      <c r="AT889" s="25">
        <v>0</v>
      </c>
      <c r="AU889" s="26"/>
      <c r="AV889" s="26"/>
      <c r="AW889" s="26"/>
      <c r="AX889" s="26" t="str">
        <f t="shared" si="39"/>
        <v/>
      </c>
      <c r="AY889" t="str">
        <f t="shared" si="40"/>
        <v/>
      </c>
      <c r="AZ889" t="s">
        <v>200</v>
      </c>
      <c r="BA889" s="3"/>
      <c r="BB889" t="str">
        <f t="shared" si="41"/>
        <v>No scrap rate (No impact);</v>
      </c>
    </row>
    <row r="890" spans="1:54" x14ac:dyDescent="0.3">
      <c r="A890" t="s">
        <v>2866</v>
      </c>
      <c r="B890" t="s">
        <v>2867</v>
      </c>
      <c r="C890" t="s">
        <v>2731</v>
      </c>
      <c r="D890" t="s">
        <v>2732</v>
      </c>
      <c r="G890" t="s">
        <v>2868</v>
      </c>
      <c r="H890" t="s">
        <v>2869</v>
      </c>
      <c r="I890" t="s">
        <v>2870</v>
      </c>
      <c r="L890">
        <v>1000</v>
      </c>
      <c r="M890">
        <v>1.05</v>
      </c>
      <c r="N890" t="s">
        <v>198</v>
      </c>
      <c r="O890">
        <v>0</v>
      </c>
      <c r="P890" t="s">
        <v>198</v>
      </c>
      <c r="Q890" t="s">
        <v>199</v>
      </c>
      <c r="R890" s="3"/>
      <c r="W890" t="s">
        <v>200</v>
      </c>
      <c r="X890" s="25"/>
      <c r="Y890" s="26"/>
      <c r="Z890" s="27"/>
      <c r="AA890" t="s">
        <v>25</v>
      </c>
      <c r="AB890" t="s">
        <v>201</v>
      </c>
      <c r="AC890" s="3"/>
      <c r="AH890" t="s">
        <v>202</v>
      </c>
      <c r="AK890" t="s">
        <v>203</v>
      </c>
      <c r="AP890" t="s">
        <v>200</v>
      </c>
      <c r="AR890" s="25"/>
      <c r="AT890" s="25">
        <v>0</v>
      </c>
      <c r="AU890" s="26"/>
      <c r="AV890" s="26"/>
      <c r="AW890" s="26"/>
      <c r="AX890" s="26" t="str">
        <f t="shared" si="39"/>
        <v/>
      </c>
      <c r="AY890" t="str">
        <f t="shared" si="40"/>
        <v/>
      </c>
      <c r="AZ890" t="s">
        <v>200</v>
      </c>
      <c r="BA890" s="3"/>
      <c r="BB890" t="str">
        <f t="shared" si="41"/>
        <v>No scrap rate (No impact);</v>
      </c>
    </row>
    <row r="891" spans="1:54" x14ac:dyDescent="0.3">
      <c r="A891" t="s">
        <v>2871</v>
      </c>
      <c r="B891" t="s">
        <v>2872</v>
      </c>
      <c r="C891" t="s">
        <v>2731</v>
      </c>
      <c r="D891" t="s">
        <v>2732</v>
      </c>
      <c r="G891" t="s">
        <v>2873</v>
      </c>
      <c r="H891" t="s">
        <v>2874</v>
      </c>
      <c r="I891" t="s">
        <v>2875</v>
      </c>
      <c r="L891">
        <v>0</v>
      </c>
      <c r="M891">
        <v>0</v>
      </c>
      <c r="N891" t="s">
        <v>198</v>
      </c>
      <c r="O891">
        <v>0</v>
      </c>
      <c r="P891" t="s">
        <v>198</v>
      </c>
      <c r="R891" s="3"/>
      <c r="W891" t="s">
        <v>200</v>
      </c>
      <c r="X891" s="25"/>
      <c r="Y891" s="26"/>
      <c r="Z891" s="27"/>
      <c r="AA891" t="s">
        <v>25</v>
      </c>
      <c r="AB891" t="s">
        <v>201</v>
      </c>
      <c r="AC891" s="3"/>
      <c r="AH891" t="s">
        <v>202</v>
      </c>
      <c r="AK891" t="s">
        <v>203</v>
      </c>
      <c r="AP891" t="s">
        <v>200</v>
      </c>
      <c r="AR891" s="25"/>
      <c r="AT891" s="25">
        <v>0</v>
      </c>
      <c r="AU891" s="26"/>
      <c r="AV891" s="26"/>
      <c r="AW891" s="26"/>
      <c r="AX891" s="26" t="str">
        <f t="shared" si="39"/>
        <v/>
      </c>
      <c r="AY891" t="str">
        <f t="shared" si="40"/>
        <v/>
      </c>
      <c r="AZ891" t="s">
        <v>200</v>
      </c>
      <c r="BA891" s="3"/>
      <c r="BB891" t="str">
        <f t="shared" si="41"/>
        <v>No scrap rate (No impact);</v>
      </c>
    </row>
    <row r="892" spans="1:54" x14ac:dyDescent="0.3">
      <c r="A892" t="s">
        <v>2876</v>
      </c>
      <c r="B892" t="s">
        <v>2877</v>
      </c>
      <c r="C892" t="s">
        <v>2731</v>
      </c>
      <c r="D892" t="s">
        <v>2732</v>
      </c>
      <c r="I892" t="s">
        <v>844</v>
      </c>
      <c r="L892">
        <v>0</v>
      </c>
      <c r="M892">
        <v>0</v>
      </c>
      <c r="N892" t="s">
        <v>198</v>
      </c>
      <c r="O892">
        <v>0</v>
      </c>
      <c r="P892" t="s">
        <v>198</v>
      </c>
      <c r="R892" s="3"/>
      <c r="W892" t="s">
        <v>200</v>
      </c>
      <c r="X892" s="25"/>
      <c r="Y892" s="26"/>
      <c r="Z892" s="27"/>
      <c r="AA892" t="s">
        <v>25</v>
      </c>
      <c r="AB892" t="s">
        <v>201</v>
      </c>
      <c r="AC892" s="3"/>
      <c r="AH892" t="s">
        <v>202</v>
      </c>
      <c r="AK892" t="s">
        <v>203</v>
      </c>
      <c r="AP892" t="s">
        <v>200</v>
      </c>
      <c r="AR892" s="25"/>
      <c r="AT892" s="25">
        <v>0</v>
      </c>
      <c r="AU892" s="26"/>
      <c r="AV892" s="26"/>
      <c r="AW892" s="26"/>
      <c r="AX892" s="26" t="str">
        <f t="shared" si="39"/>
        <v/>
      </c>
      <c r="AY892" t="str">
        <f t="shared" si="40"/>
        <v/>
      </c>
      <c r="AZ892" t="s">
        <v>200</v>
      </c>
      <c r="BA892" s="3"/>
      <c r="BB892" t="str">
        <f t="shared" si="41"/>
        <v>Supplier code empty (High);No scrap rate (No impact);</v>
      </c>
    </row>
    <row r="893" spans="1:54" x14ac:dyDescent="0.3">
      <c r="A893" t="s">
        <v>2878</v>
      </c>
      <c r="B893" t="s">
        <v>2879</v>
      </c>
      <c r="C893" t="s">
        <v>2731</v>
      </c>
      <c r="D893" t="s">
        <v>2732</v>
      </c>
      <c r="G893" t="s">
        <v>2812</v>
      </c>
      <c r="H893" t="s">
        <v>2813</v>
      </c>
      <c r="I893" t="s">
        <v>2880</v>
      </c>
      <c r="K893" t="s">
        <v>2815</v>
      </c>
      <c r="L893">
        <v>1000</v>
      </c>
      <c r="M893">
        <v>1</v>
      </c>
      <c r="N893" t="s">
        <v>198</v>
      </c>
      <c r="O893">
        <v>0</v>
      </c>
      <c r="P893" t="s">
        <v>198</v>
      </c>
      <c r="Q893" t="s">
        <v>199</v>
      </c>
      <c r="R893" s="3"/>
      <c r="W893" t="s">
        <v>200</v>
      </c>
      <c r="X893" s="25"/>
      <c r="Y893" s="26"/>
      <c r="Z893" s="27"/>
      <c r="AA893" t="s">
        <v>25</v>
      </c>
      <c r="AB893" t="s">
        <v>201</v>
      </c>
      <c r="AC893" s="3"/>
      <c r="AH893" t="s">
        <v>202</v>
      </c>
      <c r="AK893" t="s">
        <v>203</v>
      </c>
      <c r="AP893" t="s">
        <v>200</v>
      </c>
      <c r="AR893" s="25"/>
      <c r="AT893" s="25">
        <v>0</v>
      </c>
      <c r="AU893" s="26"/>
      <c r="AV893" s="26"/>
      <c r="AW893" s="26"/>
      <c r="AX893" s="26" t="str">
        <f t="shared" si="39"/>
        <v/>
      </c>
      <c r="AY893" t="str">
        <f t="shared" si="40"/>
        <v/>
      </c>
      <c r="AZ893" t="s">
        <v>200</v>
      </c>
      <c r="BA893" s="3"/>
      <c r="BB893" t="str">
        <f t="shared" si="41"/>
        <v>No scrap rate (No impact);</v>
      </c>
    </row>
    <row r="894" spans="1:54" x14ac:dyDescent="0.3">
      <c r="A894" t="s">
        <v>2881</v>
      </c>
      <c r="B894" t="s">
        <v>2882</v>
      </c>
      <c r="C894" t="s">
        <v>2731</v>
      </c>
      <c r="D894" t="s">
        <v>2732</v>
      </c>
      <c r="G894" t="s">
        <v>1522</v>
      </c>
      <c r="H894" t="s">
        <v>347</v>
      </c>
      <c r="I894" t="s">
        <v>2883</v>
      </c>
      <c r="K894" t="s">
        <v>2852</v>
      </c>
      <c r="L894">
        <v>1000</v>
      </c>
      <c r="M894">
        <v>1</v>
      </c>
      <c r="N894" t="s">
        <v>198</v>
      </c>
      <c r="O894">
        <v>0</v>
      </c>
      <c r="P894" t="s">
        <v>198</v>
      </c>
      <c r="Q894" t="s">
        <v>199</v>
      </c>
      <c r="R894" s="3"/>
      <c r="W894" t="s">
        <v>200</v>
      </c>
      <c r="X894" s="25"/>
      <c r="Y894" s="26"/>
      <c r="Z894" s="27"/>
      <c r="AA894" t="s">
        <v>25</v>
      </c>
      <c r="AB894" t="s">
        <v>201</v>
      </c>
      <c r="AC894" s="3"/>
      <c r="AH894" t="s">
        <v>202</v>
      </c>
      <c r="AK894" t="s">
        <v>203</v>
      </c>
      <c r="AP894" t="s">
        <v>200</v>
      </c>
      <c r="AR894" s="25"/>
      <c r="AT894" s="25">
        <v>0</v>
      </c>
      <c r="AU894" s="26"/>
      <c r="AV894" s="26"/>
      <c r="AW894" s="26"/>
      <c r="AX894" s="26" t="str">
        <f t="shared" si="39"/>
        <v/>
      </c>
      <c r="AY894" t="str">
        <f t="shared" si="40"/>
        <v/>
      </c>
      <c r="AZ894" t="s">
        <v>200</v>
      </c>
      <c r="BA894" s="3"/>
      <c r="BB894" t="str">
        <f t="shared" si="41"/>
        <v>No scrap rate (No impact);</v>
      </c>
    </row>
    <row r="895" spans="1:54" x14ac:dyDescent="0.3">
      <c r="A895" t="s">
        <v>2884</v>
      </c>
      <c r="B895" t="s">
        <v>2885</v>
      </c>
      <c r="C895" t="s">
        <v>2731</v>
      </c>
      <c r="D895" t="s">
        <v>2732</v>
      </c>
      <c r="G895" t="s">
        <v>236</v>
      </c>
      <c r="H895" t="s">
        <v>237</v>
      </c>
      <c r="I895" t="s">
        <v>2886</v>
      </c>
      <c r="L895">
        <v>900</v>
      </c>
      <c r="M895">
        <v>1</v>
      </c>
      <c r="N895" t="s">
        <v>198</v>
      </c>
      <c r="O895">
        <v>0</v>
      </c>
      <c r="P895" t="s">
        <v>198</v>
      </c>
      <c r="Q895" t="s">
        <v>199</v>
      </c>
      <c r="R895" s="3"/>
      <c r="W895" t="s">
        <v>200</v>
      </c>
      <c r="X895" s="25"/>
      <c r="Y895" s="26"/>
      <c r="Z895" s="27"/>
      <c r="AA895" t="s">
        <v>25</v>
      </c>
      <c r="AB895" t="s">
        <v>201</v>
      </c>
      <c r="AC895" s="3"/>
      <c r="AH895" t="s">
        <v>202</v>
      </c>
      <c r="AK895" t="s">
        <v>203</v>
      </c>
      <c r="AP895" t="s">
        <v>200</v>
      </c>
      <c r="AR895" s="25"/>
      <c r="AT895" s="25">
        <v>0</v>
      </c>
      <c r="AU895" s="26"/>
      <c r="AV895" s="26"/>
      <c r="AW895" s="26"/>
      <c r="AX895" s="26" t="str">
        <f t="shared" si="39"/>
        <v/>
      </c>
      <c r="AY895" t="str">
        <f t="shared" si="40"/>
        <v/>
      </c>
      <c r="AZ895" t="s">
        <v>200</v>
      </c>
      <c r="BA895" s="3"/>
      <c r="BB895" t="str">
        <f t="shared" si="41"/>
        <v>No scrap rate (No impact);</v>
      </c>
    </row>
    <row r="896" spans="1:54" x14ac:dyDescent="0.3">
      <c r="A896" t="s">
        <v>2887</v>
      </c>
      <c r="B896" t="s">
        <v>2888</v>
      </c>
      <c r="C896" t="s">
        <v>2731</v>
      </c>
      <c r="D896" t="s">
        <v>2732</v>
      </c>
      <c r="G896" t="s">
        <v>2889</v>
      </c>
      <c r="H896" t="s">
        <v>2890</v>
      </c>
      <c r="I896" t="s">
        <v>2891</v>
      </c>
      <c r="L896">
        <v>1</v>
      </c>
      <c r="M896">
        <v>1</v>
      </c>
      <c r="N896" t="s">
        <v>198</v>
      </c>
      <c r="O896">
        <v>0</v>
      </c>
      <c r="P896" t="s">
        <v>198</v>
      </c>
      <c r="Q896" t="s">
        <v>2892</v>
      </c>
      <c r="R896" s="3"/>
      <c r="W896" t="s">
        <v>200</v>
      </c>
      <c r="X896" s="25"/>
      <c r="Y896" s="26"/>
      <c r="Z896" s="27"/>
      <c r="AA896" t="s">
        <v>25</v>
      </c>
      <c r="AB896" t="s">
        <v>201</v>
      </c>
      <c r="AC896" s="3"/>
      <c r="AH896" t="s">
        <v>202</v>
      </c>
      <c r="AK896" t="s">
        <v>203</v>
      </c>
      <c r="AP896" t="s">
        <v>200</v>
      </c>
      <c r="AR896" s="25"/>
      <c r="AT896" s="25">
        <v>0</v>
      </c>
      <c r="AU896" s="26"/>
      <c r="AV896" s="26"/>
      <c r="AW896" s="26"/>
      <c r="AX896" s="26" t="str">
        <f t="shared" si="39"/>
        <v/>
      </c>
      <c r="AY896" t="str">
        <f t="shared" si="40"/>
        <v/>
      </c>
      <c r="AZ896" t="s">
        <v>200</v>
      </c>
      <c r="BA896" s="3"/>
      <c r="BB896" t="str">
        <f t="shared" si="41"/>
        <v>No scrap rate (No impact);</v>
      </c>
    </row>
    <row r="897" spans="1:54" x14ac:dyDescent="0.3">
      <c r="A897" t="s">
        <v>2893</v>
      </c>
      <c r="B897" t="s">
        <v>2894</v>
      </c>
      <c r="C897" t="s">
        <v>2731</v>
      </c>
      <c r="D897" t="s">
        <v>2732</v>
      </c>
      <c r="G897" t="s">
        <v>751</v>
      </c>
      <c r="H897" t="s">
        <v>752</v>
      </c>
      <c r="I897" t="s">
        <v>2895</v>
      </c>
      <c r="L897">
        <v>1</v>
      </c>
      <c r="M897">
        <v>1</v>
      </c>
      <c r="N897" t="s">
        <v>198</v>
      </c>
      <c r="O897">
        <v>0</v>
      </c>
      <c r="P897" t="s">
        <v>198</v>
      </c>
      <c r="Q897" t="s">
        <v>726</v>
      </c>
      <c r="R897" s="3"/>
      <c r="W897" t="s">
        <v>200</v>
      </c>
      <c r="X897" s="25"/>
      <c r="Y897" s="26"/>
      <c r="Z897" s="27"/>
      <c r="AA897" t="s">
        <v>25</v>
      </c>
      <c r="AB897" t="s">
        <v>201</v>
      </c>
      <c r="AC897" s="3"/>
      <c r="AH897" t="s">
        <v>202</v>
      </c>
      <c r="AK897" t="s">
        <v>203</v>
      </c>
      <c r="AP897" t="s">
        <v>200</v>
      </c>
      <c r="AR897" s="25"/>
      <c r="AT897" s="25">
        <v>0</v>
      </c>
      <c r="AU897" s="26"/>
      <c r="AV897" s="26"/>
      <c r="AW897" s="26"/>
      <c r="AX897" s="26" t="str">
        <f t="shared" si="39"/>
        <v/>
      </c>
      <c r="AY897" t="str">
        <f t="shared" si="40"/>
        <v/>
      </c>
      <c r="AZ897" t="s">
        <v>200</v>
      </c>
      <c r="BA897" s="3"/>
      <c r="BB897" t="str">
        <f t="shared" si="41"/>
        <v>No scrap rate (No impact);</v>
      </c>
    </row>
    <row r="898" spans="1:54" x14ac:dyDescent="0.3">
      <c r="A898" t="s">
        <v>2896</v>
      </c>
      <c r="B898" t="s">
        <v>2897</v>
      </c>
      <c r="C898" t="s">
        <v>2731</v>
      </c>
      <c r="D898" t="s">
        <v>2732</v>
      </c>
      <c r="G898" t="s">
        <v>2898</v>
      </c>
      <c r="H898" t="s">
        <v>2899</v>
      </c>
      <c r="I898" t="s">
        <v>2900</v>
      </c>
      <c r="L898">
        <v>20</v>
      </c>
      <c r="M898">
        <v>1</v>
      </c>
      <c r="N898" t="s">
        <v>198</v>
      </c>
      <c r="O898">
        <v>0</v>
      </c>
      <c r="P898" t="s">
        <v>198</v>
      </c>
      <c r="Q898" t="s">
        <v>199</v>
      </c>
      <c r="R898" s="3"/>
      <c r="W898" t="s">
        <v>200</v>
      </c>
      <c r="X898" s="25"/>
      <c r="Y898" s="26"/>
      <c r="Z898" s="27"/>
      <c r="AA898" t="s">
        <v>25</v>
      </c>
      <c r="AB898" t="s">
        <v>201</v>
      </c>
      <c r="AC898" s="3"/>
      <c r="AH898" t="s">
        <v>202</v>
      </c>
      <c r="AK898" t="s">
        <v>203</v>
      </c>
      <c r="AP898" t="s">
        <v>200</v>
      </c>
      <c r="AR898" s="25"/>
      <c r="AT898" s="25">
        <v>0</v>
      </c>
      <c r="AU898" s="26"/>
      <c r="AV898" s="26"/>
      <c r="AW898" s="26"/>
      <c r="AX898" s="26" t="str">
        <f t="shared" si="39"/>
        <v/>
      </c>
      <c r="AY898" t="str">
        <f t="shared" si="40"/>
        <v/>
      </c>
      <c r="AZ898" t="s">
        <v>200</v>
      </c>
      <c r="BA898" s="3"/>
      <c r="BB898" t="str">
        <f t="shared" si="41"/>
        <v>No scrap rate (No impact);</v>
      </c>
    </row>
    <row r="899" spans="1:54" x14ac:dyDescent="0.3">
      <c r="A899" t="s">
        <v>2901</v>
      </c>
      <c r="B899" t="s">
        <v>2902</v>
      </c>
      <c r="C899" t="s">
        <v>2731</v>
      </c>
      <c r="D899" t="s">
        <v>2732</v>
      </c>
      <c r="G899" t="s">
        <v>2903</v>
      </c>
      <c r="H899" t="s">
        <v>2904</v>
      </c>
      <c r="I899" t="s">
        <v>2905</v>
      </c>
      <c r="K899" t="s">
        <v>2906</v>
      </c>
      <c r="L899">
        <v>1</v>
      </c>
      <c r="M899">
        <v>1</v>
      </c>
      <c r="N899" t="s">
        <v>198</v>
      </c>
      <c r="O899">
        <v>0</v>
      </c>
      <c r="P899" t="s">
        <v>198</v>
      </c>
      <c r="Q899" t="s">
        <v>726</v>
      </c>
      <c r="R899" s="3"/>
      <c r="W899" t="s">
        <v>200</v>
      </c>
      <c r="X899" s="25"/>
      <c r="Y899" s="26"/>
      <c r="Z899" s="27"/>
      <c r="AA899" t="s">
        <v>25</v>
      </c>
      <c r="AB899" t="s">
        <v>201</v>
      </c>
      <c r="AC899" s="3"/>
      <c r="AH899" t="s">
        <v>202</v>
      </c>
      <c r="AK899" t="s">
        <v>203</v>
      </c>
      <c r="AP899" t="s">
        <v>200</v>
      </c>
      <c r="AR899" s="25"/>
      <c r="AT899" s="25">
        <v>0</v>
      </c>
      <c r="AU899" s="26"/>
      <c r="AV899" s="26"/>
      <c r="AW899" s="26"/>
      <c r="AX899" s="26" t="str">
        <f t="shared" ref="AX899:AX962" si="42">IF(COUNT(AU899,AV899,AW899)=0,"",ROUND(AVERAGE(AU899,AV899,AW899),3))</f>
        <v/>
      </c>
      <c r="AY899" t="str">
        <f t="shared" ref="AY899:AY964" si="43">IF(AO899="","",ROUND(AO899*IF(M899="",0,M899)*(1+IF(AR899="",0,AR899)),5))</f>
        <v/>
      </c>
      <c r="AZ899" t="s">
        <v>200</v>
      </c>
      <c r="BA899" s="3"/>
      <c r="BB899" t="str">
        <f t="shared" ref="BB899:BB964" si="44">IF(AND(A899&lt;&gt;"",G899=""),"Supplier code empty (High);","")&amp;IF(AND(X899&lt;&gt;"",OR(X899&gt;1,X899&lt;0)),"Incorrect PDS value (High);",IF(AND(X899&lt;&gt;"",X899&gt;0.5),"High PDS value (Medium);",""))&amp;IF(AND(Y899&lt;&gt;"",OR(Y899&gt;5,Y899&lt;1)),"Incorrect DQR value (High);",IF(AND(Y899&lt;&gt;"",Y899&gt;4),"Incorrect DQR value (Medium);",IF(AND(Y899&lt;&gt;"",Y899&gt;3),"Incorrect DQR value (Low);","")))&amp;IF(AND(V899&lt;&gt;"",OR(V899&lt;=0,V899&gt;100)),"Unusual PCF value might be wrong (High);","")&amp;IF(AND(AT899&lt;&gt;"",OR(AT899&gt;1,AT899&lt;0)),"Incorrect PDS value (High);",IF(AND(AT899&lt;&gt;"",AT899&gt;0.5),"High PDS value (Medium);",""))&amp;IF(AND(AX899&lt;&gt;"",OR(AX899&gt;5,AX899&lt;1)),"Incorrect DQR value (High);",IF(AND(AX899&lt;&gt;"",AX899&gt;4),"Incorrect DQR value (Medium);",IF(AND(AX899&lt;&gt;"",AX899&gt;3),"Incorrect DQR value (Low);","")))&amp;IF(AND(AR899&lt;&gt;"",OR(AR899&gt;1,AR899&lt;0)),"Incorrect scrap rate (High);",IF(AND(A899&lt;&gt;"",AR899=0),"No scrap rate (No impact);",""))&amp;IF(AND(A899&lt;&gt;"",I899="",J899="",K899=""),"No raw material available (High);","")&amp;""</f>
        <v>No scrap rate (No impact);</v>
      </c>
    </row>
    <row r="900" spans="1:54" x14ac:dyDescent="0.3">
      <c r="A900" t="s">
        <v>2907</v>
      </c>
      <c r="B900" t="s">
        <v>2908</v>
      </c>
      <c r="C900" t="s">
        <v>2731</v>
      </c>
      <c r="D900" t="s">
        <v>2732</v>
      </c>
      <c r="G900" t="s">
        <v>2909</v>
      </c>
      <c r="H900" t="s">
        <v>2910</v>
      </c>
      <c r="I900" t="s">
        <v>2911</v>
      </c>
      <c r="L900">
        <v>0</v>
      </c>
      <c r="M900">
        <v>1000</v>
      </c>
      <c r="N900" t="s">
        <v>198</v>
      </c>
      <c r="O900">
        <v>0</v>
      </c>
      <c r="P900" t="s">
        <v>198</v>
      </c>
      <c r="R900" s="3"/>
      <c r="W900" t="s">
        <v>200</v>
      </c>
      <c r="X900" s="25"/>
      <c r="Y900" s="26"/>
      <c r="Z900" s="27"/>
      <c r="AA900" t="s">
        <v>25</v>
      </c>
      <c r="AB900" t="s">
        <v>201</v>
      </c>
      <c r="AC900" s="3"/>
      <c r="AH900" t="s">
        <v>202</v>
      </c>
      <c r="AK900" t="s">
        <v>203</v>
      </c>
      <c r="AP900" t="s">
        <v>200</v>
      </c>
      <c r="AR900" s="25"/>
      <c r="AT900" s="25">
        <v>0</v>
      </c>
      <c r="AU900" s="26"/>
      <c r="AV900" s="26"/>
      <c r="AW900" s="26"/>
      <c r="AX900" s="26" t="str">
        <f t="shared" si="42"/>
        <v/>
      </c>
      <c r="AY900" t="str">
        <f t="shared" si="43"/>
        <v/>
      </c>
      <c r="AZ900" t="s">
        <v>200</v>
      </c>
      <c r="BA900" s="3"/>
      <c r="BB900" t="str">
        <f t="shared" si="44"/>
        <v>No scrap rate (No impact);</v>
      </c>
    </row>
    <row r="901" spans="1:54" x14ac:dyDescent="0.3">
      <c r="A901" t="s">
        <v>2912</v>
      </c>
      <c r="B901" t="s">
        <v>2913</v>
      </c>
      <c r="C901" t="s">
        <v>2914</v>
      </c>
      <c r="D901" t="s">
        <v>2915</v>
      </c>
      <c r="G901" t="s">
        <v>246</v>
      </c>
      <c r="H901" t="s">
        <v>247</v>
      </c>
      <c r="I901" t="s">
        <v>2916</v>
      </c>
      <c r="L901">
        <v>1000</v>
      </c>
      <c r="M901">
        <v>0.01</v>
      </c>
      <c r="N901" t="s">
        <v>198</v>
      </c>
      <c r="O901">
        <v>0.01</v>
      </c>
      <c r="P901" t="s">
        <v>198</v>
      </c>
      <c r="Q901" t="s">
        <v>199</v>
      </c>
      <c r="R901" s="3"/>
      <c r="W901" t="s">
        <v>200</v>
      </c>
      <c r="X901" s="25"/>
      <c r="Y901" s="26"/>
      <c r="Z901" s="27"/>
      <c r="AA901" t="s">
        <v>25</v>
      </c>
      <c r="AB901" t="s">
        <v>201</v>
      </c>
      <c r="AC901" s="3"/>
      <c r="AH901" t="s">
        <v>202</v>
      </c>
      <c r="AK901" t="s">
        <v>203</v>
      </c>
      <c r="AP901" t="s">
        <v>200</v>
      </c>
      <c r="AR901" s="25"/>
      <c r="AT901" s="25">
        <v>0</v>
      </c>
      <c r="AU901" s="26"/>
      <c r="AV901" s="26"/>
      <c r="AW901" s="26"/>
      <c r="AX901" s="26" t="str">
        <f t="shared" si="42"/>
        <v/>
      </c>
      <c r="AY901" t="str">
        <f t="shared" si="43"/>
        <v/>
      </c>
      <c r="AZ901" t="s">
        <v>200</v>
      </c>
      <c r="BA901" s="3"/>
      <c r="BB901" t="str">
        <f t="shared" si="44"/>
        <v>No scrap rate (No impact);</v>
      </c>
    </row>
    <row r="902" spans="1:54" x14ac:dyDescent="0.3">
      <c r="A902" t="s">
        <v>2917</v>
      </c>
      <c r="B902" t="s">
        <v>2918</v>
      </c>
      <c r="C902" t="s">
        <v>2731</v>
      </c>
      <c r="D902" t="s">
        <v>2732</v>
      </c>
      <c r="G902" t="s">
        <v>2898</v>
      </c>
      <c r="H902" t="s">
        <v>2899</v>
      </c>
      <c r="I902" t="s">
        <v>2919</v>
      </c>
      <c r="L902">
        <v>1</v>
      </c>
      <c r="M902">
        <v>0</v>
      </c>
      <c r="N902" t="s">
        <v>198</v>
      </c>
      <c r="O902">
        <v>0</v>
      </c>
      <c r="P902" t="s">
        <v>198</v>
      </c>
      <c r="Q902" t="s">
        <v>757</v>
      </c>
      <c r="R902" s="3"/>
      <c r="W902" t="s">
        <v>200</v>
      </c>
      <c r="X902" s="25"/>
      <c r="Y902" s="26"/>
      <c r="Z902" s="27"/>
      <c r="AA902" t="s">
        <v>25</v>
      </c>
      <c r="AB902" t="s">
        <v>201</v>
      </c>
      <c r="AC902" s="3"/>
      <c r="AH902" t="s">
        <v>202</v>
      </c>
      <c r="AK902" t="s">
        <v>203</v>
      </c>
      <c r="AP902" t="s">
        <v>200</v>
      </c>
      <c r="AR902" s="25"/>
      <c r="AT902" s="25">
        <v>0</v>
      </c>
      <c r="AU902" s="26"/>
      <c r="AV902" s="26"/>
      <c r="AW902" s="26"/>
      <c r="AX902" s="26" t="str">
        <f t="shared" si="42"/>
        <v/>
      </c>
      <c r="AY902" t="str">
        <f t="shared" si="43"/>
        <v/>
      </c>
      <c r="AZ902" t="s">
        <v>200</v>
      </c>
      <c r="BA902" s="3"/>
      <c r="BB902" t="str">
        <f t="shared" si="44"/>
        <v>No scrap rate (No impact);</v>
      </c>
    </row>
    <row r="903" spans="1:54" x14ac:dyDescent="0.3">
      <c r="A903" t="s">
        <v>2920</v>
      </c>
      <c r="B903" t="s">
        <v>2921</v>
      </c>
      <c r="C903" t="s">
        <v>2731</v>
      </c>
      <c r="D903" t="s">
        <v>2732</v>
      </c>
      <c r="G903" t="s">
        <v>2922</v>
      </c>
      <c r="H903" t="s">
        <v>2923</v>
      </c>
      <c r="L903">
        <v>1</v>
      </c>
      <c r="M903">
        <v>1</v>
      </c>
      <c r="N903" t="s">
        <v>198</v>
      </c>
      <c r="O903">
        <v>0</v>
      </c>
      <c r="P903" t="s">
        <v>198</v>
      </c>
      <c r="Q903" t="s">
        <v>726</v>
      </c>
      <c r="R903" s="3"/>
      <c r="W903" t="s">
        <v>200</v>
      </c>
      <c r="X903" s="25"/>
      <c r="Y903" s="26"/>
      <c r="Z903" s="27"/>
      <c r="AA903" t="s">
        <v>25</v>
      </c>
      <c r="AB903" t="s">
        <v>201</v>
      </c>
      <c r="AC903" s="3"/>
      <c r="AH903" t="s">
        <v>202</v>
      </c>
      <c r="AK903" t="s">
        <v>203</v>
      </c>
      <c r="AP903" t="s">
        <v>200</v>
      </c>
      <c r="AR903" s="25"/>
      <c r="AT903" s="25">
        <v>0</v>
      </c>
      <c r="AU903" s="26"/>
      <c r="AV903" s="26"/>
      <c r="AW903" s="26"/>
      <c r="AX903" s="26" t="str">
        <f t="shared" si="42"/>
        <v/>
      </c>
      <c r="AY903" t="str">
        <f t="shared" si="43"/>
        <v/>
      </c>
      <c r="AZ903" t="s">
        <v>200</v>
      </c>
      <c r="BA903" s="3"/>
      <c r="BB903" t="str">
        <f t="shared" si="44"/>
        <v>No scrap rate (No impact);No raw material available (High);</v>
      </c>
    </row>
    <row r="904" spans="1:54" x14ac:dyDescent="0.3">
      <c r="A904" t="s">
        <v>2924</v>
      </c>
      <c r="B904" t="s">
        <v>2925</v>
      </c>
      <c r="C904" t="s">
        <v>2731</v>
      </c>
      <c r="D904" t="s">
        <v>2732</v>
      </c>
      <c r="G904" t="s">
        <v>1299</v>
      </c>
      <c r="H904" t="s">
        <v>1300</v>
      </c>
      <c r="I904" t="s">
        <v>2836</v>
      </c>
      <c r="L904">
        <v>1</v>
      </c>
      <c r="M904">
        <v>0</v>
      </c>
      <c r="N904" t="s">
        <v>198</v>
      </c>
      <c r="O904">
        <v>0</v>
      </c>
      <c r="P904" t="s">
        <v>198</v>
      </c>
      <c r="Q904" t="s">
        <v>757</v>
      </c>
      <c r="R904" s="3"/>
      <c r="W904" t="s">
        <v>200</v>
      </c>
      <c r="X904" s="25"/>
      <c r="Y904" s="26"/>
      <c r="Z904" s="27"/>
      <c r="AA904" t="s">
        <v>25</v>
      </c>
      <c r="AB904" t="s">
        <v>201</v>
      </c>
      <c r="AC904" s="3"/>
      <c r="AH904" t="s">
        <v>202</v>
      </c>
      <c r="AK904" t="s">
        <v>203</v>
      </c>
      <c r="AP904" t="s">
        <v>200</v>
      </c>
      <c r="AR904" s="25"/>
      <c r="AT904" s="25">
        <v>0</v>
      </c>
      <c r="AU904" s="26"/>
      <c r="AV904" s="26"/>
      <c r="AW904" s="26"/>
      <c r="AX904" s="26" t="str">
        <f t="shared" si="42"/>
        <v/>
      </c>
      <c r="AY904" t="str">
        <f t="shared" si="43"/>
        <v/>
      </c>
      <c r="AZ904" t="s">
        <v>200</v>
      </c>
      <c r="BA904" s="3"/>
      <c r="BB904" t="str">
        <f t="shared" si="44"/>
        <v>No scrap rate (No impact);</v>
      </c>
    </row>
    <row r="905" spans="1:54" x14ac:dyDescent="0.3">
      <c r="A905" t="s">
        <v>2926</v>
      </c>
      <c r="B905" t="s">
        <v>2927</v>
      </c>
      <c r="C905" t="s">
        <v>938</v>
      </c>
      <c r="D905" t="s">
        <v>939</v>
      </c>
      <c r="G905" t="s">
        <v>903</v>
      </c>
      <c r="H905" t="s">
        <v>361</v>
      </c>
      <c r="L905">
        <v>100</v>
      </c>
      <c r="M905">
        <v>2.2999999999999998</v>
      </c>
      <c r="N905" t="s">
        <v>198</v>
      </c>
      <c r="O905">
        <v>2.2999999999999998</v>
      </c>
      <c r="P905" t="s">
        <v>198</v>
      </c>
      <c r="Q905" t="s">
        <v>199</v>
      </c>
      <c r="R905" s="3"/>
      <c r="W905" t="s">
        <v>200</v>
      </c>
      <c r="X905" s="25"/>
      <c r="Y905" s="26"/>
      <c r="Z905" s="27"/>
      <c r="AA905" t="s">
        <v>25</v>
      </c>
      <c r="AB905" t="s">
        <v>201</v>
      </c>
      <c r="AC905" s="3"/>
      <c r="AH905" t="s">
        <v>202</v>
      </c>
      <c r="AK905" t="s">
        <v>203</v>
      </c>
      <c r="AP905" t="s">
        <v>200</v>
      </c>
      <c r="AR905" s="25"/>
      <c r="AT905" s="25">
        <v>0</v>
      </c>
      <c r="AU905" s="26"/>
      <c r="AV905" s="26"/>
      <c r="AW905" s="26"/>
      <c r="AX905" s="26" t="str">
        <f t="shared" si="42"/>
        <v/>
      </c>
      <c r="AY905" t="str">
        <f t="shared" si="43"/>
        <v/>
      </c>
      <c r="AZ905" t="s">
        <v>200</v>
      </c>
      <c r="BA905" s="3"/>
      <c r="BB905" t="str">
        <f t="shared" si="44"/>
        <v>No scrap rate (No impact);No raw material available (High);</v>
      </c>
    </row>
    <row r="906" spans="1:54" x14ac:dyDescent="0.3">
      <c r="A906" t="s">
        <v>2928</v>
      </c>
      <c r="B906" t="s">
        <v>2929</v>
      </c>
      <c r="C906" t="s">
        <v>747</v>
      </c>
      <c r="D906" t="s">
        <v>748</v>
      </c>
      <c r="G906" t="s">
        <v>903</v>
      </c>
      <c r="H906" t="s">
        <v>361</v>
      </c>
      <c r="L906">
        <v>0</v>
      </c>
      <c r="M906">
        <v>17</v>
      </c>
      <c r="N906" t="s">
        <v>198</v>
      </c>
      <c r="O906">
        <v>17</v>
      </c>
      <c r="P906" t="s">
        <v>198</v>
      </c>
      <c r="Q906" t="s">
        <v>199</v>
      </c>
      <c r="R906" s="3"/>
      <c r="W906" t="s">
        <v>200</v>
      </c>
      <c r="X906" s="25"/>
      <c r="Y906" s="26"/>
      <c r="Z906" s="27"/>
      <c r="AA906" t="s">
        <v>25</v>
      </c>
      <c r="AB906" t="s">
        <v>201</v>
      </c>
      <c r="AC906" s="3"/>
      <c r="AH906" t="s">
        <v>202</v>
      </c>
      <c r="AK906" t="s">
        <v>203</v>
      </c>
      <c r="AP906" t="s">
        <v>200</v>
      </c>
      <c r="AR906" s="25"/>
      <c r="AT906" s="25">
        <v>0</v>
      </c>
      <c r="AU906" s="26"/>
      <c r="AV906" s="26"/>
      <c r="AW906" s="26"/>
      <c r="AX906" s="26" t="str">
        <f t="shared" si="42"/>
        <v/>
      </c>
      <c r="AY906" t="str">
        <f t="shared" si="43"/>
        <v/>
      </c>
      <c r="AZ906" t="s">
        <v>200</v>
      </c>
      <c r="BA906" s="3"/>
      <c r="BB906" t="str">
        <f t="shared" si="44"/>
        <v>No scrap rate (No impact);No raw material available (High);</v>
      </c>
    </row>
    <row r="907" spans="1:54" x14ac:dyDescent="0.3">
      <c r="A907" t="s">
        <v>2930</v>
      </c>
      <c r="B907" t="s">
        <v>2931</v>
      </c>
      <c r="C907" t="s">
        <v>966</v>
      </c>
      <c r="D907" t="s">
        <v>967</v>
      </c>
      <c r="G907" t="s">
        <v>2932</v>
      </c>
      <c r="H907" t="s">
        <v>2933</v>
      </c>
      <c r="J907" t="s">
        <v>1126</v>
      </c>
      <c r="L907">
        <v>0</v>
      </c>
      <c r="M907">
        <v>8.9999999999999993E-3</v>
      </c>
      <c r="N907" t="s">
        <v>198</v>
      </c>
      <c r="O907">
        <v>8.9999999999999993E-3</v>
      </c>
      <c r="P907" t="s">
        <v>198</v>
      </c>
      <c r="Q907" t="s">
        <v>199</v>
      </c>
      <c r="R907" s="3"/>
      <c r="W907" t="s">
        <v>200</v>
      </c>
      <c r="X907" s="25"/>
      <c r="Y907" s="26"/>
      <c r="Z907" s="27"/>
      <c r="AA907" t="s">
        <v>25</v>
      </c>
      <c r="AB907" t="s">
        <v>201</v>
      </c>
      <c r="AC907" s="3"/>
      <c r="AH907" t="s">
        <v>202</v>
      </c>
      <c r="AK907" t="s">
        <v>203</v>
      </c>
      <c r="AP907" t="s">
        <v>200</v>
      </c>
      <c r="AR907" s="25"/>
      <c r="AT907" s="25">
        <v>0</v>
      </c>
      <c r="AU907" s="26"/>
      <c r="AV907" s="26"/>
      <c r="AW907" s="26"/>
      <c r="AX907" s="26" t="str">
        <f t="shared" si="42"/>
        <v/>
      </c>
      <c r="AY907" t="str">
        <f t="shared" si="43"/>
        <v/>
      </c>
      <c r="AZ907" t="s">
        <v>200</v>
      </c>
      <c r="BA907" s="3"/>
      <c r="BB907" t="str">
        <f t="shared" si="44"/>
        <v>No scrap rate (No impact);</v>
      </c>
    </row>
    <row r="908" spans="1:54" x14ac:dyDescent="0.3">
      <c r="A908" t="s">
        <v>2934</v>
      </c>
      <c r="B908" t="s">
        <v>2935</v>
      </c>
      <c r="C908" t="s">
        <v>723</v>
      </c>
      <c r="D908" t="s">
        <v>724</v>
      </c>
      <c r="G908" t="s">
        <v>346</v>
      </c>
      <c r="H908" t="s">
        <v>347</v>
      </c>
      <c r="I908" t="s">
        <v>844</v>
      </c>
      <c r="L908">
        <v>25</v>
      </c>
      <c r="M908">
        <v>1</v>
      </c>
      <c r="N908" t="s">
        <v>198</v>
      </c>
      <c r="O908">
        <v>1</v>
      </c>
      <c r="P908" t="s">
        <v>198</v>
      </c>
      <c r="Q908" t="s">
        <v>199</v>
      </c>
      <c r="R908" s="3"/>
      <c r="W908" t="s">
        <v>200</v>
      </c>
      <c r="X908" s="25"/>
      <c r="Y908" s="26"/>
      <c r="Z908" s="27"/>
      <c r="AA908" t="s">
        <v>25</v>
      </c>
      <c r="AB908" t="s">
        <v>201</v>
      </c>
      <c r="AC908" s="3"/>
      <c r="AH908" t="s">
        <v>202</v>
      </c>
      <c r="AK908" t="s">
        <v>203</v>
      </c>
      <c r="AP908" t="s">
        <v>200</v>
      </c>
      <c r="AR908" s="25"/>
      <c r="AT908" s="25">
        <v>0</v>
      </c>
      <c r="AU908" s="26"/>
      <c r="AV908" s="26"/>
      <c r="AW908" s="26"/>
      <c r="AX908" s="26" t="str">
        <f t="shared" si="42"/>
        <v/>
      </c>
      <c r="AY908" t="str">
        <f t="shared" si="43"/>
        <v/>
      </c>
      <c r="AZ908" t="s">
        <v>200</v>
      </c>
      <c r="BA908" s="3"/>
      <c r="BB908" t="str">
        <f t="shared" si="44"/>
        <v>No scrap rate (No impact);</v>
      </c>
    </row>
    <row r="909" spans="1:54" x14ac:dyDescent="0.3">
      <c r="A909" t="s">
        <v>2936</v>
      </c>
      <c r="B909" t="s">
        <v>2937</v>
      </c>
      <c r="C909" t="s">
        <v>946</v>
      </c>
      <c r="D909" t="s">
        <v>947</v>
      </c>
      <c r="G909" t="s">
        <v>1686</v>
      </c>
      <c r="H909" t="s">
        <v>1687</v>
      </c>
      <c r="J909" t="s">
        <v>926</v>
      </c>
      <c r="L909">
        <v>0</v>
      </c>
      <c r="M909">
        <v>8.9999999999999993E-3</v>
      </c>
      <c r="N909" t="s">
        <v>198</v>
      </c>
      <c r="O909">
        <v>1.4999999999999999E-2</v>
      </c>
      <c r="P909" t="s">
        <v>198</v>
      </c>
      <c r="Q909" t="s">
        <v>199</v>
      </c>
      <c r="R909" s="3"/>
      <c r="W909" t="s">
        <v>200</v>
      </c>
      <c r="X909" s="25"/>
      <c r="Y909" s="26"/>
      <c r="Z909" s="27"/>
      <c r="AA909" t="s">
        <v>25</v>
      </c>
      <c r="AB909" t="s">
        <v>201</v>
      </c>
      <c r="AC909" s="3"/>
      <c r="AH909" t="s">
        <v>202</v>
      </c>
      <c r="AK909" t="s">
        <v>203</v>
      </c>
      <c r="AP909" t="s">
        <v>200</v>
      </c>
      <c r="AR909" s="25"/>
      <c r="AT909" s="25">
        <v>0</v>
      </c>
      <c r="AU909" s="26"/>
      <c r="AV909" s="26"/>
      <c r="AW909" s="26"/>
      <c r="AX909" s="26" t="str">
        <f t="shared" si="42"/>
        <v/>
      </c>
      <c r="AY909" t="str">
        <f t="shared" si="43"/>
        <v/>
      </c>
      <c r="AZ909" t="s">
        <v>200</v>
      </c>
      <c r="BA909" s="3"/>
      <c r="BB909" t="str">
        <f t="shared" si="44"/>
        <v>No scrap rate (No impact);</v>
      </c>
    </row>
    <row r="910" spans="1:54" x14ac:dyDescent="0.3">
      <c r="A910" t="s">
        <v>2938</v>
      </c>
      <c r="B910" t="s">
        <v>2939</v>
      </c>
      <c r="C910" t="s">
        <v>966</v>
      </c>
      <c r="D910" t="s">
        <v>967</v>
      </c>
      <c r="G910" t="s">
        <v>2940</v>
      </c>
      <c r="H910" t="s">
        <v>403</v>
      </c>
      <c r="J910" t="s">
        <v>1126</v>
      </c>
      <c r="L910">
        <v>0</v>
      </c>
      <c r="M910">
        <v>1.2999999999999999E-2</v>
      </c>
      <c r="N910" t="s">
        <v>198</v>
      </c>
      <c r="O910">
        <v>2E-3</v>
      </c>
      <c r="P910" t="s">
        <v>198</v>
      </c>
      <c r="Q910" t="s">
        <v>199</v>
      </c>
      <c r="R910" s="3"/>
      <c r="W910" t="s">
        <v>200</v>
      </c>
      <c r="X910" s="25"/>
      <c r="Y910" s="26"/>
      <c r="Z910" s="27"/>
      <c r="AA910" t="s">
        <v>25</v>
      </c>
      <c r="AB910" t="s">
        <v>201</v>
      </c>
      <c r="AC910" s="3"/>
      <c r="AH910" t="s">
        <v>202</v>
      </c>
      <c r="AK910" t="s">
        <v>203</v>
      </c>
      <c r="AP910" t="s">
        <v>200</v>
      </c>
      <c r="AR910" s="25"/>
      <c r="AT910" s="25">
        <v>0</v>
      </c>
      <c r="AU910" s="26"/>
      <c r="AV910" s="26"/>
      <c r="AW910" s="26"/>
      <c r="AX910" s="26" t="str">
        <f t="shared" si="42"/>
        <v/>
      </c>
      <c r="AY910" t="str">
        <f t="shared" si="43"/>
        <v/>
      </c>
      <c r="AZ910" t="s">
        <v>200</v>
      </c>
      <c r="BA910" s="3"/>
      <c r="BB910" t="str">
        <f t="shared" si="44"/>
        <v>No scrap rate (No impact);</v>
      </c>
    </row>
    <row r="911" spans="1:54" x14ac:dyDescent="0.3">
      <c r="A911" t="s">
        <v>2941</v>
      </c>
      <c r="B911" t="s">
        <v>2942</v>
      </c>
      <c r="C911" t="s">
        <v>966</v>
      </c>
      <c r="D911" t="s">
        <v>967</v>
      </c>
      <c r="G911" t="s">
        <v>2943</v>
      </c>
      <c r="H911" t="s">
        <v>2944</v>
      </c>
      <c r="J911" t="s">
        <v>2945</v>
      </c>
      <c r="L911">
        <v>0</v>
      </c>
      <c r="M911">
        <v>1E-3</v>
      </c>
      <c r="N911" t="s">
        <v>198</v>
      </c>
      <c r="O911">
        <v>1E-3</v>
      </c>
      <c r="P911" t="s">
        <v>198</v>
      </c>
      <c r="Q911" t="s">
        <v>199</v>
      </c>
      <c r="R911" s="3"/>
      <c r="W911" t="s">
        <v>200</v>
      </c>
      <c r="X911" s="25"/>
      <c r="Y911" s="26"/>
      <c r="Z911" s="27"/>
      <c r="AA911" t="s">
        <v>25</v>
      </c>
      <c r="AB911" t="s">
        <v>201</v>
      </c>
      <c r="AC911" s="3"/>
      <c r="AH911" t="s">
        <v>202</v>
      </c>
      <c r="AK911" t="s">
        <v>203</v>
      </c>
      <c r="AP911" t="s">
        <v>200</v>
      </c>
      <c r="AR911" s="25"/>
      <c r="AT911" s="25">
        <v>0</v>
      </c>
      <c r="AU911" s="26"/>
      <c r="AV911" s="26"/>
      <c r="AW911" s="26"/>
      <c r="AX911" s="26" t="str">
        <f t="shared" si="42"/>
        <v/>
      </c>
      <c r="AY911" t="str">
        <f t="shared" si="43"/>
        <v/>
      </c>
      <c r="AZ911" t="s">
        <v>200</v>
      </c>
      <c r="BA911" s="3"/>
      <c r="BB911" t="str">
        <f t="shared" si="44"/>
        <v>No scrap rate (No impact);</v>
      </c>
    </row>
    <row r="912" spans="1:54" x14ac:dyDescent="0.3">
      <c r="A912" t="s">
        <v>2946</v>
      </c>
      <c r="B912" t="s">
        <v>2947</v>
      </c>
      <c r="C912" t="s">
        <v>1171</v>
      </c>
      <c r="D912" t="s">
        <v>1172</v>
      </c>
      <c r="G912" t="s">
        <v>2948</v>
      </c>
      <c r="H912" t="s">
        <v>2949</v>
      </c>
      <c r="J912" t="s">
        <v>1527</v>
      </c>
      <c r="L912">
        <v>0</v>
      </c>
      <c r="M912">
        <v>3.0000000000000001E-3</v>
      </c>
      <c r="N912" t="s">
        <v>198</v>
      </c>
      <c r="O912">
        <v>3.0000000000000001E-3</v>
      </c>
      <c r="P912" t="s">
        <v>198</v>
      </c>
      <c r="Q912" t="s">
        <v>199</v>
      </c>
      <c r="R912" s="3"/>
      <c r="W912" t="s">
        <v>200</v>
      </c>
      <c r="X912" s="25"/>
      <c r="Y912" s="26"/>
      <c r="Z912" s="27"/>
      <c r="AA912" t="s">
        <v>25</v>
      </c>
      <c r="AB912" t="s">
        <v>201</v>
      </c>
      <c r="AC912" s="3"/>
      <c r="AH912" t="s">
        <v>202</v>
      </c>
      <c r="AK912" t="s">
        <v>203</v>
      </c>
      <c r="AP912" t="s">
        <v>200</v>
      </c>
      <c r="AR912" s="25"/>
      <c r="AT912" s="25">
        <v>0</v>
      </c>
      <c r="AU912" s="26"/>
      <c r="AV912" s="26"/>
      <c r="AW912" s="26"/>
      <c r="AX912" s="26" t="str">
        <f t="shared" si="42"/>
        <v/>
      </c>
      <c r="AY912" t="str">
        <f t="shared" si="43"/>
        <v/>
      </c>
      <c r="AZ912" t="s">
        <v>200</v>
      </c>
      <c r="BA912" s="3"/>
      <c r="BB912" t="str">
        <f t="shared" si="44"/>
        <v>No scrap rate (No impact);</v>
      </c>
    </row>
    <row r="913" spans="1:54" x14ac:dyDescent="0.3">
      <c r="A913" t="s">
        <v>2950</v>
      </c>
      <c r="B913" t="s">
        <v>2951</v>
      </c>
      <c r="C913" t="s">
        <v>747</v>
      </c>
      <c r="D913" t="s">
        <v>748</v>
      </c>
      <c r="G913" t="s">
        <v>2952</v>
      </c>
      <c r="H913" t="s">
        <v>2953</v>
      </c>
      <c r="L913">
        <v>0</v>
      </c>
      <c r="M913">
        <v>1</v>
      </c>
      <c r="N913" t="s">
        <v>198</v>
      </c>
      <c r="O913">
        <v>1</v>
      </c>
      <c r="P913" t="s">
        <v>198</v>
      </c>
      <c r="Q913" t="s">
        <v>199</v>
      </c>
      <c r="R913" s="3"/>
      <c r="W913" t="s">
        <v>200</v>
      </c>
      <c r="X913" s="25"/>
      <c r="Y913" s="26"/>
      <c r="Z913" s="27"/>
      <c r="AA913" t="s">
        <v>25</v>
      </c>
      <c r="AB913" t="s">
        <v>201</v>
      </c>
      <c r="AC913" s="3"/>
      <c r="AH913" t="s">
        <v>202</v>
      </c>
      <c r="AK913" t="s">
        <v>203</v>
      </c>
      <c r="AP913" t="s">
        <v>200</v>
      </c>
      <c r="AR913" s="25"/>
      <c r="AT913" s="25">
        <v>0</v>
      </c>
      <c r="AU913" s="26"/>
      <c r="AV913" s="26"/>
      <c r="AW913" s="26"/>
      <c r="AX913" s="26" t="str">
        <f t="shared" si="42"/>
        <v/>
      </c>
      <c r="AY913" t="str">
        <f t="shared" si="43"/>
        <v/>
      </c>
      <c r="AZ913" t="s">
        <v>200</v>
      </c>
      <c r="BA913" s="3"/>
      <c r="BB913" t="str">
        <f t="shared" si="44"/>
        <v>No scrap rate (No impact);No raw material available (High);</v>
      </c>
    </row>
    <row r="914" spans="1:54" x14ac:dyDescent="0.3">
      <c r="A914" t="s">
        <v>2954</v>
      </c>
      <c r="B914" t="s">
        <v>2955</v>
      </c>
      <c r="C914" t="s">
        <v>1171</v>
      </c>
      <c r="D914" t="s">
        <v>1172</v>
      </c>
      <c r="G914" t="s">
        <v>2948</v>
      </c>
      <c r="H914" t="s">
        <v>2949</v>
      </c>
      <c r="J914" t="s">
        <v>1126</v>
      </c>
      <c r="L914">
        <v>0</v>
      </c>
      <c r="M914">
        <v>3.0000000000000001E-3</v>
      </c>
      <c r="N914" t="s">
        <v>198</v>
      </c>
      <c r="O914">
        <v>3.0000000000000001E-3</v>
      </c>
      <c r="P914" t="s">
        <v>198</v>
      </c>
      <c r="Q914" t="s">
        <v>199</v>
      </c>
      <c r="R914" s="3"/>
      <c r="W914" t="s">
        <v>200</v>
      </c>
      <c r="X914" s="25"/>
      <c r="Y914" s="26"/>
      <c r="Z914" s="27"/>
      <c r="AA914" t="s">
        <v>25</v>
      </c>
      <c r="AB914" t="s">
        <v>201</v>
      </c>
      <c r="AC914" s="3"/>
      <c r="AH914" t="s">
        <v>202</v>
      </c>
      <c r="AK914" t="s">
        <v>203</v>
      </c>
      <c r="AP914" t="s">
        <v>200</v>
      </c>
      <c r="AR914" s="25"/>
      <c r="AT914" s="25">
        <v>0</v>
      </c>
      <c r="AU914" s="26"/>
      <c r="AV914" s="26"/>
      <c r="AW914" s="26"/>
      <c r="AX914" s="26" t="str">
        <f t="shared" si="42"/>
        <v/>
      </c>
      <c r="AY914" t="str">
        <f t="shared" si="43"/>
        <v/>
      </c>
      <c r="AZ914" t="s">
        <v>200</v>
      </c>
      <c r="BA914" s="3"/>
      <c r="BB914" t="str">
        <f t="shared" si="44"/>
        <v>No scrap rate (No impact);</v>
      </c>
    </row>
    <row r="915" spans="1:54" x14ac:dyDescent="0.3">
      <c r="A915" t="s">
        <v>2956</v>
      </c>
      <c r="B915" t="s">
        <v>2957</v>
      </c>
      <c r="C915" t="s">
        <v>913</v>
      </c>
      <c r="D915" t="s">
        <v>914</v>
      </c>
      <c r="G915" t="s">
        <v>2958</v>
      </c>
      <c r="H915" t="s">
        <v>2959</v>
      </c>
      <c r="L915">
        <v>0</v>
      </c>
      <c r="M915">
        <v>1E-3</v>
      </c>
      <c r="N915" t="s">
        <v>198</v>
      </c>
      <c r="O915">
        <v>1E-3</v>
      </c>
      <c r="P915" t="s">
        <v>198</v>
      </c>
      <c r="Q915" t="s">
        <v>199</v>
      </c>
      <c r="R915" s="3"/>
      <c r="W915" t="s">
        <v>200</v>
      </c>
      <c r="X915" s="25"/>
      <c r="Y915" s="26"/>
      <c r="Z915" s="27"/>
      <c r="AA915" t="s">
        <v>25</v>
      </c>
      <c r="AB915" t="s">
        <v>201</v>
      </c>
      <c r="AC915" s="3"/>
      <c r="AH915" t="s">
        <v>202</v>
      </c>
      <c r="AK915" t="s">
        <v>203</v>
      </c>
      <c r="AP915" t="s">
        <v>200</v>
      </c>
      <c r="AR915" s="25"/>
      <c r="AT915" s="25">
        <v>0</v>
      </c>
      <c r="AU915" s="26"/>
      <c r="AV915" s="26"/>
      <c r="AW915" s="26"/>
      <c r="AX915" s="26" t="str">
        <f t="shared" si="42"/>
        <v/>
      </c>
      <c r="AY915" t="str">
        <f t="shared" si="43"/>
        <v/>
      </c>
      <c r="AZ915" t="s">
        <v>200</v>
      </c>
      <c r="BA915" s="3"/>
      <c r="BB915" t="str">
        <f t="shared" si="44"/>
        <v>No scrap rate (No impact);No raw material available (High);</v>
      </c>
    </row>
    <row r="916" spans="1:54" x14ac:dyDescent="0.3">
      <c r="A916" t="s">
        <v>2960</v>
      </c>
      <c r="B916" t="s">
        <v>2961</v>
      </c>
      <c r="C916" t="s">
        <v>938</v>
      </c>
      <c r="D916" t="s">
        <v>939</v>
      </c>
      <c r="G916" t="s">
        <v>1024</v>
      </c>
      <c r="H916" t="s">
        <v>1025</v>
      </c>
      <c r="L916">
        <v>3840</v>
      </c>
      <c r="M916">
        <v>2.8000000000000001E-2</v>
      </c>
      <c r="N916" t="s">
        <v>198</v>
      </c>
      <c r="O916">
        <v>2.8000000000000001E-2</v>
      </c>
      <c r="P916" t="s">
        <v>198</v>
      </c>
      <c r="Q916" t="s">
        <v>199</v>
      </c>
      <c r="R916" s="3"/>
      <c r="W916" t="s">
        <v>200</v>
      </c>
      <c r="X916" s="25"/>
      <c r="Y916" s="26"/>
      <c r="Z916" s="27"/>
      <c r="AA916" t="s">
        <v>25</v>
      </c>
      <c r="AB916" t="s">
        <v>201</v>
      </c>
      <c r="AC916" s="3"/>
      <c r="AH916" t="s">
        <v>202</v>
      </c>
      <c r="AK916" t="s">
        <v>203</v>
      </c>
      <c r="AP916" t="s">
        <v>200</v>
      </c>
      <c r="AR916" s="25"/>
      <c r="AT916" s="25">
        <v>0</v>
      </c>
      <c r="AU916" s="26"/>
      <c r="AV916" s="26"/>
      <c r="AW916" s="26"/>
      <c r="AX916" s="26" t="str">
        <f t="shared" si="42"/>
        <v/>
      </c>
      <c r="AY916" t="str">
        <f t="shared" si="43"/>
        <v/>
      </c>
      <c r="AZ916" t="s">
        <v>200</v>
      </c>
      <c r="BA916" s="3"/>
      <c r="BB916" t="str">
        <f t="shared" si="44"/>
        <v>No scrap rate (No impact);No raw material available (High);</v>
      </c>
    </row>
    <row r="917" spans="1:54" x14ac:dyDescent="0.3">
      <c r="A917" t="s">
        <v>2962</v>
      </c>
      <c r="B917" t="s">
        <v>2963</v>
      </c>
      <c r="C917" t="s">
        <v>1256</v>
      </c>
      <c r="D917" t="s">
        <v>1257</v>
      </c>
      <c r="G917" t="s">
        <v>903</v>
      </c>
      <c r="H917" t="s">
        <v>361</v>
      </c>
      <c r="L917">
        <v>0</v>
      </c>
      <c r="M917">
        <v>2E-3</v>
      </c>
      <c r="N917" t="s">
        <v>198</v>
      </c>
      <c r="O917">
        <v>2E-3</v>
      </c>
      <c r="P917" t="s">
        <v>198</v>
      </c>
      <c r="Q917" t="s">
        <v>199</v>
      </c>
      <c r="R917" s="3"/>
      <c r="W917" t="s">
        <v>200</v>
      </c>
      <c r="X917" s="25"/>
      <c r="Y917" s="26"/>
      <c r="Z917" s="27"/>
      <c r="AA917" t="s">
        <v>25</v>
      </c>
      <c r="AB917" t="s">
        <v>201</v>
      </c>
      <c r="AC917" s="3"/>
      <c r="AH917" t="s">
        <v>202</v>
      </c>
      <c r="AK917" t="s">
        <v>203</v>
      </c>
      <c r="AP917" t="s">
        <v>200</v>
      </c>
      <c r="AR917" s="25"/>
      <c r="AT917" s="25">
        <v>0</v>
      </c>
      <c r="AU917" s="26"/>
      <c r="AV917" s="26"/>
      <c r="AW917" s="26"/>
      <c r="AX917" s="26" t="str">
        <f t="shared" si="42"/>
        <v/>
      </c>
      <c r="AY917" t="str">
        <f t="shared" si="43"/>
        <v/>
      </c>
      <c r="AZ917" t="s">
        <v>200</v>
      </c>
      <c r="BA917" s="3"/>
      <c r="BB917" t="str">
        <f t="shared" si="44"/>
        <v>No scrap rate (No impact);No raw material available (High);</v>
      </c>
    </row>
    <row r="918" spans="1:54" x14ac:dyDescent="0.3">
      <c r="A918" t="s">
        <v>2964</v>
      </c>
      <c r="B918" t="s">
        <v>2965</v>
      </c>
      <c r="C918" t="s">
        <v>938</v>
      </c>
      <c r="D918" t="s">
        <v>939</v>
      </c>
      <c r="G918" t="s">
        <v>2966</v>
      </c>
      <c r="H918" t="s">
        <v>2967</v>
      </c>
      <c r="L918">
        <v>800</v>
      </c>
      <c r="M918">
        <v>6.5000000000000002E-2</v>
      </c>
      <c r="N918" t="s">
        <v>198</v>
      </c>
      <c r="O918">
        <v>6.5000000000000002E-2</v>
      </c>
      <c r="P918" t="s">
        <v>198</v>
      </c>
      <c r="Q918" t="s">
        <v>199</v>
      </c>
      <c r="R918" s="3"/>
      <c r="W918" t="s">
        <v>200</v>
      </c>
      <c r="X918" s="25"/>
      <c r="Y918" s="26"/>
      <c r="Z918" s="27"/>
      <c r="AA918" t="s">
        <v>25</v>
      </c>
      <c r="AB918" t="s">
        <v>201</v>
      </c>
      <c r="AC918" s="3"/>
      <c r="AH918" t="s">
        <v>202</v>
      </c>
      <c r="AK918" t="s">
        <v>203</v>
      </c>
      <c r="AP918" t="s">
        <v>200</v>
      </c>
      <c r="AR918" s="25"/>
      <c r="AT918" s="25">
        <v>0</v>
      </c>
      <c r="AU918" s="26"/>
      <c r="AV918" s="26"/>
      <c r="AW918" s="26"/>
      <c r="AX918" s="26" t="str">
        <f t="shared" si="42"/>
        <v/>
      </c>
      <c r="AY918" t="str">
        <f t="shared" si="43"/>
        <v/>
      </c>
      <c r="AZ918" t="s">
        <v>200</v>
      </c>
      <c r="BA918" s="3"/>
      <c r="BB918" t="str">
        <f t="shared" si="44"/>
        <v>No scrap rate (No impact);No raw material available (High);</v>
      </c>
    </row>
    <row r="919" spans="1:54" x14ac:dyDescent="0.3">
      <c r="A919" t="s">
        <v>2968</v>
      </c>
      <c r="B919" t="s">
        <v>2963</v>
      </c>
      <c r="C919" t="s">
        <v>1256</v>
      </c>
      <c r="D919" t="s">
        <v>1257</v>
      </c>
      <c r="G919" t="s">
        <v>903</v>
      </c>
      <c r="H919" t="s">
        <v>361</v>
      </c>
      <c r="J919" t="s">
        <v>1590</v>
      </c>
      <c r="L919">
        <v>0</v>
      </c>
      <c r="M919">
        <v>2E-3</v>
      </c>
      <c r="N919" t="s">
        <v>198</v>
      </c>
      <c r="O919">
        <v>0</v>
      </c>
      <c r="P919" t="s">
        <v>198</v>
      </c>
      <c r="Q919" t="s">
        <v>199</v>
      </c>
      <c r="R919" s="3"/>
      <c r="W919" t="s">
        <v>200</v>
      </c>
      <c r="X919" s="25"/>
      <c r="Y919" s="26"/>
      <c r="Z919" s="27"/>
      <c r="AA919" t="s">
        <v>25</v>
      </c>
      <c r="AB919" t="s">
        <v>201</v>
      </c>
      <c r="AC919" s="3"/>
      <c r="AH919" t="s">
        <v>202</v>
      </c>
      <c r="AK919" t="s">
        <v>203</v>
      </c>
      <c r="AP919" t="s">
        <v>200</v>
      </c>
      <c r="AR919" s="25"/>
      <c r="AT919" s="25">
        <v>0</v>
      </c>
      <c r="AU919" s="26"/>
      <c r="AV919" s="26"/>
      <c r="AW919" s="26"/>
      <c r="AX919" s="26" t="str">
        <f t="shared" si="42"/>
        <v/>
      </c>
      <c r="AY919" t="str">
        <f t="shared" si="43"/>
        <v/>
      </c>
      <c r="AZ919" t="s">
        <v>200</v>
      </c>
      <c r="BA919" s="3"/>
      <c r="BB919" t="str">
        <f t="shared" si="44"/>
        <v>No scrap rate (No impact);</v>
      </c>
    </row>
    <row r="920" spans="1:54" x14ac:dyDescent="0.3">
      <c r="A920" t="s">
        <v>2969</v>
      </c>
      <c r="B920" t="s">
        <v>2970</v>
      </c>
      <c r="C920" t="s">
        <v>747</v>
      </c>
      <c r="D920" t="s">
        <v>748</v>
      </c>
      <c r="G920" t="s">
        <v>2952</v>
      </c>
      <c r="H920" t="s">
        <v>2953</v>
      </c>
      <c r="L920">
        <v>0</v>
      </c>
      <c r="M920">
        <v>20</v>
      </c>
      <c r="N920" t="s">
        <v>198</v>
      </c>
      <c r="O920">
        <v>20</v>
      </c>
      <c r="P920" t="s">
        <v>198</v>
      </c>
      <c r="Q920" t="s">
        <v>199</v>
      </c>
      <c r="R920" s="3"/>
      <c r="W920" t="s">
        <v>200</v>
      </c>
      <c r="X920" s="25"/>
      <c r="Y920" s="26"/>
      <c r="Z920" s="27"/>
      <c r="AA920" t="s">
        <v>25</v>
      </c>
      <c r="AB920" t="s">
        <v>201</v>
      </c>
      <c r="AC920" s="3"/>
      <c r="AH920" t="s">
        <v>202</v>
      </c>
      <c r="AK920" t="s">
        <v>203</v>
      </c>
      <c r="AP920" t="s">
        <v>200</v>
      </c>
      <c r="AR920" s="25"/>
      <c r="AT920" s="25">
        <v>0</v>
      </c>
      <c r="AU920" s="26"/>
      <c r="AV920" s="26"/>
      <c r="AW920" s="26"/>
      <c r="AX920" s="26" t="str">
        <f t="shared" si="42"/>
        <v/>
      </c>
      <c r="AY920" t="str">
        <f t="shared" si="43"/>
        <v/>
      </c>
      <c r="AZ920" t="s">
        <v>200</v>
      </c>
      <c r="BA920" s="3"/>
      <c r="BB920" t="str">
        <f t="shared" si="44"/>
        <v>No scrap rate (No impact);No raw material available (High);</v>
      </c>
    </row>
    <row r="921" spans="1:54" x14ac:dyDescent="0.3">
      <c r="A921" t="s">
        <v>2971</v>
      </c>
      <c r="B921" t="s">
        <v>2972</v>
      </c>
      <c r="C921" t="s">
        <v>946</v>
      </c>
      <c r="D921" t="s">
        <v>947</v>
      </c>
      <c r="G921" t="s">
        <v>903</v>
      </c>
      <c r="H921" t="s">
        <v>361</v>
      </c>
      <c r="J921" t="s">
        <v>926</v>
      </c>
      <c r="L921">
        <v>0</v>
      </c>
      <c r="M921">
        <v>0.183</v>
      </c>
      <c r="N921" t="s">
        <v>198</v>
      </c>
      <c r="O921">
        <v>0.183</v>
      </c>
      <c r="P921" t="s">
        <v>198</v>
      </c>
      <c r="Q921" t="s">
        <v>199</v>
      </c>
      <c r="R921" s="3"/>
      <c r="W921" t="s">
        <v>200</v>
      </c>
      <c r="X921" s="25"/>
      <c r="Y921" s="26"/>
      <c r="Z921" s="27"/>
      <c r="AA921" t="s">
        <v>25</v>
      </c>
      <c r="AB921" t="s">
        <v>201</v>
      </c>
      <c r="AC921" s="3"/>
      <c r="AH921" t="s">
        <v>202</v>
      </c>
      <c r="AK921" t="s">
        <v>203</v>
      </c>
      <c r="AP921" t="s">
        <v>200</v>
      </c>
      <c r="AR921" s="25"/>
      <c r="AT921" s="25">
        <v>0</v>
      </c>
      <c r="AU921" s="26"/>
      <c r="AV921" s="26"/>
      <c r="AW921" s="26"/>
      <c r="AX921" s="26" t="str">
        <f t="shared" si="42"/>
        <v/>
      </c>
      <c r="AY921" t="str">
        <f t="shared" si="43"/>
        <v/>
      </c>
      <c r="AZ921" t="s">
        <v>200</v>
      </c>
      <c r="BA921" s="3"/>
      <c r="BB921" t="str">
        <f t="shared" si="44"/>
        <v>No scrap rate (No impact);</v>
      </c>
    </row>
    <row r="922" spans="1:54" x14ac:dyDescent="0.3">
      <c r="A922" t="s">
        <v>2973</v>
      </c>
      <c r="B922" t="s">
        <v>2974</v>
      </c>
      <c r="C922" t="s">
        <v>938</v>
      </c>
      <c r="D922" t="s">
        <v>939</v>
      </c>
      <c r="G922" t="s">
        <v>1024</v>
      </c>
      <c r="H922" t="s">
        <v>1025</v>
      </c>
      <c r="L922">
        <v>0</v>
      </c>
      <c r="M922">
        <v>2.8000000000000001E-2</v>
      </c>
      <c r="N922" t="s">
        <v>198</v>
      </c>
      <c r="O922">
        <v>2.8000000000000001E-2</v>
      </c>
      <c r="P922" t="s">
        <v>198</v>
      </c>
      <c r="Q922" t="s">
        <v>199</v>
      </c>
      <c r="R922" s="3"/>
      <c r="W922" t="s">
        <v>200</v>
      </c>
      <c r="X922" s="25"/>
      <c r="Y922" s="26"/>
      <c r="Z922" s="27"/>
      <c r="AA922" t="s">
        <v>25</v>
      </c>
      <c r="AB922" t="s">
        <v>201</v>
      </c>
      <c r="AC922" s="3"/>
      <c r="AH922" t="s">
        <v>202</v>
      </c>
      <c r="AK922" t="s">
        <v>203</v>
      </c>
      <c r="AP922" t="s">
        <v>200</v>
      </c>
      <c r="AR922" s="25"/>
      <c r="AT922" s="25">
        <v>0</v>
      </c>
      <c r="AU922" s="26"/>
      <c r="AV922" s="26"/>
      <c r="AW922" s="26"/>
      <c r="AX922" s="26" t="str">
        <f t="shared" si="42"/>
        <v/>
      </c>
      <c r="AY922" t="str">
        <f t="shared" si="43"/>
        <v/>
      </c>
      <c r="AZ922" t="s">
        <v>200</v>
      </c>
      <c r="BA922" s="3"/>
      <c r="BB922" t="str">
        <f t="shared" si="44"/>
        <v>No scrap rate (No impact);No raw material available (High);</v>
      </c>
    </row>
    <row r="923" spans="1:54" x14ac:dyDescent="0.3">
      <c r="A923" t="s">
        <v>2975</v>
      </c>
      <c r="B923" t="s">
        <v>2976</v>
      </c>
      <c r="C923" t="s">
        <v>938</v>
      </c>
      <c r="D923" t="s">
        <v>939</v>
      </c>
      <c r="G923" t="s">
        <v>1155</v>
      </c>
      <c r="H923" t="s">
        <v>1156</v>
      </c>
      <c r="L923">
        <v>37500</v>
      </c>
      <c r="M923">
        <v>4.0000000000000001E-3</v>
      </c>
      <c r="N923" t="s">
        <v>198</v>
      </c>
      <c r="O923">
        <v>4.0000000000000001E-3</v>
      </c>
      <c r="P923" t="s">
        <v>198</v>
      </c>
      <c r="Q923" t="s">
        <v>199</v>
      </c>
      <c r="R923" s="3"/>
      <c r="W923" t="s">
        <v>200</v>
      </c>
      <c r="X923" s="25"/>
      <c r="Y923" s="26"/>
      <c r="Z923" s="27"/>
      <c r="AA923" t="s">
        <v>25</v>
      </c>
      <c r="AB923" t="s">
        <v>201</v>
      </c>
      <c r="AC923" s="3"/>
      <c r="AH923" t="s">
        <v>202</v>
      </c>
      <c r="AK923" t="s">
        <v>203</v>
      </c>
      <c r="AP923" t="s">
        <v>200</v>
      </c>
      <c r="AR923" s="25"/>
      <c r="AT923" s="25">
        <v>0</v>
      </c>
      <c r="AU923" s="26"/>
      <c r="AV923" s="26"/>
      <c r="AW923" s="26"/>
      <c r="AX923" s="26" t="str">
        <f t="shared" si="42"/>
        <v/>
      </c>
      <c r="AY923" t="str">
        <f t="shared" si="43"/>
        <v/>
      </c>
      <c r="AZ923" t="s">
        <v>200</v>
      </c>
      <c r="BA923" s="3"/>
      <c r="BB923" t="str">
        <f t="shared" si="44"/>
        <v>No scrap rate (No impact);No raw material available (High);</v>
      </c>
    </row>
    <row r="924" spans="1:54" x14ac:dyDescent="0.3">
      <c r="A924" t="s">
        <v>2977</v>
      </c>
      <c r="B924" t="s">
        <v>2978</v>
      </c>
      <c r="C924" t="s">
        <v>995</v>
      </c>
      <c r="D924" t="s">
        <v>996</v>
      </c>
      <c r="G924" t="s">
        <v>1155</v>
      </c>
      <c r="H924" t="s">
        <v>1156</v>
      </c>
      <c r="J924" t="s">
        <v>1046</v>
      </c>
      <c r="L924">
        <v>25000</v>
      </c>
      <c r="M924">
        <v>7.0000000000000001E-3</v>
      </c>
      <c r="N924" t="s">
        <v>198</v>
      </c>
      <c r="O924">
        <v>1.2E-2</v>
      </c>
      <c r="P924" t="s">
        <v>198</v>
      </c>
      <c r="Q924" t="s">
        <v>199</v>
      </c>
      <c r="R924" s="3"/>
      <c r="W924" t="s">
        <v>200</v>
      </c>
      <c r="X924" s="25"/>
      <c r="Y924" s="26"/>
      <c r="Z924" s="27"/>
      <c r="AA924" t="s">
        <v>25</v>
      </c>
      <c r="AB924" t="s">
        <v>201</v>
      </c>
      <c r="AC924" s="3"/>
      <c r="AH924" t="s">
        <v>202</v>
      </c>
      <c r="AK924" t="s">
        <v>203</v>
      </c>
      <c r="AP924" t="s">
        <v>200</v>
      </c>
      <c r="AR924" s="25"/>
      <c r="AT924" s="25">
        <v>0</v>
      </c>
      <c r="AU924" s="26"/>
      <c r="AV924" s="26"/>
      <c r="AW924" s="26"/>
      <c r="AX924" s="26" t="str">
        <f t="shared" si="42"/>
        <v/>
      </c>
      <c r="AY924" t="str">
        <f t="shared" si="43"/>
        <v/>
      </c>
      <c r="AZ924" t="s">
        <v>200</v>
      </c>
      <c r="BA924" s="3"/>
      <c r="BB924" t="str">
        <f t="shared" si="44"/>
        <v>No scrap rate (No impact);</v>
      </c>
    </row>
    <row r="925" spans="1:54" x14ac:dyDescent="0.3">
      <c r="A925" t="s">
        <v>2979</v>
      </c>
      <c r="B925" t="s">
        <v>2980</v>
      </c>
      <c r="C925" t="s">
        <v>966</v>
      </c>
      <c r="D925" t="s">
        <v>967</v>
      </c>
      <c r="G925" t="s">
        <v>529</v>
      </c>
      <c r="H925" t="s">
        <v>530</v>
      </c>
      <c r="J925" t="s">
        <v>1590</v>
      </c>
      <c r="L925">
        <v>0</v>
      </c>
      <c r="M925">
        <v>7.8E-2</v>
      </c>
      <c r="N925" t="s">
        <v>198</v>
      </c>
      <c r="O925">
        <v>7.8E-2</v>
      </c>
      <c r="P925" t="s">
        <v>198</v>
      </c>
      <c r="Q925" t="s">
        <v>199</v>
      </c>
      <c r="R925" s="3"/>
      <c r="W925" t="s">
        <v>200</v>
      </c>
      <c r="X925" s="25"/>
      <c r="Y925" s="26"/>
      <c r="Z925" s="27"/>
      <c r="AA925" t="s">
        <v>25</v>
      </c>
      <c r="AB925" t="s">
        <v>201</v>
      </c>
      <c r="AC925" s="3"/>
      <c r="AH925" t="s">
        <v>202</v>
      </c>
      <c r="AK925" t="s">
        <v>203</v>
      </c>
      <c r="AP925" t="s">
        <v>200</v>
      </c>
      <c r="AR925" s="25"/>
      <c r="AT925" s="25">
        <v>0</v>
      </c>
      <c r="AU925" s="26"/>
      <c r="AV925" s="26"/>
      <c r="AW925" s="26"/>
      <c r="AX925" s="26" t="str">
        <f t="shared" si="42"/>
        <v/>
      </c>
      <c r="AY925" t="str">
        <f t="shared" si="43"/>
        <v/>
      </c>
      <c r="AZ925" t="s">
        <v>200</v>
      </c>
      <c r="BA925" s="3"/>
      <c r="BB925" t="str">
        <f t="shared" si="44"/>
        <v>No scrap rate (No impact);</v>
      </c>
    </row>
    <row r="926" spans="1:54" x14ac:dyDescent="0.3">
      <c r="A926" t="s">
        <v>2981</v>
      </c>
      <c r="B926" t="s">
        <v>2982</v>
      </c>
      <c r="C926" t="s">
        <v>946</v>
      </c>
      <c r="D926" t="s">
        <v>947</v>
      </c>
      <c r="L926">
        <v>0</v>
      </c>
      <c r="M926">
        <v>0.29899999999999999</v>
      </c>
      <c r="N926" t="s">
        <v>198</v>
      </c>
      <c r="O926">
        <v>0.2</v>
      </c>
      <c r="P926" t="s">
        <v>198</v>
      </c>
      <c r="Q926" t="s">
        <v>199</v>
      </c>
      <c r="R926" s="3"/>
      <c r="W926" t="s">
        <v>200</v>
      </c>
      <c r="X926" s="25"/>
      <c r="Y926" s="26"/>
      <c r="Z926" s="27"/>
      <c r="AA926" t="s">
        <v>25</v>
      </c>
      <c r="AB926" t="s">
        <v>201</v>
      </c>
      <c r="AC926" s="3"/>
      <c r="AH926" t="s">
        <v>202</v>
      </c>
      <c r="AK926" t="s">
        <v>203</v>
      </c>
      <c r="AP926" t="s">
        <v>200</v>
      </c>
      <c r="AR926" s="25"/>
      <c r="AT926" s="25">
        <v>0</v>
      </c>
      <c r="AU926" s="26"/>
      <c r="AV926" s="26"/>
      <c r="AW926" s="26"/>
      <c r="AX926" s="26" t="str">
        <f t="shared" si="42"/>
        <v/>
      </c>
      <c r="AY926" t="str">
        <f t="shared" si="43"/>
        <v/>
      </c>
      <c r="AZ926" t="s">
        <v>200</v>
      </c>
      <c r="BA926" s="3"/>
      <c r="BB926" t="str">
        <f t="shared" si="44"/>
        <v>Supplier code empty (High);No scrap rate (No impact);No raw material available (High);</v>
      </c>
    </row>
    <row r="927" spans="1:54" x14ac:dyDescent="0.3">
      <c r="A927" t="s">
        <v>2983</v>
      </c>
      <c r="B927" t="s">
        <v>2984</v>
      </c>
      <c r="C927" t="s">
        <v>966</v>
      </c>
      <c r="D927" t="s">
        <v>967</v>
      </c>
      <c r="G927" t="s">
        <v>2932</v>
      </c>
      <c r="H927" t="s">
        <v>2933</v>
      </c>
      <c r="J927" t="s">
        <v>2945</v>
      </c>
      <c r="L927">
        <v>0</v>
      </c>
      <c r="M927">
        <v>1.4999999999999999E-2</v>
      </c>
      <c r="N927" t="s">
        <v>198</v>
      </c>
      <c r="O927">
        <v>1.4999999999999999E-2</v>
      </c>
      <c r="P927" t="s">
        <v>198</v>
      </c>
      <c r="Q927" t="s">
        <v>199</v>
      </c>
      <c r="R927" s="3"/>
      <c r="W927" t="s">
        <v>200</v>
      </c>
      <c r="X927" s="25"/>
      <c r="Y927" s="26"/>
      <c r="Z927" s="27"/>
      <c r="AA927" t="s">
        <v>25</v>
      </c>
      <c r="AB927" t="s">
        <v>201</v>
      </c>
      <c r="AC927" s="3"/>
      <c r="AH927" t="s">
        <v>202</v>
      </c>
      <c r="AK927" t="s">
        <v>203</v>
      </c>
      <c r="AP927" t="s">
        <v>200</v>
      </c>
      <c r="AR927" s="25"/>
      <c r="AT927" s="25">
        <v>0</v>
      </c>
      <c r="AU927" s="26"/>
      <c r="AV927" s="26"/>
      <c r="AW927" s="26"/>
      <c r="AX927" s="26" t="str">
        <f t="shared" si="42"/>
        <v/>
      </c>
      <c r="AY927" t="str">
        <f t="shared" si="43"/>
        <v/>
      </c>
      <c r="AZ927" t="s">
        <v>200</v>
      </c>
      <c r="BA927" s="3"/>
      <c r="BB927" t="str">
        <f t="shared" si="44"/>
        <v>No scrap rate (No impact);</v>
      </c>
    </row>
    <row r="928" spans="1:54" x14ac:dyDescent="0.3">
      <c r="A928" t="s">
        <v>2985</v>
      </c>
      <c r="B928" t="s">
        <v>2986</v>
      </c>
      <c r="C928" t="s">
        <v>966</v>
      </c>
      <c r="D928" t="s">
        <v>967</v>
      </c>
      <c r="J928" t="s">
        <v>1527</v>
      </c>
      <c r="L928">
        <v>0</v>
      </c>
      <c r="M928">
        <v>0</v>
      </c>
      <c r="N928" t="s">
        <v>198</v>
      </c>
      <c r="O928">
        <v>0</v>
      </c>
      <c r="P928" t="s">
        <v>198</v>
      </c>
      <c r="Q928" t="s">
        <v>199</v>
      </c>
      <c r="R928" s="3"/>
      <c r="W928" t="s">
        <v>200</v>
      </c>
      <c r="X928" s="25"/>
      <c r="Y928" s="26"/>
      <c r="Z928" s="27"/>
      <c r="AA928" t="s">
        <v>25</v>
      </c>
      <c r="AB928" t="s">
        <v>201</v>
      </c>
      <c r="AC928" s="3"/>
      <c r="AH928" t="s">
        <v>202</v>
      </c>
      <c r="AK928" t="s">
        <v>203</v>
      </c>
      <c r="AP928" t="s">
        <v>200</v>
      </c>
      <c r="AR928" s="25"/>
      <c r="AT928" s="25">
        <v>0</v>
      </c>
      <c r="AU928" s="26"/>
      <c r="AV928" s="26"/>
      <c r="AW928" s="26"/>
      <c r="AX928" s="26" t="str">
        <f t="shared" si="42"/>
        <v/>
      </c>
      <c r="AY928" t="str">
        <f t="shared" si="43"/>
        <v/>
      </c>
      <c r="AZ928" t="s">
        <v>200</v>
      </c>
      <c r="BA928" s="3"/>
      <c r="BB928" t="str">
        <f t="shared" si="44"/>
        <v>Supplier code empty (High);No scrap rate (No impact);</v>
      </c>
    </row>
    <row r="929" spans="1:54" x14ac:dyDescent="0.3">
      <c r="A929" t="s">
        <v>2987</v>
      </c>
      <c r="B929" t="s">
        <v>2988</v>
      </c>
      <c r="C929" t="s">
        <v>946</v>
      </c>
      <c r="D929" t="s">
        <v>947</v>
      </c>
      <c r="G929" t="s">
        <v>1686</v>
      </c>
      <c r="H929" t="s">
        <v>1687</v>
      </c>
      <c r="L929">
        <v>0</v>
      </c>
      <c r="M929">
        <v>0.02</v>
      </c>
      <c r="N929" t="s">
        <v>198</v>
      </c>
      <c r="O929">
        <v>0.02</v>
      </c>
      <c r="P929" t="s">
        <v>198</v>
      </c>
      <c r="Q929" t="s">
        <v>199</v>
      </c>
      <c r="R929" s="3"/>
      <c r="W929" t="s">
        <v>200</v>
      </c>
      <c r="X929" s="25"/>
      <c r="Y929" s="26"/>
      <c r="Z929" s="27"/>
      <c r="AA929" t="s">
        <v>25</v>
      </c>
      <c r="AB929" t="s">
        <v>201</v>
      </c>
      <c r="AC929" s="3"/>
      <c r="AH929" t="s">
        <v>202</v>
      </c>
      <c r="AK929" t="s">
        <v>203</v>
      </c>
      <c r="AP929" t="s">
        <v>200</v>
      </c>
      <c r="AR929" s="25"/>
      <c r="AT929" s="25">
        <v>0</v>
      </c>
      <c r="AU929" s="26"/>
      <c r="AV929" s="26"/>
      <c r="AW929" s="26"/>
      <c r="AX929" s="26" t="str">
        <f t="shared" si="42"/>
        <v/>
      </c>
      <c r="AY929" t="str">
        <f t="shared" si="43"/>
        <v/>
      </c>
      <c r="AZ929" t="s">
        <v>200</v>
      </c>
      <c r="BA929" s="3"/>
      <c r="BB929" t="str">
        <f t="shared" si="44"/>
        <v>No scrap rate (No impact);No raw material available (High);</v>
      </c>
    </row>
    <row r="930" spans="1:54" x14ac:dyDescent="0.3">
      <c r="A930" t="s">
        <v>2989</v>
      </c>
      <c r="B930" t="s">
        <v>2990</v>
      </c>
      <c r="C930" t="s">
        <v>2731</v>
      </c>
      <c r="D930" t="s">
        <v>2732</v>
      </c>
      <c r="G930" t="s">
        <v>2863</v>
      </c>
      <c r="H930" t="s">
        <v>2864</v>
      </c>
      <c r="I930" t="s">
        <v>2991</v>
      </c>
      <c r="L930">
        <v>1</v>
      </c>
      <c r="M930">
        <v>1</v>
      </c>
      <c r="N930" t="s">
        <v>198</v>
      </c>
      <c r="O930">
        <v>197</v>
      </c>
      <c r="P930" t="s">
        <v>198</v>
      </c>
      <c r="Q930" t="s">
        <v>199</v>
      </c>
      <c r="R930" s="3"/>
      <c r="W930" t="s">
        <v>200</v>
      </c>
      <c r="X930" s="25"/>
      <c r="Y930" s="26"/>
      <c r="Z930" s="27"/>
      <c r="AA930" t="s">
        <v>25</v>
      </c>
      <c r="AB930" t="s">
        <v>201</v>
      </c>
      <c r="AC930" s="3"/>
      <c r="AH930" t="s">
        <v>202</v>
      </c>
      <c r="AK930" t="s">
        <v>203</v>
      </c>
      <c r="AP930" t="s">
        <v>200</v>
      </c>
      <c r="AR930" s="25"/>
      <c r="AT930" s="25">
        <v>0</v>
      </c>
      <c r="AU930" s="26"/>
      <c r="AV930" s="26"/>
      <c r="AW930" s="26"/>
      <c r="AX930" s="26" t="str">
        <f t="shared" si="42"/>
        <v/>
      </c>
      <c r="AY930" t="str">
        <f t="shared" si="43"/>
        <v/>
      </c>
      <c r="AZ930" t="s">
        <v>200</v>
      </c>
      <c r="BA930" s="3"/>
      <c r="BB930" t="str">
        <f t="shared" si="44"/>
        <v>No scrap rate (No impact);</v>
      </c>
    </row>
    <row r="931" spans="1:54" x14ac:dyDescent="0.3">
      <c r="A931" t="s">
        <v>2992</v>
      </c>
      <c r="B931" t="s">
        <v>2993</v>
      </c>
      <c r="C931" t="s">
        <v>2731</v>
      </c>
      <c r="D931" t="s">
        <v>2732</v>
      </c>
      <c r="G931" t="s">
        <v>2863</v>
      </c>
      <c r="H931" t="s">
        <v>2864</v>
      </c>
      <c r="I931" t="s">
        <v>2991</v>
      </c>
      <c r="L931">
        <v>0</v>
      </c>
      <c r="M931">
        <v>0</v>
      </c>
      <c r="N931" t="s">
        <v>198</v>
      </c>
      <c r="O931">
        <v>0</v>
      </c>
      <c r="P931" t="s">
        <v>198</v>
      </c>
      <c r="R931" s="3"/>
      <c r="W931" t="s">
        <v>200</v>
      </c>
      <c r="X931" s="25"/>
      <c r="Y931" s="26"/>
      <c r="Z931" s="27"/>
      <c r="AA931" t="s">
        <v>25</v>
      </c>
      <c r="AB931" t="s">
        <v>201</v>
      </c>
      <c r="AC931" s="3"/>
      <c r="AH931" t="s">
        <v>202</v>
      </c>
      <c r="AK931" t="s">
        <v>203</v>
      </c>
      <c r="AP931" t="s">
        <v>200</v>
      </c>
      <c r="AR931" s="25"/>
      <c r="AT931" s="25">
        <v>0</v>
      </c>
      <c r="AU931" s="26"/>
      <c r="AV931" s="26"/>
      <c r="AW931" s="26"/>
      <c r="AX931" s="26" t="str">
        <f t="shared" si="42"/>
        <v/>
      </c>
      <c r="AY931" t="str">
        <f t="shared" si="43"/>
        <v/>
      </c>
      <c r="AZ931" t="s">
        <v>200</v>
      </c>
      <c r="BA931" s="3"/>
      <c r="BB931" t="str">
        <f t="shared" si="44"/>
        <v>No scrap rate (No impact);</v>
      </c>
    </row>
    <row r="932" spans="1:54" x14ac:dyDescent="0.3">
      <c r="A932" t="s">
        <v>2994</v>
      </c>
      <c r="B932" t="s">
        <v>2995</v>
      </c>
      <c r="C932" t="s">
        <v>747</v>
      </c>
      <c r="D932" t="s">
        <v>748</v>
      </c>
      <c r="G932" t="s">
        <v>903</v>
      </c>
      <c r="H932" t="s">
        <v>361</v>
      </c>
      <c r="K932" t="s">
        <v>2996</v>
      </c>
      <c r="L932">
        <v>388</v>
      </c>
      <c r="M932">
        <v>1</v>
      </c>
      <c r="N932" t="s">
        <v>198</v>
      </c>
      <c r="O932">
        <v>1</v>
      </c>
      <c r="P932" t="s">
        <v>198</v>
      </c>
      <c r="Q932" t="s">
        <v>199</v>
      </c>
      <c r="R932" s="3"/>
      <c r="W932" t="s">
        <v>200</v>
      </c>
      <c r="X932" s="25"/>
      <c r="Y932" s="26"/>
      <c r="Z932" s="27"/>
      <c r="AA932" t="s">
        <v>25</v>
      </c>
      <c r="AB932" t="s">
        <v>201</v>
      </c>
      <c r="AC932" s="3"/>
      <c r="AH932" t="s">
        <v>202</v>
      </c>
      <c r="AK932" t="s">
        <v>203</v>
      </c>
      <c r="AP932" t="s">
        <v>200</v>
      </c>
      <c r="AR932" s="25"/>
      <c r="AT932" s="25">
        <v>0</v>
      </c>
      <c r="AU932" s="26"/>
      <c r="AV932" s="26"/>
      <c r="AW932" s="26"/>
      <c r="AX932" s="26" t="str">
        <f t="shared" si="42"/>
        <v/>
      </c>
      <c r="AY932" t="str">
        <f t="shared" si="43"/>
        <v/>
      </c>
      <c r="AZ932" t="s">
        <v>200</v>
      </c>
      <c r="BA932" s="3"/>
      <c r="BB932" t="str">
        <f t="shared" si="44"/>
        <v>No scrap rate (No impact);</v>
      </c>
    </row>
    <row r="933" spans="1:54" x14ac:dyDescent="0.3">
      <c r="A933" t="s">
        <v>2997</v>
      </c>
      <c r="B933" t="s">
        <v>728</v>
      </c>
      <c r="C933" t="s">
        <v>723</v>
      </c>
      <c r="D933" t="s">
        <v>724</v>
      </c>
      <c r="G933" t="s">
        <v>725</v>
      </c>
      <c r="H933" t="s">
        <v>197</v>
      </c>
      <c r="L933">
        <v>0</v>
      </c>
      <c r="M933">
        <v>0</v>
      </c>
      <c r="N933" t="s">
        <v>198</v>
      </c>
      <c r="O933">
        <v>0</v>
      </c>
      <c r="P933" t="s">
        <v>198</v>
      </c>
      <c r="R933" s="3"/>
      <c r="W933" t="s">
        <v>200</v>
      </c>
      <c r="X933" s="25"/>
      <c r="Y933" s="26"/>
      <c r="Z933" s="27"/>
      <c r="AA933" t="s">
        <v>25</v>
      </c>
      <c r="AB933" t="s">
        <v>201</v>
      </c>
      <c r="AC933" s="3"/>
      <c r="AH933" t="s">
        <v>202</v>
      </c>
      <c r="AK933" t="s">
        <v>203</v>
      </c>
      <c r="AP933" t="s">
        <v>200</v>
      </c>
      <c r="AR933" s="25"/>
      <c r="AT933" s="25">
        <v>0</v>
      </c>
      <c r="AU933" s="26"/>
      <c r="AV933" s="26"/>
      <c r="AW933" s="26"/>
      <c r="AX933" s="26" t="str">
        <f t="shared" si="42"/>
        <v/>
      </c>
      <c r="AY933" t="str">
        <f t="shared" si="43"/>
        <v/>
      </c>
      <c r="AZ933" t="s">
        <v>200</v>
      </c>
      <c r="BA933" s="3"/>
      <c r="BB933" t="str">
        <f t="shared" si="44"/>
        <v>No scrap rate (No impact);No raw material available (High);</v>
      </c>
    </row>
    <row r="934" spans="1:54" x14ac:dyDescent="0.3">
      <c r="A934" t="s">
        <v>2998</v>
      </c>
      <c r="B934" t="s">
        <v>2999</v>
      </c>
      <c r="C934" t="s">
        <v>2914</v>
      </c>
      <c r="D934" t="s">
        <v>2915</v>
      </c>
      <c r="K934" t="s">
        <v>1057</v>
      </c>
      <c r="L934">
        <v>0</v>
      </c>
      <c r="M934">
        <v>1</v>
      </c>
      <c r="N934" t="s">
        <v>3000</v>
      </c>
      <c r="O934">
        <v>0</v>
      </c>
      <c r="P934" t="s">
        <v>3000</v>
      </c>
      <c r="R934" s="3"/>
      <c r="W934" t="s">
        <v>200</v>
      </c>
      <c r="X934" s="25"/>
      <c r="Y934" s="26"/>
      <c r="Z934" s="27"/>
      <c r="AA934" t="s">
        <v>25</v>
      </c>
      <c r="AB934" t="s">
        <v>201</v>
      </c>
      <c r="AC934" s="3"/>
      <c r="AH934" t="s">
        <v>202</v>
      </c>
      <c r="AK934" t="s">
        <v>203</v>
      </c>
      <c r="AP934" t="s">
        <v>200</v>
      </c>
      <c r="AR934" s="25"/>
      <c r="AT934" s="25">
        <v>0</v>
      </c>
      <c r="AU934" s="26"/>
      <c r="AV934" s="26"/>
      <c r="AW934" s="26"/>
      <c r="AX934" s="26" t="str">
        <f t="shared" si="42"/>
        <v/>
      </c>
      <c r="AY934" t="str">
        <f t="shared" si="43"/>
        <v/>
      </c>
      <c r="AZ934" t="s">
        <v>200</v>
      </c>
      <c r="BA934" s="3"/>
      <c r="BB934" t="str">
        <f t="shared" si="44"/>
        <v>Supplier code empty (High);No scrap rate (No impact);</v>
      </c>
    </row>
    <row r="935" spans="1:54" x14ac:dyDescent="0.3">
      <c r="A935" t="s">
        <v>3001</v>
      </c>
      <c r="B935" t="s">
        <v>3002</v>
      </c>
      <c r="C935" t="s">
        <v>2914</v>
      </c>
      <c r="D935" t="s">
        <v>2915</v>
      </c>
      <c r="G935" t="s">
        <v>380</v>
      </c>
      <c r="H935" t="s">
        <v>381</v>
      </c>
      <c r="L935">
        <v>0</v>
      </c>
      <c r="M935">
        <v>0</v>
      </c>
      <c r="N935" t="s">
        <v>198</v>
      </c>
      <c r="O935">
        <v>0</v>
      </c>
      <c r="P935" t="s">
        <v>198</v>
      </c>
      <c r="R935" s="3"/>
      <c r="W935" t="s">
        <v>200</v>
      </c>
      <c r="X935" s="25"/>
      <c r="Y935" s="26"/>
      <c r="Z935" s="27"/>
      <c r="AA935" t="s">
        <v>25</v>
      </c>
      <c r="AB935" t="s">
        <v>201</v>
      </c>
      <c r="AC935" s="3"/>
      <c r="AH935" t="s">
        <v>202</v>
      </c>
      <c r="AK935" t="s">
        <v>203</v>
      </c>
      <c r="AP935" t="s">
        <v>200</v>
      </c>
      <c r="AR935" s="25"/>
      <c r="AT935" s="25">
        <v>0</v>
      </c>
      <c r="AU935" s="26"/>
      <c r="AV935" s="26"/>
      <c r="AW935" s="26"/>
      <c r="AX935" s="26" t="str">
        <f t="shared" si="42"/>
        <v/>
      </c>
      <c r="AY935" t="str">
        <f t="shared" si="43"/>
        <v/>
      </c>
      <c r="AZ935" t="s">
        <v>200</v>
      </c>
      <c r="BA935" s="3"/>
      <c r="BB935" t="str">
        <f t="shared" si="44"/>
        <v>No scrap rate (No impact);No raw material available (High);</v>
      </c>
    </row>
    <row r="936" spans="1:54" x14ac:dyDescent="0.3">
      <c r="A936" t="s">
        <v>3003</v>
      </c>
      <c r="B936" t="s">
        <v>3004</v>
      </c>
      <c r="C936" t="s">
        <v>2914</v>
      </c>
      <c r="D936" t="s">
        <v>2915</v>
      </c>
      <c r="G936" t="s">
        <v>380</v>
      </c>
      <c r="H936" t="s">
        <v>381</v>
      </c>
      <c r="L936">
        <v>0</v>
      </c>
      <c r="M936">
        <v>0</v>
      </c>
      <c r="N936" t="s">
        <v>198</v>
      </c>
      <c r="O936">
        <v>0</v>
      </c>
      <c r="P936" t="s">
        <v>198</v>
      </c>
      <c r="R936" s="3"/>
      <c r="W936" t="s">
        <v>200</v>
      </c>
      <c r="X936" s="25"/>
      <c r="Y936" s="26"/>
      <c r="Z936" s="27"/>
      <c r="AA936" t="s">
        <v>25</v>
      </c>
      <c r="AB936" t="s">
        <v>201</v>
      </c>
      <c r="AC936" s="3"/>
      <c r="AH936" t="s">
        <v>202</v>
      </c>
      <c r="AK936" t="s">
        <v>203</v>
      </c>
      <c r="AP936" t="s">
        <v>200</v>
      </c>
      <c r="AR936" s="25"/>
      <c r="AT936" s="25">
        <v>0</v>
      </c>
      <c r="AU936" s="26"/>
      <c r="AV936" s="26"/>
      <c r="AW936" s="26"/>
      <c r="AX936" s="26" t="str">
        <f t="shared" si="42"/>
        <v/>
      </c>
      <c r="AY936" t="str">
        <f t="shared" si="43"/>
        <v/>
      </c>
      <c r="AZ936" t="s">
        <v>200</v>
      </c>
      <c r="BA936" s="3"/>
      <c r="BB936" t="str">
        <f t="shared" si="44"/>
        <v>No scrap rate (No impact);No raw material available (High);</v>
      </c>
    </row>
    <row r="937" spans="1:54" x14ac:dyDescent="0.3">
      <c r="A937" t="s">
        <v>3005</v>
      </c>
      <c r="B937" t="s">
        <v>3002</v>
      </c>
      <c r="C937" t="s">
        <v>2914</v>
      </c>
      <c r="D937" t="s">
        <v>2915</v>
      </c>
      <c r="G937" t="s">
        <v>3006</v>
      </c>
      <c r="H937" t="s">
        <v>3007</v>
      </c>
      <c r="L937">
        <v>0</v>
      </c>
      <c r="M937">
        <v>0</v>
      </c>
      <c r="N937" t="s">
        <v>198</v>
      </c>
      <c r="O937">
        <v>0</v>
      </c>
      <c r="P937" t="s">
        <v>198</v>
      </c>
      <c r="R937" s="3"/>
      <c r="W937" t="s">
        <v>200</v>
      </c>
      <c r="X937" s="25"/>
      <c r="Y937" s="26"/>
      <c r="Z937" s="27"/>
      <c r="AA937" t="s">
        <v>25</v>
      </c>
      <c r="AB937" t="s">
        <v>201</v>
      </c>
      <c r="AC937" s="3"/>
      <c r="AH937" t="s">
        <v>202</v>
      </c>
      <c r="AK937" t="s">
        <v>203</v>
      </c>
      <c r="AP937" t="s">
        <v>200</v>
      </c>
      <c r="AR937" s="25"/>
      <c r="AT937" s="25">
        <v>0</v>
      </c>
      <c r="AU937" s="26"/>
      <c r="AV937" s="26"/>
      <c r="AW937" s="26"/>
      <c r="AX937" s="26" t="str">
        <f t="shared" si="42"/>
        <v/>
      </c>
      <c r="AY937" t="str">
        <f t="shared" si="43"/>
        <v/>
      </c>
      <c r="AZ937" t="s">
        <v>200</v>
      </c>
      <c r="BA937" s="3"/>
      <c r="BB937" t="str">
        <f t="shared" si="44"/>
        <v>No scrap rate (No impact);No raw material available (High);</v>
      </c>
    </row>
    <row r="938" spans="1:54" x14ac:dyDescent="0.3">
      <c r="A938" t="s">
        <v>3008</v>
      </c>
      <c r="B938" t="s">
        <v>3009</v>
      </c>
      <c r="C938" t="s">
        <v>2914</v>
      </c>
      <c r="D938" t="s">
        <v>2915</v>
      </c>
      <c r="G938" t="s">
        <v>380</v>
      </c>
      <c r="H938" t="s">
        <v>381</v>
      </c>
      <c r="L938">
        <v>0</v>
      </c>
      <c r="M938">
        <v>0</v>
      </c>
      <c r="N938" t="s">
        <v>198</v>
      </c>
      <c r="O938">
        <v>0</v>
      </c>
      <c r="P938" t="s">
        <v>198</v>
      </c>
      <c r="R938" s="3"/>
      <c r="W938" t="s">
        <v>200</v>
      </c>
      <c r="X938" s="25"/>
      <c r="Y938" s="26"/>
      <c r="Z938" s="27"/>
      <c r="AA938" t="s">
        <v>25</v>
      </c>
      <c r="AB938" t="s">
        <v>201</v>
      </c>
      <c r="AC938" s="3"/>
      <c r="AH938" t="s">
        <v>202</v>
      </c>
      <c r="AK938" t="s">
        <v>203</v>
      </c>
      <c r="AP938" t="s">
        <v>200</v>
      </c>
      <c r="AR938" s="25"/>
      <c r="AT938" s="25">
        <v>0</v>
      </c>
      <c r="AU938" s="26"/>
      <c r="AV938" s="26"/>
      <c r="AW938" s="26"/>
      <c r="AX938" s="26" t="str">
        <f t="shared" si="42"/>
        <v/>
      </c>
      <c r="AY938" t="str">
        <f t="shared" si="43"/>
        <v/>
      </c>
      <c r="AZ938" t="s">
        <v>200</v>
      </c>
      <c r="BA938" s="3"/>
      <c r="BB938" t="str">
        <f t="shared" si="44"/>
        <v>No scrap rate (No impact);No raw material available (High);</v>
      </c>
    </row>
    <row r="939" spans="1:54" x14ac:dyDescent="0.3">
      <c r="A939" t="s">
        <v>3010</v>
      </c>
      <c r="B939" t="s">
        <v>3002</v>
      </c>
      <c r="C939" t="s">
        <v>2914</v>
      </c>
      <c r="D939" t="s">
        <v>2915</v>
      </c>
      <c r="G939" t="s">
        <v>380</v>
      </c>
      <c r="H939" t="s">
        <v>381</v>
      </c>
      <c r="L939">
        <v>0</v>
      </c>
      <c r="M939">
        <v>0</v>
      </c>
      <c r="N939" t="s">
        <v>198</v>
      </c>
      <c r="O939">
        <v>0</v>
      </c>
      <c r="P939" t="s">
        <v>198</v>
      </c>
      <c r="R939" s="3"/>
      <c r="W939" t="s">
        <v>200</v>
      </c>
      <c r="X939" s="25"/>
      <c r="Y939" s="26"/>
      <c r="Z939" s="27"/>
      <c r="AA939" t="s">
        <v>25</v>
      </c>
      <c r="AB939" t="s">
        <v>201</v>
      </c>
      <c r="AC939" s="3"/>
      <c r="AH939" t="s">
        <v>202</v>
      </c>
      <c r="AK939" t="s">
        <v>203</v>
      </c>
      <c r="AP939" t="s">
        <v>200</v>
      </c>
      <c r="AR939" s="25"/>
      <c r="AT939" s="25">
        <v>0</v>
      </c>
      <c r="AU939" s="26"/>
      <c r="AV939" s="26"/>
      <c r="AW939" s="26"/>
      <c r="AX939" s="26" t="str">
        <f t="shared" si="42"/>
        <v/>
      </c>
      <c r="AY939" t="str">
        <f t="shared" si="43"/>
        <v/>
      </c>
      <c r="AZ939" t="s">
        <v>200</v>
      </c>
      <c r="BA939" s="3"/>
      <c r="BB939" t="str">
        <f t="shared" si="44"/>
        <v>No scrap rate (No impact);No raw material available (High);</v>
      </c>
    </row>
    <row r="940" spans="1:54" x14ac:dyDescent="0.3">
      <c r="A940" t="s">
        <v>3011</v>
      </c>
      <c r="B940" t="s">
        <v>3012</v>
      </c>
      <c r="C940" t="s">
        <v>2914</v>
      </c>
      <c r="D940" t="s">
        <v>2915</v>
      </c>
      <c r="G940" t="s">
        <v>380</v>
      </c>
      <c r="H940" t="s">
        <v>381</v>
      </c>
      <c r="L940">
        <v>0</v>
      </c>
      <c r="M940">
        <v>0</v>
      </c>
      <c r="N940" t="s">
        <v>198</v>
      </c>
      <c r="O940">
        <v>0</v>
      </c>
      <c r="P940" t="s">
        <v>198</v>
      </c>
      <c r="R940" s="3"/>
      <c r="W940" t="s">
        <v>200</v>
      </c>
      <c r="X940" s="25"/>
      <c r="Y940" s="26"/>
      <c r="Z940" s="27"/>
      <c r="AA940" t="s">
        <v>25</v>
      </c>
      <c r="AB940" t="s">
        <v>201</v>
      </c>
      <c r="AC940" s="3"/>
      <c r="AH940" t="s">
        <v>202</v>
      </c>
      <c r="AK940" t="s">
        <v>203</v>
      </c>
      <c r="AP940" t="s">
        <v>200</v>
      </c>
      <c r="AR940" s="25"/>
      <c r="AT940" s="25">
        <v>0</v>
      </c>
      <c r="AU940" s="26"/>
      <c r="AV940" s="26"/>
      <c r="AW940" s="26"/>
      <c r="AX940" s="26" t="str">
        <f t="shared" si="42"/>
        <v/>
      </c>
      <c r="AY940" t="str">
        <f t="shared" si="43"/>
        <v/>
      </c>
      <c r="AZ940" t="s">
        <v>200</v>
      </c>
      <c r="BA940" s="3"/>
      <c r="BB940" t="str">
        <f t="shared" si="44"/>
        <v>No scrap rate (No impact);No raw material available (High);</v>
      </c>
    </row>
    <row r="941" spans="1:54" x14ac:dyDescent="0.3">
      <c r="A941" t="s">
        <v>3013</v>
      </c>
      <c r="B941" t="s">
        <v>3002</v>
      </c>
      <c r="C941" t="s">
        <v>2914</v>
      </c>
      <c r="D941" t="s">
        <v>2915</v>
      </c>
      <c r="G941" t="s">
        <v>380</v>
      </c>
      <c r="H941" t="s">
        <v>381</v>
      </c>
      <c r="L941">
        <v>0</v>
      </c>
      <c r="M941">
        <v>0</v>
      </c>
      <c r="N941" t="s">
        <v>198</v>
      </c>
      <c r="O941">
        <v>0</v>
      </c>
      <c r="P941" t="s">
        <v>198</v>
      </c>
      <c r="R941" s="3"/>
      <c r="W941" t="s">
        <v>200</v>
      </c>
      <c r="X941" s="25"/>
      <c r="Y941" s="26"/>
      <c r="Z941" s="27"/>
      <c r="AA941" t="s">
        <v>25</v>
      </c>
      <c r="AB941" t="s">
        <v>201</v>
      </c>
      <c r="AC941" s="3"/>
      <c r="AH941" t="s">
        <v>202</v>
      </c>
      <c r="AK941" t="s">
        <v>203</v>
      </c>
      <c r="AP941" t="s">
        <v>200</v>
      </c>
      <c r="AR941" s="25"/>
      <c r="AT941" s="25">
        <v>0</v>
      </c>
      <c r="AU941" s="26"/>
      <c r="AV941" s="26"/>
      <c r="AW941" s="26"/>
      <c r="AX941" s="26" t="str">
        <f t="shared" si="42"/>
        <v/>
      </c>
      <c r="AY941" t="str">
        <f t="shared" si="43"/>
        <v/>
      </c>
      <c r="AZ941" t="s">
        <v>200</v>
      </c>
      <c r="BA941" s="3"/>
      <c r="BB941" t="str">
        <f t="shared" si="44"/>
        <v>No scrap rate (No impact);No raw material available (High);</v>
      </c>
    </row>
    <row r="942" spans="1:54" x14ac:dyDescent="0.3">
      <c r="A942" t="s">
        <v>3014</v>
      </c>
      <c r="B942" t="s">
        <v>3015</v>
      </c>
      <c r="C942" t="s">
        <v>2914</v>
      </c>
      <c r="D942" t="s">
        <v>2915</v>
      </c>
      <c r="G942" t="s">
        <v>380</v>
      </c>
      <c r="H942" t="s">
        <v>381</v>
      </c>
      <c r="L942">
        <v>0</v>
      </c>
      <c r="M942">
        <v>0</v>
      </c>
      <c r="N942" t="s">
        <v>198</v>
      </c>
      <c r="O942">
        <v>0</v>
      </c>
      <c r="P942" t="s">
        <v>198</v>
      </c>
      <c r="R942" s="3"/>
      <c r="W942" t="s">
        <v>200</v>
      </c>
      <c r="X942" s="25"/>
      <c r="Y942" s="26"/>
      <c r="Z942" s="27"/>
      <c r="AA942" t="s">
        <v>25</v>
      </c>
      <c r="AB942" t="s">
        <v>201</v>
      </c>
      <c r="AC942" s="3"/>
      <c r="AH942" t="s">
        <v>202</v>
      </c>
      <c r="AK942" t="s">
        <v>203</v>
      </c>
      <c r="AP942" t="s">
        <v>200</v>
      </c>
      <c r="AR942" s="25"/>
      <c r="AT942" s="25">
        <v>0</v>
      </c>
      <c r="AU942" s="26"/>
      <c r="AV942" s="26"/>
      <c r="AW942" s="26"/>
      <c r="AX942" s="26" t="str">
        <f t="shared" si="42"/>
        <v/>
      </c>
      <c r="AY942" t="str">
        <f t="shared" si="43"/>
        <v/>
      </c>
      <c r="AZ942" t="s">
        <v>200</v>
      </c>
      <c r="BA942" s="3"/>
      <c r="BB942" t="str">
        <f t="shared" si="44"/>
        <v>No scrap rate (No impact);No raw material available (High);</v>
      </c>
    </row>
    <row r="943" spans="1:54" x14ac:dyDescent="0.3">
      <c r="A943" t="s">
        <v>3016</v>
      </c>
      <c r="B943" t="s">
        <v>3017</v>
      </c>
      <c r="C943" t="s">
        <v>2914</v>
      </c>
      <c r="D943" t="s">
        <v>2915</v>
      </c>
      <c r="G943" t="s">
        <v>380</v>
      </c>
      <c r="H943" t="s">
        <v>381</v>
      </c>
      <c r="L943">
        <v>0</v>
      </c>
      <c r="M943">
        <v>0</v>
      </c>
      <c r="N943" t="s">
        <v>198</v>
      </c>
      <c r="O943">
        <v>0</v>
      </c>
      <c r="P943" t="s">
        <v>198</v>
      </c>
      <c r="R943" s="3"/>
      <c r="W943" t="s">
        <v>200</v>
      </c>
      <c r="X943" s="25"/>
      <c r="Y943" s="26"/>
      <c r="Z943" s="27"/>
      <c r="AA943" t="s">
        <v>25</v>
      </c>
      <c r="AB943" t="s">
        <v>201</v>
      </c>
      <c r="AC943" s="3"/>
      <c r="AH943" t="s">
        <v>202</v>
      </c>
      <c r="AK943" t="s">
        <v>203</v>
      </c>
      <c r="AP943" t="s">
        <v>200</v>
      </c>
      <c r="AR943" s="25"/>
      <c r="AT943" s="25">
        <v>0</v>
      </c>
      <c r="AU943" s="26"/>
      <c r="AV943" s="26"/>
      <c r="AW943" s="26"/>
      <c r="AX943" s="26" t="str">
        <f t="shared" si="42"/>
        <v/>
      </c>
      <c r="AY943" t="str">
        <f t="shared" si="43"/>
        <v/>
      </c>
      <c r="AZ943" t="s">
        <v>200</v>
      </c>
      <c r="BA943" s="3"/>
      <c r="BB943" t="str">
        <f t="shared" si="44"/>
        <v>No scrap rate (No impact);No raw material available (High);</v>
      </c>
    </row>
    <row r="944" spans="1:54" x14ac:dyDescent="0.3">
      <c r="A944" t="s">
        <v>3018</v>
      </c>
      <c r="B944" t="s">
        <v>3019</v>
      </c>
      <c r="C944" t="s">
        <v>2914</v>
      </c>
      <c r="D944" t="s">
        <v>2915</v>
      </c>
      <c r="G944" t="s">
        <v>380</v>
      </c>
      <c r="H944" t="s">
        <v>381</v>
      </c>
      <c r="L944">
        <v>0</v>
      </c>
      <c r="M944">
        <v>0</v>
      </c>
      <c r="N944" t="s">
        <v>198</v>
      </c>
      <c r="O944">
        <v>0</v>
      </c>
      <c r="P944" t="s">
        <v>198</v>
      </c>
      <c r="R944" s="3"/>
      <c r="W944" t="s">
        <v>200</v>
      </c>
      <c r="X944" s="25"/>
      <c r="Y944" s="26"/>
      <c r="Z944" s="27"/>
      <c r="AA944" t="s">
        <v>25</v>
      </c>
      <c r="AB944" t="s">
        <v>201</v>
      </c>
      <c r="AC944" s="3"/>
      <c r="AH944" t="s">
        <v>202</v>
      </c>
      <c r="AK944" t="s">
        <v>203</v>
      </c>
      <c r="AP944" t="s">
        <v>200</v>
      </c>
      <c r="AR944" s="25"/>
      <c r="AT944" s="25">
        <v>0</v>
      </c>
      <c r="AU944" s="26"/>
      <c r="AV944" s="26"/>
      <c r="AW944" s="26"/>
      <c r="AX944" s="26" t="str">
        <f t="shared" si="42"/>
        <v/>
      </c>
      <c r="AY944" t="str">
        <f t="shared" si="43"/>
        <v/>
      </c>
      <c r="AZ944" t="s">
        <v>200</v>
      </c>
      <c r="BA944" s="3"/>
      <c r="BB944" t="str">
        <f t="shared" si="44"/>
        <v>No scrap rate (No impact);No raw material available (High);</v>
      </c>
    </row>
    <row r="945" spans="1:54" x14ac:dyDescent="0.3">
      <c r="A945" t="s">
        <v>3020</v>
      </c>
      <c r="B945" t="s">
        <v>3021</v>
      </c>
      <c r="C945" t="s">
        <v>2914</v>
      </c>
      <c r="D945" t="s">
        <v>2915</v>
      </c>
      <c r="G945" t="s">
        <v>380</v>
      </c>
      <c r="H945" t="s">
        <v>381</v>
      </c>
      <c r="L945">
        <v>0</v>
      </c>
      <c r="M945">
        <v>0</v>
      </c>
      <c r="N945" t="s">
        <v>198</v>
      </c>
      <c r="O945">
        <v>0</v>
      </c>
      <c r="P945" t="s">
        <v>198</v>
      </c>
      <c r="R945" s="3"/>
      <c r="W945" t="s">
        <v>200</v>
      </c>
      <c r="X945" s="25"/>
      <c r="Y945" s="26"/>
      <c r="Z945" s="27"/>
      <c r="AA945" t="s">
        <v>25</v>
      </c>
      <c r="AB945" t="s">
        <v>201</v>
      </c>
      <c r="AC945" s="3"/>
      <c r="AH945" t="s">
        <v>202</v>
      </c>
      <c r="AK945" t="s">
        <v>203</v>
      </c>
      <c r="AP945" t="s">
        <v>200</v>
      </c>
      <c r="AR945" s="25"/>
      <c r="AT945" s="25">
        <v>0</v>
      </c>
      <c r="AU945" s="26"/>
      <c r="AV945" s="26"/>
      <c r="AW945" s="26"/>
      <c r="AX945" s="26" t="str">
        <f t="shared" si="42"/>
        <v/>
      </c>
      <c r="AY945" t="str">
        <f t="shared" si="43"/>
        <v/>
      </c>
      <c r="AZ945" t="s">
        <v>200</v>
      </c>
      <c r="BA945" s="3"/>
      <c r="BB945" t="str">
        <f t="shared" si="44"/>
        <v>No scrap rate (No impact);No raw material available (High);</v>
      </c>
    </row>
    <row r="946" spans="1:54" x14ac:dyDescent="0.3">
      <c r="A946" t="s">
        <v>3022</v>
      </c>
      <c r="B946" t="s">
        <v>3023</v>
      </c>
      <c r="C946" t="s">
        <v>2914</v>
      </c>
      <c r="D946" t="s">
        <v>2915</v>
      </c>
      <c r="G946" t="s">
        <v>380</v>
      </c>
      <c r="H946" t="s">
        <v>381</v>
      </c>
      <c r="L946">
        <v>0</v>
      </c>
      <c r="M946">
        <v>0</v>
      </c>
      <c r="N946" t="s">
        <v>198</v>
      </c>
      <c r="O946">
        <v>0</v>
      </c>
      <c r="P946" t="s">
        <v>198</v>
      </c>
      <c r="R946" s="3"/>
      <c r="W946" t="s">
        <v>200</v>
      </c>
      <c r="X946" s="25"/>
      <c r="Y946" s="26"/>
      <c r="Z946" s="27"/>
      <c r="AA946" t="s">
        <v>25</v>
      </c>
      <c r="AB946" t="s">
        <v>201</v>
      </c>
      <c r="AC946" s="3"/>
      <c r="AH946" t="s">
        <v>202</v>
      </c>
      <c r="AK946" t="s">
        <v>203</v>
      </c>
      <c r="AP946" t="s">
        <v>200</v>
      </c>
      <c r="AR946" s="25"/>
      <c r="AT946" s="25">
        <v>0</v>
      </c>
      <c r="AU946" s="26"/>
      <c r="AV946" s="26"/>
      <c r="AW946" s="26"/>
      <c r="AX946" s="26" t="str">
        <f t="shared" si="42"/>
        <v/>
      </c>
      <c r="AY946" t="str">
        <f t="shared" si="43"/>
        <v/>
      </c>
      <c r="AZ946" t="s">
        <v>200</v>
      </c>
      <c r="BA946" s="3"/>
      <c r="BB946" t="str">
        <f t="shared" si="44"/>
        <v>No scrap rate (No impact);No raw material available (High);</v>
      </c>
    </row>
    <row r="947" spans="1:54" x14ac:dyDescent="0.3">
      <c r="A947" t="s">
        <v>3024</v>
      </c>
      <c r="B947" t="s">
        <v>3025</v>
      </c>
      <c r="C947" t="s">
        <v>2914</v>
      </c>
      <c r="D947" t="s">
        <v>2915</v>
      </c>
      <c r="G947" t="s">
        <v>380</v>
      </c>
      <c r="H947" t="s">
        <v>381</v>
      </c>
      <c r="L947">
        <v>0</v>
      </c>
      <c r="M947">
        <v>0</v>
      </c>
      <c r="N947" t="s">
        <v>198</v>
      </c>
      <c r="O947">
        <v>0</v>
      </c>
      <c r="P947" t="s">
        <v>198</v>
      </c>
      <c r="R947" s="3"/>
      <c r="W947" t="s">
        <v>200</v>
      </c>
      <c r="X947" s="25"/>
      <c r="Y947" s="26"/>
      <c r="Z947" s="27"/>
      <c r="AA947" t="s">
        <v>25</v>
      </c>
      <c r="AB947" t="s">
        <v>201</v>
      </c>
      <c r="AC947" s="3"/>
      <c r="AH947" t="s">
        <v>202</v>
      </c>
      <c r="AK947" t="s">
        <v>203</v>
      </c>
      <c r="AP947" t="s">
        <v>200</v>
      </c>
      <c r="AR947" s="25"/>
      <c r="AT947" s="25">
        <v>0</v>
      </c>
      <c r="AU947" s="26"/>
      <c r="AV947" s="26"/>
      <c r="AW947" s="26"/>
      <c r="AX947" s="26" t="str">
        <f t="shared" si="42"/>
        <v/>
      </c>
      <c r="AY947" t="str">
        <f t="shared" si="43"/>
        <v/>
      </c>
      <c r="AZ947" t="s">
        <v>200</v>
      </c>
      <c r="BA947" s="3"/>
      <c r="BB947" t="str">
        <f t="shared" si="44"/>
        <v>No scrap rate (No impact);No raw material available (High);</v>
      </c>
    </row>
    <row r="948" spans="1:54" x14ac:dyDescent="0.3">
      <c r="A948" t="s">
        <v>3026</v>
      </c>
      <c r="B948" t="s">
        <v>3027</v>
      </c>
      <c r="C948" t="s">
        <v>2914</v>
      </c>
      <c r="D948" t="s">
        <v>2915</v>
      </c>
      <c r="G948" t="s">
        <v>380</v>
      </c>
      <c r="H948" t="s">
        <v>381</v>
      </c>
      <c r="L948">
        <v>0</v>
      </c>
      <c r="M948">
        <v>0</v>
      </c>
      <c r="N948" t="s">
        <v>198</v>
      </c>
      <c r="O948">
        <v>0</v>
      </c>
      <c r="P948" t="s">
        <v>198</v>
      </c>
      <c r="R948" s="3"/>
      <c r="W948" t="s">
        <v>200</v>
      </c>
      <c r="X948" s="25"/>
      <c r="Y948" s="26"/>
      <c r="Z948" s="27"/>
      <c r="AA948" t="s">
        <v>25</v>
      </c>
      <c r="AB948" t="s">
        <v>201</v>
      </c>
      <c r="AC948" s="3"/>
      <c r="AH948" t="s">
        <v>202</v>
      </c>
      <c r="AK948" t="s">
        <v>203</v>
      </c>
      <c r="AP948" t="s">
        <v>200</v>
      </c>
      <c r="AR948" s="25"/>
      <c r="AT948" s="25">
        <v>0</v>
      </c>
      <c r="AU948" s="26"/>
      <c r="AV948" s="26"/>
      <c r="AW948" s="26"/>
      <c r="AX948" s="26" t="str">
        <f t="shared" si="42"/>
        <v/>
      </c>
      <c r="AY948" t="str">
        <f t="shared" si="43"/>
        <v/>
      </c>
      <c r="AZ948" t="s">
        <v>200</v>
      </c>
      <c r="BA948" s="3"/>
      <c r="BB948" t="str">
        <f t="shared" si="44"/>
        <v>No scrap rate (No impact);No raw material available (High);</v>
      </c>
    </row>
    <row r="949" spans="1:54" x14ac:dyDescent="0.3">
      <c r="A949" t="s">
        <v>3028</v>
      </c>
      <c r="B949" t="s">
        <v>3029</v>
      </c>
      <c r="C949" t="s">
        <v>2914</v>
      </c>
      <c r="D949" t="s">
        <v>2915</v>
      </c>
      <c r="G949" t="s">
        <v>380</v>
      </c>
      <c r="H949" t="s">
        <v>381</v>
      </c>
      <c r="L949">
        <v>0</v>
      </c>
      <c r="M949">
        <v>0</v>
      </c>
      <c r="N949" t="s">
        <v>198</v>
      </c>
      <c r="O949">
        <v>0</v>
      </c>
      <c r="P949" t="s">
        <v>198</v>
      </c>
      <c r="R949" s="3"/>
      <c r="W949" t="s">
        <v>200</v>
      </c>
      <c r="X949" s="25"/>
      <c r="Y949" s="26"/>
      <c r="Z949" s="27"/>
      <c r="AA949" t="s">
        <v>25</v>
      </c>
      <c r="AB949" t="s">
        <v>201</v>
      </c>
      <c r="AC949" s="3"/>
      <c r="AH949" t="s">
        <v>202</v>
      </c>
      <c r="AK949" t="s">
        <v>203</v>
      </c>
      <c r="AP949" t="s">
        <v>200</v>
      </c>
      <c r="AR949" s="25"/>
      <c r="AT949" s="25">
        <v>0</v>
      </c>
      <c r="AU949" s="26"/>
      <c r="AV949" s="26"/>
      <c r="AW949" s="26"/>
      <c r="AX949" s="26" t="str">
        <f t="shared" si="42"/>
        <v/>
      </c>
      <c r="AY949" t="str">
        <f t="shared" si="43"/>
        <v/>
      </c>
      <c r="AZ949" t="s">
        <v>200</v>
      </c>
      <c r="BA949" s="3"/>
      <c r="BB949" t="str">
        <f t="shared" si="44"/>
        <v>No scrap rate (No impact);No raw material available (High);</v>
      </c>
    </row>
    <row r="950" spans="1:54" x14ac:dyDescent="0.3">
      <c r="A950" t="s">
        <v>3030</v>
      </c>
      <c r="B950" t="s">
        <v>3031</v>
      </c>
      <c r="C950" t="s">
        <v>2914</v>
      </c>
      <c r="D950" t="s">
        <v>2915</v>
      </c>
      <c r="G950" t="s">
        <v>380</v>
      </c>
      <c r="H950" t="s">
        <v>381</v>
      </c>
      <c r="L950">
        <v>0</v>
      </c>
      <c r="M950">
        <v>0</v>
      </c>
      <c r="N950" t="s">
        <v>198</v>
      </c>
      <c r="O950">
        <v>0</v>
      </c>
      <c r="P950" t="s">
        <v>198</v>
      </c>
      <c r="R950" s="3"/>
      <c r="W950" t="s">
        <v>200</v>
      </c>
      <c r="X950" s="25"/>
      <c r="Y950" s="26"/>
      <c r="Z950" s="27"/>
      <c r="AA950" t="s">
        <v>25</v>
      </c>
      <c r="AB950" t="s">
        <v>201</v>
      </c>
      <c r="AC950" s="3"/>
      <c r="AH950" t="s">
        <v>202</v>
      </c>
      <c r="AK950" t="s">
        <v>203</v>
      </c>
      <c r="AP950" t="s">
        <v>200</v>
      </c>
      <c r="AR950" s="25"/>
      <c r="AT950" s="25">
        <v>0</v>
      </c>
      <c r="AU950" s="26"/>
      <c r="AV950" s="26"/>
      <c r="AW950" s="26"/>
      <c r="AX950" s="26" t="str">
        <f t="shared" si="42"/>
        <v/>
      </c>
      <c r="AY950" t="str">
        <f t="shared" si="43"/>
        <v/>
      </c>
      <c r="AZ950" t="s">
        <v>200</v>
      </c>
      <c r="BA950" s="3"/>
      <c r="BB950" t="str">
        <f t="shared" si="44"/>
        <v>No scrap rate (No impact);No raw material available (High);</v>
      </c>
    </row>
    <row r="951" spans="1:54" x14ac:dyDescent="0.3">
      <c r="A951" t="s">
        <v>3032</v>
      </c>
      <c r="B951" t="s">
        <v>3033</v>
      </c>
      <c r="C951" t="s">
        <v>2914</v>
      </c>
      <c r="D951" t="s">
        <v>2915</v>
      </c>
      <c r="G951" t="s">
        <v>380</v>
      </c>
      <c r="H951" t="s">
        <v>381</v>
      </c>
      <c r="L951">
        <v>0</v>
      </c>
      <c r="M951">
        <v>0</v>
      </c>
      <c r="N951" t="s">
        <v>198</v>
      </c>
      <c r="O951">
        <v>0</v>
      </c>
      <c r="P951" t="s">
        <v>198</v>
      </c>
      <c r="R951" s="3"/>
      <c r="W951" t="s">
        <v>200</v>
      </c>
      <c r="X951" s="25"/>
      <c r="Y951" s="26"/>
      <c r="Z951" s="27"/>
      <c r="AA951" t="s">
        <v>25</v>
      </c>
      <c r="AB951" t="s">
        <v>201</v>
      </c>
      <c r="AC951" s="3"/>
      <c r="AH951" t="s">
        <v>202</v>
      </c>
      <c r="AK951" t="s">
        <v>203</v>
      </c>
      <c r="AP951" t="s">
        <v>200</v>
      </c>
      <c r="AR951" s="25"/>
      <c r="AT951" s="25">
        <v>0</v>
      </c>
      <c r="AU951" s="26"/>
      <c r="AV951" s="26"/>
      <c r="AW951" s="26"/>
      <c r="AX951" s="26" t="str">
        <f t="shared" si="42"/>
        <v/>
      </c>
      <c r="AY951" t="str">
        <f t="shared" si="43"/>
        <v/>
      </c>
      <c r="AZ951" t="s">
        <v>200</v>
      </c>
      <c r="BA951" s="3"/>
      <c r="BB951" t="str">
        <f t="shared" si="44"/>
        <v>No scrap rate (No impact);No raw material available (High);</v>
      </c>
    </row>
    <row r="952" spans="1:54" x14ac:dyDescent="0.3">
      <c r="A952" t="s">
        <v>3034</v>
      </c>
      <c r="B952" t="s">
        <v>3035</v>
      </c>
      <c r="C952" t="s">
        <v>2914</v>
      </c>
      <c r="D952" t="s">
        <v>2915</v>
      </c>
      <c r="L952">
        <v>0</v>
      </c>
      <c r="M952">
        <v>1</v>
      </c>
      <c r="N952" t="s">
        <v>3000</v>
      </c>
      <c r="O952">
        <v>0</v>
      </c>
      <c r="P952" t="s">
        <v>3000</v>
      </c>
      <c r="R952" s="3"/>
      <c r="W952" t="s">
        <v>200</v>
      </c>
      <c r="X952" s="25"/>
      <c r="Y952" s="26"/>
      <c r="Z952" s="27"/>
      <c r="AA952" t="s">
        <v>25</v>
      </c>
      <c r="AB952" t="s">
        <v>201</v>
      </c>
      <c r="AC952" s="3"/>
      <c r="AH952" t="s">
        <v>202</v>
      </c>
      <c r="AK952" t="s">
        <v>203</v>
      </c>
      <c r="AP952" t="s">
        <v>200</v>
      </c>
      <c r="AR952" s="25"/>
      <c r="AT952" s="25">
        <v>0</v>
      </c>
      <c r="AU952" s="26"/>
      <c r="AV952" s="26"/>
      <c r="AW952" s="26"/>
      <c r="AX952" s="26" t="str">
        <f t="shared" si="42"/>
        <v/>
      </c>
      <c r="AY952" t="str">
        <f t="shared" si="43"/>
        <v/>
      </c>
      <c r="AZ952" t="s">
        <v>200</v>
      </c>
      <c r="BA952" s="3"/>
      <c r="BB952" t="str">
        <f t="shared" si="44"/>
        <v>Supplier code empty (High);No scrap rate (No impact);No raw material available (High);</v>
      </c>
    </row>
    <row r="953" spans="1:54" x14ac:dyDescent="0.3">
      <c r="A953" t="s">
        <v>3036</v>
      </c>
      <c r="B953" t="s">
        <v>3037</v>
      </c>
      <c r="C953" t="s">
        <v>2914</v>
      </c>
      <c r="D953" t="s">
        <v>2915</v>
      </c>
      <c r="G953" t="s">
        <v>380</v>
      </c>
      <c r="H953" t="s">
        <v>381</v>
      </c>
      <c r="L953">
        <v>0</v>
      </c>
      <c r="M953">
        <v>0</v>
      </c>
      <c r="N953" t="s">
        <v>198</v>
      </c>
      <c r="O953">
        <v>0</v>
      </c>
      <c r="P953" t="s">
        <v>198</v>
      </c>
      <c r="R953" s="3"/>
      <c r="W953" t="s">
        <v>200</v>
      </c>
      <c r="X953" s="25"/>
      <c r="Y953" s="26"/>
      <c r="Z953" s="27"/>
      <c r="AA953" t="s">
        <v>25</v>
      </c>
      <c r="AB953" t="s">
        <v>201</v>
      </c>
      <c r="AC953" s="3"/>
      <c r="AH953" t="s">
        <v>202</v>
      </c>
      <c r="AK953" t="s">
        <v>203</v>
      </c>
      <c r="AP953" t="s">
        <v>200</v>
      </c>
      <c r="AR953" s="25"/>
      <c r="AT953" s="25">
        <v>0</v>
      </c>
      <c r="AU953" s="26"/>
      <c r="AV953" s="26"/>
      <c r="AW953" s="26"/>
      <c r="AX953" s="26" t="str">
        <f t="shared" si="42"/>
        <v/>
      </c>
      <c r="AY953" t="str">
        <f t="shared" si="43"/>
        <v/>
      </c>
      <c r="AZ953" t="s">
        <v>200</v>
      </c>
      <c r="BA953" s="3"/>
      <c r="BB953" t="str">
        <f t="shared" si="44"/>
        <v>No scrap rate (No impact);No raw material available (High);</v>
      </c>
    </row>
    <row r="954" spans="1:54" x14ac:dyDescent="0.3">
      <c r="A954" t="s">
        <v>3038</v>
      </c>
      <c r="B954" t="s">
        <v>3039</v>
      </c>
      <c r="C954" t="s">
        <v>2914</v>
      </c>
      <c r="D954" t="s">
        <v>2915</v>
      </c>
      <c r="L954">
        <v>0</v>
      </c>
      <c r="M954">
        <v>1</v>
      </c>
      <c r="N954" t="s">
        <v>198</v>
      </c>
      <c r="O954">
        <v>0</v>
      </c>
      <c r="P954" t="s">
        <v>198</v>
      </c>
      <c r="R954" s="3"/>
      <c r="W954" t="s">
        <v>200</v>
      </c>
      <c r="X954" s="25"/>
      <c r="Y954" s="26"/>
      <c r="Z954" s="27"/>
      <c r="AA954" t="s">
        <v>25</v>
      </c>
      <c r="AB954" t="s">
        <v>201</v>
      </c>
      <c r="AC954" s="3"/>
      <c r="AH954" t="s">
        <v>202</v>
      </c>
      <c r="AK954" t="s">
        <v>203</v>
      </c>
      <c r="AP954" t="s">
        <v>200</v>
      </c>
      <c r="AR954" s="25"/>
      <c r="AT954" s="25">
        <v>0</v>
      </c>
      <c r="AU954" s="26"/>
      <c r="AV954" s="26"/>
      <c r="AW954" s="26"/>
      <c r="AX954" s="26" t="str">
        <f t="shared" si="42"/>
        <v/>
      </c>
      <c r="AY954" t="str">
        <f t="shared" si="43"/>
        <v/>
      </c>
      <c r="AZ954" t="s">
        <v>200</v>
      </c>
      <c r="BA954" s="3"/>
      <c r="BB954" t="str">
        <f t="shared" si="44"/>
        <v>Supplier code empty (High);No scrap rate (No impact);No raw material available (High);</v>
      </c>
    </row>
    <row r="955" spans="1:54" x14ac:dyDescent="0.3">
      <c r="A955" t="s">
        <v>3040</v>
      </c>
      <c r="B955" t="s">
        <v>3041</v>
      </c>
      <c r="C955" t="s">
        <v>2914</v>
      </c>
      <c r="D955" t="s">
        <v>2915</v>
      </c>
      <c r="L955">
        <v>0</v>
      </c>
      <c r="M955">
        <v>1</v>
      </c>
      <c r="N955" t="s">
        <v>3000</v>
      </c>
      <c r="O955">
        <v>0</v>
      </c>
      <c r="P955" t="s">
        <v>3000</v>
      </c>
      <c r="R955" s="3"/>
      <c r="W955" t="s">
        <v>200</v>
      </c>
      <c r="X955" s="25"/>
      <c r="Y955" s="26"/>
      <c r="Z955" s="27"/>
      <c r="AA955" t="s">
        <v>25</v>
      </c>
      <c r="AB955" t="s">
        <v>201</v>
      </c>
      <c r="AC955" s="3"/>
      <c r="AH955" t="s">
        <v>202</v>
      </c>
      <c r="AK955" t="s">
        <v>203</v>
      </c>
      <c r="AP955" t="s">
        <v>200</v>
      </c>
      <c r="AR955" s="25"/>
      <c r="AT955" s="25">
        <v>0</v>
      </c>
      <c r="AU955" s="26"/>
      <c r="AV955" s="26"/>
      <c r="AW955" s="26"/>
      <c r="AX955" s="26" t="str">
        <f t="shared" si="42"/>
        <v/>
      </c>
      <c r="AY955" t="str">
        <f t="shared" si="43"/>
        <v/>
      </c>
      <c r="AZ955" t="s">
        <v>200</v>
      </c>
      <c r="BA955" s="3"/>
      <c r="BB955" t="str">
        <f t="shared" si="44"/>
        <v>Supplier code empty (High);No scrap rate (No impact);No raw material available (High);</v>
      </c>
    </row>
    <row r="956" spans="1:54" x14ac:dyDescent="0.3">
      <c r="A956" t="s">
        <v>3042</v>
      </c>
      <c r="B956" t="s">
        <v>3043</v>
      </c>
      <c r="C956" t="s">
        <v>2914</v>
      </c>
      <c r="D956" t="s">
        <v>2915</v>
      </c>
      <c r="L956">
        <v>0</v>
      </c>
      <c r="M956">
        <v>1</v>
      </c>
      <c r="N956" t="s">
        <v>3000</v>
      </c>
      <c r="O956">
        <v>0</v>
      </c>
      <c r="P956" t="s">
        <v>3000</v>
      </c>
      <c r="R956" s="3"/>
      <c r="W956" t="s">
        <v>200</v>
      </c>
      <c r="X956" s="25"/>
      <c r="Y956" s="26"/>
      <c r="Z956" s="27"/>
      <c r="AA956" t="s">
        <v>25</v>
      </c>
      <c r="AB956" t="s">
        <v>201</v>
      </c>
      <c r="AC956" s="3"/>
      <c r="AH956" t="s">
        <v>202</v>
      </c>
      <c r="AK956" t="s">
        <v>203</v>
      </c>
      <c r="AP956" t="s">
        <v>200</v>
      </c>
      <c r="AR956" s="25"/>
      <c r="AT956" s="25">
        <v>0</v>
      </c>
      <c r="AU956" s="26"/>
      <c r="AV956" s="26"/>
      <c r="AW956" s="26"/>
      <c r="AX956" s="26" t="str">
        <f t="shared" si="42"/>
        <v/>
      </c>
      <c r="AY956" t="str">
        <f t="shared" si="43"/>
        <v/>
      </c>
      <c r="AZ956" t="s">
        <v>200</v>
      </c>
      <c r="BA956" s="3"/>
      <c r="BB956" t="str">
        <f t="shared" si="44"/>
        <v>Supplier code empty (High);No scrap rate (No impact);No raw material available (High);</v>
      </c>
    </row>
    <row r="957" spans="1:54" x14ac:dyDescent="0.3">
      <c r="A957" t="s">
        <v>3044</v>
      </c>
      <c r="B957" t="s">
        <v>3045</v>
      </c>
      <c r="C957" t="s">
        <v>2914</v>
      </c>
      <c r="D957" t="s">
        <v>2915</v>
      </c>
      <c r="L957">
        <v>0</v>
      </c>
      <c r="M957">
        <v>1</v>
      </c>
      <c r="N957" t="s">
        <v>3000</v>
      </c>
      <c r="O957">
        <v>0</v>
      </c>
      <c r="P957" t="s">
        <v>3000</v>
      </c>
      <c r="R957" s="3"/>
      <c r="W957" t="s">
        <v>200</v>
      </c>
      <c r="X957" s="25"/>
      <c r="Y957" s="26"/>
      <c r="Z957" s="27"/>
      <c r="AA957" t="s">
        <v>25</v>
      </c>
      <c r="AB957" t="s">
        <v>201</v>
      </c>
      <c r="AC957" s="3"/>
      <c r="AH957" t="s">
        <v>202</v>
      </c>
      <c r="AK957" t="s">
        <v>203</v>
      </c>
      <c r="AP957" t="s">
        <v>200</v>
      </c>
      <c r="AR957" s="25"/>
      <c r="AT957" s="25">
        <v>0</v>
      </c>
      <c r="AU957" s="26"/>
      <c r="AV957" s="26"/>
      <c r="AW957" s="26"/>
      <c r="AX957" s="26" t="str">
        <f t="shared" si="42"/>
        <v/>
      </c>
      <c r="AY957" t="str">
        <f t="shared" si="43"/>
        <v/>
      </c>
      <c r="AZ957" t="s">
        <v>200</v>
      </c>
      <c r="BA957" s="3"/>
      <c r="BB957" t="str">
        <f t="shared" si="44"/>
        <v>Supplier code empty (High);No scrap rate (No impact);No raw material available (High);</v>
      </c>
    </row>
    <row r="958" spans="1:54" x14ac:dyDescent="0.3">
      <c r="A958" t="s">
        <v>3046</v>
      </c>
      <c r="B958" t="s">
        <v>3047</v>
      </c>
      <c r="C958" t="s">
        <v>2914</v>
      </c>
      <c r="D958" t="s">
        <v>2915</v>
      </c>
      <c r="L958">
        <v>0</v>
      </c>
      <c r="M958">
        <v>1</v>
      </c>
      <c r="N958" t="s">
        <v>3000</v>
      </c>
      <c r="O958">
        <v>0</v>
      </c>
      <c r="P958" t="s">
        <v>3000</v>
      </c>
      <c r="R958" s="3"/>
      <c r="W958" t="s">
        <v>200</v>
      </c>
      <c r="X958" s="25"/>
      <c r="Y958" s="26"/>
      <c r="Z958" s="27"/>
      <c r="AA958" t="s">
        <v>25</v>
      </c>
      <c r="AB958" t="s">
        <v>201</v>
      </c>
      <c r="AC958" s="3"/>
      <c r="AH958" t="s">
        <v>202</v>
      </c>
      <c r="AK958" t="s">
        <v>203</v>
      </c>
      <c r="AP958" t="s">
        <v>200</v>
      </c>
      <c r="AR958" s="25"/>
      <c r="AT958" s="25">
        <v>0</v>
      </c>
      <c r="AU958" s="26"/>
      <c r="AV958" s="26"/>
      <c r="AW958" s="26"/>
      <c r="AX958" s="26" t="str">
        <f t="shared" si="42"/>
        <v/>
      </c>
      <c r="AY958" t="str">
        <f t="shared" si="43"/>
        <v/>
      </c>
      <c r="AZ958" t="s">
        <v>200</v>
      </c>
      <c r="BA958" s="3"/>
      <c r="BB958" t="str">
        <f t="shared" si="44"/>
        <v>Supplier code empty (High);No scrap rate (No impact);No raw material available (High);</v>
      </c>
    </row>
    <row r="959" spans="1:54" x14ac:dyDescent="0.3">
      <c r="A959" t="s">
        <v>3048</v>
      </c>
      <c r="B959" t="s">
        <v>3049</v>
      </c>
      <c r="C959" t="s">
        <v>2914</v>
      </c>
      <c r="D959" t="s">
        <v>2915</v>
      </c>
      <c r="L959">
        <v>0</v>
      </c>
      <c r="M959">
        <v>1</v>
      </c>
      <c r="N959" t="s">
        <v>3000</v>
      </c>
      <c r="O959">
        <v>0</v>
      </c>
      <c r="P959" t="s">
        <v>3000</v>
      </c>
      <c r="R959" s="3"/>
      <c r="W959" t="s">
        <v>200</v>
      </c>
      <c r="X959" s="25"/>
      <c r="Y959" s="26"/>
      <c r="Z959" s="27"/>
      <c r="AA959" t="s">
        <v>25</v>
      </c>
      <c r="AB959" t="s">
        <v>201</v>
      </c>
      <c r="AC959" s="3"/>
      <c r="AH959" t="s">
        <v>202</v>
      </c>
      <c r="AK959" t="s">
        <v>203</v>
      </c>
      <c r="AP959" t="s">
        <v>200</v>
      </c>
      <c r="AR959" s="25"/>
      <c r="AT959" s="25">
        <v>0</v>
      </c>
      <c r="AU959" s="26"/>
      <c r="AV959" s="26"/>
      <c r="AW959" s="26"/>
      <c r="AX959" s="26" t="str">
        <f t="shared" si="42"/>
        <v/>
      </c>
      <c r="AY959" t="str">
        <f t="shared" si="43"/>
        <v/>
      </c>
      <c r="AZ959" t="s">
        <v>200</v>
      </c>
      <c r="BA959" s="3"/>
      <c r="BB959" t="str">
        <f t="shared" si="44"/>
        <v>Supplier code empty (High);No scrap rate (No impact);No raw material available (High);</v>
      </c>
    </row>
    <row r="960" spans="1:54" x14ac:dyDescent="0.3">
      <c r="A960" t="s">
        <v>3050</v>
      </c>
      <c r="B960" t="s">
        <v>3051</v>
      </c>
      <c r="C960" t="s">
        <v>2914</v>
      </c>
      <c r="D960" t="s">
        <v>2915</v>
      </c>
      <c r="L960">
        <v>0</v>
      </c>
      <c r="M960">
        <v>1</v>
      </c>
      <c r="N960" t="s">
        <v>3000</v>
      </c>
      <c r="O960">
        <v>0</v>
      </c>
      <c r="P960" t="s">
        <v>3000</v>
      </c>
      <c r="R960" s="3"/>
      <c r="W960" t="s">
        <v>200</v>
      </c>
      <c r="X960" s="25"/>
      <c r="Y960" s="26"/>
      <c r="Z960" s="27"/>
      <c r="AA960" t="s">
        <v>25</v>
      </c>
      <c r="AB960" t="s">
        <v>201</v>
      </c>
      <c r="AC960" s="3"/>
      <c r="AH960" t="s">
        <v>202</v>
      </c>
      <c r="AK960" t="s">
        <v>203</v>
      </c>
      <c r="AP960" t="s">
        <v>200</v>
      </c>
      <c r="AR960" s="25"/>
      <c r="AT960" s="25">
        <v>0</v>
      </c>
      <c r="AU960" s="26"/>
      <c r="AV960" s="26"/>
      <c r="AW960" s="26"/>
      <c r="AX960" s="26" t="str">
        <f t="shared" si="42"/>
        <v/>
      </c>
      <c r="AY960" t="str">
        <f t="shared" si="43"/>
        <v/>
      </c>
      <c r="AZ960" t="s">
        <v>200</v>
      </c>
      <c r="BA960" s="3"/>
      <c r="BB960" t="str">
        <f t="shared" si="44"/>
        <v>Supplier code empty (High);No scrap rate (No impact);No raw material available (High);</v>
      </c>
    </row>
    <row r="961" spans="1:54" x14ac:dyDescent="0.3">
      <c r="A961" t="s">
        <v>3052</v>
      </c>
      <c r="B961" t="s">
        <v>3053</v>
      </c>
      <c r="C961" t="s">
        <v>2914</v>
      </c>
      <c r="D961" t="s">
        <v>2915</v>
      </c>
      <c r="G961" t="s">
        <v>196</v>
      </c>
      <c r="H961" t="s">
        <v>197</v>
      </c>
      <c r="I961" t="s">
        <v>2805</v>
      </c>
      <c r="L961">
        <v>250</v>
      </c>
      <c r="M961">
        <v>1.2E-2</v>
      </c>
      <c r="N961" t="s">
        <v>198</v>
      </c>
      <c r="O961">
        <v>1.4999999999999999E-2</v>
      </c>
      <c r="P961" t="s">
        <v>198</v>
      </c>
      <c r="Q961" t="s">
        <v>199</v>
      </c>
      <c r="R961" s="3"/>
      <c r="W961" t="s">
        <v>200</v>
      </c>
      <c r="X961" s="25"/>
      <c r="Y961" s="26"/>
      <c r="Z961" s="27"/>
      <c r="AA961" t="s">
        <v>25</v>
      </c>
      <c r="AB961" t="s">
        <v>201</v>
      </c>
      <c r="AC961" s="3"/>
      <c r="AH961" t="s">
        <v>202</v>
      </c>
      <c r="AK961" t="s">
        <v>203</v>
      </c>
      <c r="AP961" t="s">
        <v>200</v>
      </c>
      <c r="AR961" s="25"/>
      <c r="AT961" s="25">
        <v>0</v>
      </c>
      <c r="AU961" s="26"/>
      <c r="AV961" s="26"/>
      <c r="AW961" s="26"/>
      <c r="AX961" s="26" t="str">
        <f t="shared" si="42"/>
        <v/>
      </c>
      <c r="AY961" t="str">
        <f t="shared" si="43"/>
        <v/>
      </c>
      <c r="AZ961" t="s">
        <v>200</v>
      </c>
      <c r="BA961" s="3"/>
      <c r="BB961" t="str">
        <f t="shared" si="44"/>
        <v>No scrap rate (No impact);</v>
      </c>
    </row>
    <row r="962" spans="1:54" x14ac:dyDescent="0.3">
      <c r="A962" t="s">
        <v>3054</v>
      </c>
      <c r="B962" t="s">
        <v>3055</v>
      </c>
      <c r="C962" t="s">
        <v>3056</v>
      </c>
      <c r="L962">
        <v>0</v>
      </c>
      <c r="M962">
        <v>0</v>
      </c>
      <c r="N962" t="s">
        <v>3057</v>
      </c>
      <c r="O962">
        <v>0</v>
      </c>
      <c r="P962" t="s">
        <v>3057</v>
      </c>
      <c r="R962" s="3"/>
      <c r="W962" t="s">
        <v>200</v>
      </c>
      <c r="X962" s="25"/>
      <c r="Y962" s="26"/>
      <c r="Z962" s="27"/>
      <c r="AA962" t="s">
        <v>25</v>
      </c>
      <c r="AB962" t="s">
        <v>201</v>
      </c>
      <c r="AC962" s="3"/>
      <c r="AH962" t="s">
        <v>202</v>
      </c>
      <c r="AK962" t="s">
        <v>203</v>
      </c>
      <c r="AP962" t="s">
        <v>200</v>
      </c>
      <c r="AR962" s="25"/>
      <c r="AT962" s="25">
        <v>0</v>
      </c>
      <c r="AU962" s="26"/>
      <c r="AV962" s="26"/>
      <c r="AW962" s="26"/>
      <c r="AX962" s="26" t="str">
        <f t="shared" si="42"/>
        <v/>
      </c>
      <c r="AY962" t="str">
        <f t="shared" si="43"/>
        <v/>
      </c>
      <c r="AZ962" t="s">
        <v>200</v>
      </c>
      <c r="BA962" s="3"/>
      <c r="BB962" t="str">
        <f t="shared" si="44"/>
        <v>Supplier code empty (High);No scrap rate (No impact);No raw material available (High);</v>
      </c>
    </row>
    <row r="963" spans="1:54" x14ac:dyDescent="0.3">
      <c r="A963" t="s">
        <v>3058</v>
      </c>
      <c r="B963" t="s">
        <v>3059</v>
      </c>
      <c r="C963" t="s">
        <v>3056</v>
      </c>
      <c r="L963">
        <v>0</v>
      </c>
      <c r="M963">
        <v>0</v>
      </c>
      <c r="N963" t="s">
        <v>3057</v>
      </c>
      <c r="O963">
        <v>0</v>
      </c>
      <c r="P963" t="s">
        <v>3057</v>
      </c>
      <c r="R963" s="3"/>
      <c r="W963" t="s">
        <v>200</v>
      </c>
      <c r="X963" s="25"/>
      <c r="Y963" s="26"/>
      <c r="Z963" s="27"/>
      <c r="AA963" t="s">
        <v>25</v>
      </c>
      <c r="AB963" t="s">
        <v>201</v>
      </c>
      <c r="AC963" s="3"/>
      <c r="AH963" t="s">
        <v>202</v>
      </c>
      <c r="AK963" t="s">
        <v>203</v>
      </c>
      <c r="AP963" t="s">
        <v>200</v>
      </c>
      <c r="AR963" s="25"/>
      <c r="AT963" s="25">
        <v>0</v>
      </c>
      <c r="AU963" s="26"/>
      <c r="AV963" s="26"/>
      <c r="AW963" s="26"/>
      <c r="AX963" s="26" t="str">
        <f t="shared" ref="AX963:AX1026" si="45">IF(COUNT(AU963,AV963,AW963)=0,"",ROUND(AVERAGE(AU963,AV963,AW963),3))</f>
        <v/>
      </c>
      <c r="AY963" t="str">
        <f t="shared" si="43"/>
        <v/>
      </c>
      <c r="AZ963" t="s">
        <v>200</v>
      </c>
      <c r="BA963" s="3"/>
      <c r="BB963" t="str">
        <f t="shared" si="44"/>
        <v>Supplier code empty (High);No scrap rate (No impact);No raw material available (High);</v>
      </c>
    </row>
    <row r="964" spans="1:54" x14ac:dyDescent="0.3">
      <c r="A964" t="s">
        <v>3060</v>
      </c>
      <c r="B964" t="s">
        <v>3061</v>
      </c>
      <c r="C964" t="s">
        <v>3056</v>
      </c>
      <c r="L964">
        <v>0</v>
      </c>
      <c r="M964">
        <v>0</v>
      </c>
      <c r="N964" t="s">
        <v>3057</v>
      </c>
      <c r="O964">
        <v>0</v>
      </c>
      <c r="P964" t="s">
        <v>3057</v>
      </c>
      <c r="R964" s="3"/>
      <c r="W964" t="s">
        <v>200</v>
      </c>
      <c r="X964" s="25"/>
      <c r="Y964" s="26"/>
      <c r="Z964" s="27"/>
      <c r="AA964" t="s">
        <v>25</v>
      </c>
      <c r="AB964" t="s">
        <v>201</v>
      </c>
      <c r="AC964" s="3"/>
      <c r="AH964" t="s">
        <v>202</v>
      </c>
      <c r="AK964" t="s">
        <v>203</v>
      </c>
      <c r="AP964" t="s">
        <v>200</v>
      </c>
      <c r="AR964" s="25"/>
      <c r="AT964" s="25">
        <v>0</v>
      </c>
      <c r="AU964" s="26"/>
      <c r="AV964" s="26"/>
      <c r="AW964" s="26"/>
      <c r="AX964" s="26" t="str">
        <f t="shared" si="45"/>
        <v/>
      </c>
      <c r="AY964" t="str">
        <f t="shared" si="43"/>
        <v/>
      </c>
      <c r="AZ964" t="s">
        <v>200</v>
      </c>
      <c r="BA964" s="3"/>
      <c r="BB964" t="str">
        <f t="shared" si="44"/>
        <v>Supplier code empty (High);No scrap rate (No impact);No raw material available (High);</v>
      </c>
    </row>
  </sheetData>
  <autoFilter ref="A2:BC964" xr:uid="{00000000-0009-0000-0000-000003000000}"/>
  <dataValidations count="5">
    <dataValidation type="list" allowBlank="1" sqref="S3:S964" xr:uid="{00000000-0002-0000-0300-000000000000}">
      <formula1>"PACT,TfS,ISO14067,other"</formula1>
    </dataValidation>
    <dataValidation type="list" allowBlank="1" sqref="T3:T964" xr:uid="{00000000-0002-0000-0300-000001000000}">
      <formula1>"Cradle-to-Gate,Cradle-to-Grave"</formula1>
    </dataValidation>
    <dataValidation type="list" allowBlank="1" sqref="AB3:AB964" xr:uid="{00000000-0002-0000-0300-000002000000}">
      <formula1>"Yes,No"</formula1>
    </dataValidation>
    <dataValidation type="list" allowBlank="1" sqref="AF3:AF964" xr:uid="{00000000-0002-0000-0300-000003000000}">
      <formula1>"electricity,renewable certified electricity,natural gas"</formula1>
    </dataValidation>
    <dataValidation type="list" allowBlank="1" sqref="AU3:AU964 AV3:AV964 AW3:AW964" xr:uid="{00000000-0002-0000-0300-000004000000}">
      <formula1>"1,2,3,4,5"</formula1>
    </dataValidation>
  </dataValidation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6DDEF9C20EFA740BF0093F45CF58928" ma:contentTypeVersion="17" ma:contentTypeDescription="Crée un document." ma:contentTypeScope="" ma:versionID="e54387e9e29b0999375c5a9c65674d80">
  <xsd:schema xmlns:xsd="http://www.w3.org/2001/XMLSchema" xmlns:xs="http://www.w3.org/2001/XMLSchema" xmlns:p="http://schemas.microsoft.com/office/2006/metadata/properties" xmlns:ns2="321d4b7d-0313-4ff7-a8e6-5d41e93d0e64" xmlns:ns3="c362adec-7443-4308-ab6c-36fa67d3d513" targetNamespace="http://schemas.microsoft.com/office/2006/metadata/properties" ma:root="true" ma:fieldsID="b834213eabe96dae93127b0f8182b637" ns2:_="" ns3:_="">
    <xsd:import namespace="321d4b7d-0313-4ff7-a8e6-5d41e93d0e64"/>
    <xsd:import namespace="c362adec-7443-4308-ab6c-36fa67d3d51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1d4b7d-0313-4ff7-a8e6-5d41e93d0e6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Balises d’images" ma:readOnly="false" ma:fieldId="{5cf76f15-5ced-4ddc-b409-7134ff3c332f}" ma:taxonomyMulti="true" ma:sspId="51ffef0f-144b-4bfd-ae5b-4222445b0c4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62adec-7443-4308-ab6c-36fa67d3d513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d1ebb150-ea9f-429f-a097-5a7abfe0268b}" ma:internalName="TaxCatchAll" ma:showField="CatchAllData" ma:web="c362adec-7443-4308-ab6c-36fa67d3d51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21d4b7d-0313-4ff7-a8e6-5d41e93d0e64">
      <Terms xmlns="http://schemas.microsoft.com/office/infopath/2007/PartnerControls"/>
    </lcf76f155ced4ddcb4097134ff3c332f>
    <TaxCatchAll xmlns="c362adec-7443-4308-ab6c-36fa67d3d513" xsi:nil="true"/>
  </documentManagement>
</p:properties>
</file>

<file path=customXml/itemProps1.xml><?xml version="1.0" encoding="utf-8"?>
<ds:datastoreItem xmlns:ds="http://schemas.openxmlformats.org/officeDocument/2006/customXml" ds:itemID="{3E333499-961C-49EB-9BF2-3A4B84EA6B9E}"/>
</file>

<file path=customXml/itemProps2.xml><?xml version="1.0" encoding="utf-8"?>
<ds:datastoreItem xmlns:ds="http://schemas.openxmlformats.org/officeDocument/2006/customXml" ds:itemID="{8DE0E632-8C0A-4CA7-8878-7916DECE317F}"/>
</file>

<file path=customXml/itemProps3.xml><?xml version="1.0" encoding="utf-8"?>
<ds:datastoreItem xmlns:ds="http://schemas.openxmlformats.org/officeDocument/2006/customXml" ds:itemID="{92F283BE-7576-48C6-99E7-36D08528544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UserGuide</vt:lpstr>
      <vt:lpstr>DQR_Guide</vt:lpstr>
      <vt:lpstr>Product</vt:lpstr>
      <vt:lpstr>Component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Thomas Gendron</cp:lastModifiedBy>
  <dcterms:created xsi:type="dcterms:W3CDTF">2026-09-24T14:51:18Z</dcterms:created>
  <dcterms:modified xsi:type="dcterms:W3CDTF">2026-09-30T09:29:24Z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0x01010056DDEF9C20EFA740BF0093F45CF58928</vt:lpwstr>
  </property>
  <property fmtid="{D5CDD505-2E9C-101B-9397-08002B2CF9AE}" pid="3" name="MediaServiceImageTags">
    <vt:lpwstr/>
  </property>
</Properties>
</file>