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UserGuide" sheetId="1" state="visible" r:id="rId1"/>
    <sheet name="Product" sheetId="2" state="visible" r:id="rId2"/>
    <sheet name="Component" sheetId="3" state="visible" r:id="rId3"/>
    <sheet name="DQR_Guid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56082"/>
      <sz val="16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color theme="0"/>
      <sz val="12"/>
    </font>
  </fonts>
  <fills count="11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C000"/>
      </patternFill>
    </fill>
    <fill>
      <patternFill patternType="solid">
        <fgColor rgb="FF13501B"/>
      </patternFill>
    </fill>
    <fill>
      <patternFill patternType="solid">
        <fgColor rgb="FFFBE3D6"/>
      </patternFill>
    </fill>
    <fill>
      <patternFill patternType="solid">
        <fgColor rgb="FFF6C6AD"/>
      </patternFill>
    </fill>
    <fill>
      <patternFill patternType="solid">
        <fgColor rgb="FF75A67C"/>
      </patternFill>
    </fill>
    <fill>
      <patternFill patternType="solid">
        <fgColor rgb="FFA3C4A7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538DD5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0" fillId="2" borderId="0" pivotButton="0" quotePrefix="0" xfId="0"/>
    <xf numFmtId="165" fontId="0" fillId="0" borderId="1" pivotButton="0" quotePrefix="0" xfId="0"/>
    <xf numFmtId="10" fontId="0" fillId="0" borderId="1" pivotButton="0" quotePrefix="0" xfId="0"/>
    <xf numFmtId="14" fontId="0" fillId="0" borderId="1" pivotButton="0" quotePrefix="0" xfId="0"/>
    <xf numFmtId="0" fontId="0" fillId="3" borderId="1" pivotButton="0" quotePrefix="0" xfId="0"/>
    <xf numFmtId="0" fontId="7" fillId="0" borderId="0" pivotButton="0" quotePrefix="0" xfId="0"/>
    <xf numFmtId="0" fontId="3" fillId="4" borderId="2" pivotButton="0" quotePrefix="0" xfId="0"/>
    <xf numFmtId="0" fontId="0" fillId="0" borderId="2" applyAlignment="1" pivotButton="0" quotePrefix="0" xfId="0">
      <alignment vertical="top" wrapText="1"/>
    </xf>
    <xf numFmtId="0" fontId="3" fillId="4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 textRotation="90" wrapText="1"/>
    </xf>
    <xf numFmtId="0" fontId="5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 wrapText="1"/>
    </xf>
    <xf numFmtId="0" fontId="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3" fillId="10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3" fillId="10" borderId="2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/>
  </cellStyles>
  <dxfs count="12"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103"/>
  <sheetViews>
    <sheetView showGridLines="0" tabSelected="1" workbookViewId="0">
      <pane xSplit="2" ySplit="1" topLeftCell="C60" activePane="bottomRight" state="frozen"/>
      <selection pane="topRight" activeCell="A1" sqref="A1"/>
      <selection pane="bottomLeft" activeCell="A1" sqref="A1"/>
      <selection pane="bottomRight" activeCell="B69" sqref="B69"/>
    </sheetView>
  </sheetViews>
  <sheetFormatPr baseColWidth="10" defaultColWidth="9.140625" defaultRowHeight="15"/>
  <cols>
    <col width="3" customWidth="1" min="1" max="1"/>
    <col width="122.42578125" customWidth="1" min="2" max="2"/>
    <col width="40" customWidth="1" min="3" max="3"/>
    <col width="30" customWidth="1" min="4" max="4"/>
  </cols>
  <sheetData>
    <row r="1" ht="21" customHeight="1">
      <c r="B1" s="1" t="inlineStr">
        <is>
          <t>SBM - PCF - LM references - Data collection</t>
        </is>
      </c>
    </row>
    <row r="3" ht="21.95" customHeight="1">
      <c r="B3" s="28" t="inlineStr">
        <is>
          <t>Purpose of this workbook</t>
        </is>
      </c>
    </row>
    <row r="4" ht="30" customHeight="1">
      <c r="B4" s="30" t="inlineStr">
        <is>
          <t>This workbook collects the data required to compute Product Carbon Footprints (PCF) for the SBM products referenced by Leroy Merlin (LM). It works at two levels:</t>
        </is>
      </c>
    </row>
    <row r="5" ht="30" customHeight="1">
      <c r="B5" s="30" t="inlineStr">
        <is>
          <t>• Product tab — one row per finished product. To be filled in by SBM for its own production processes, or by a supplier of finished products (a toller producing and packing a finished good on behalf of SBM, or a supplier of a trade product).</t>
        </is>
      </c>
    </row>
    <row r="6" ht="30" customHeight="1">
      <c r="B6" s="30" t="inlineStr">
        <is>
          <t>• Component tab — one row per component entering the composition of a finished product. To be filled in by SBM or by a supplier of components (raw material, packaging, semi-finished item, etc.).</t>
        </is>
      </c>
    </row>
    <row r="7" ht="22.5" customHeight="1">
      <c r="B7" s="2" t="n"/>
    </row>
    <row r="8" ht="21.95" customHeight="1">
      <c r="B8" s="28" t="inlineStr">
        <is>
          <t>How to fill the tabs</t>
        </is>
      </c>
    </row>
    <row r="9" ht="30" customHeight="1">
      <c r="B9" s="29" t="inlineStr">
        <is>
          <t>1. One row per product (Product tab) or per component (Component tab). Do not leave the SKU column empty: it is the key used to join the data.</t>
        </is>
      </c>
    </row>
    <row r="10" ht="30" customHeight="1">
      <c r="B10" s="29" t="inlineStr">
        <is>
          <t>2. Grey columns with vertical titles (e.g. 'Product Details', 'Supplier PCF', 'Transformation Details') are grouping markers used by the Excel outline (View &gt; Plan). You never type anything in them.</t>
        </is>
      </c>
    </row>
    <row r="11" ht="30" customHeight="1">
      <c r="B11" s="29" t="inlineStr">
        <is>
          <t>3. White columns are free inputs. Columns with a dropdown arrow accept only the listed values. Percentage columns expect a percentage (e.g. 3% — enter 0.03 or 3%).</t>
        </is>
      </c>
    </row>
    <row r="12" ht="30" customHeight="1">
      <c r="B12" s="29" t="inlineStr">
        <is>
          <t>4. Default values are pre-filled (units in kg, 'Supplier' as PCF source, 'No' for external review, etc.). Overwrite them only if your data is different.</t>
        </is>
      </c>
    </row>
    <row r="13" ht="30" customHeight="1">
      <c r="B13" s="29" t="inlineStr">
        <is>
          <t>5. Calculated columns are pre-filled with Excel formulas (Category description, Transformation DQR value, Transformation GHG). Do not overwrite them; they update automatically.</t>
        </is>
      </c>
    </row>
    <row r="14" ht="45" customHeight="1">
      <c r="B14" s="29" t="inlineStr">
        <is>
          <t>6. The orange 'Data validation flag' column is automatic: it raises a message when a value looks incorrect (empty supplier code, PDS above 100%, DQR outside 1-5, incorrect scrap rate...). Fix the flagged data, not the flag.</t>
        </is>
      </c>
    </row>
    <row r="15" ht="22.5" customHeight="1">
      <c r="B15" s="2" t="n"/>
    </row>
    <row r="16" ht="21.95" customHeight="1">
      <c r="B16" s="28" t="inlineStr">
        <is>
          <t>Supplier PCF block (Product &amp; Component)</t>
        </is>
      </c>
    </row>
    <row r="17" ht="75" customHeight="1">
      <c r="B17" s="29" t="inlineStr">
        <is>
          <t>If the supplier already communicates a PCF for the finished product or the component, fill 'Supplier PCF value' and its unit. When this value is filled, the raw-material emission-factor section of the calculator is bypassed. 'Supplier PDS' (share of primary data, as a percentage) and 'Supplier DQR' (data quality rating, 1 = excellent, 5 = poor) override the calculated values. 'Supplier PCF external review' = Yes if the PCF has been validated by a third party.</t>
        </is>
      </c>
    </row>
    <row r="18" ht="22.5" customHeight="1">
      <c r="B18" s="2" t="n"/>
    </row>
    <row r="19" ht="21.95" customHeight="1">
      <c r="B19" s="28" t="inlineStr">
        <is>
          <t>Transformation block (Product &amp; Component)</t>
        </is>
      </c>
    </row>
    <row r="20" ht="75" customHeight="1">
      <c r="B20" s="29" t="inlineStr">
        <is>
          <t>Describe the transformation process applied to the product/component (name, emission factor from EcoInvent, unit, source) and the energy used. 'Transformation Process Scrap Rate' is the share of material lost as production waste, as a percentage (e.g. 3%). It increases the effective material weight: Transformation GHG = Process EF x Quantity x Net Weight x (1 + Scrap Rate). Leave it empty if unknown — no extra material is then assumed.</t>
        </is>
      </c>
    </row>
    <row r="21" ht="30" customHeight="1">
      <c r="B21" s="29" t="inlineStr">
        <is>
          <t>The three DQR scores rate the emission factor data quality. 'Transformation DQR value' is their average and is computed automatically.</t>
        </is>
      </c>
    </row>
    <row r="22" ht="22.5" customHeight="1">
      <c r="B22" s="2" t="n"/>
    </row>
    <row r="23" ht="21.95" customHeight="1">
      <c r="B23" s="28" t="inlineStr">
        <is>
          <t>Data Quality Rating (DQR) — PACT methodology</t>
        </is>
      </c>
    </row>
    <row r="24" ht="45" customHeight="1">
      <c r="B24" s="2" t="inlineStr">
        <is>
          <t>The DQR rates each emission factor on three dimensions (Geography, technology, temporality) , each scored 1 (best) to 5 (worst). The overall DQR of a data set is the average of the three scores: below 1.5 = excellent, 1.5-2.0 = very good, 2.0-3.0 = good, 3.0-4.0 = fair, above 4.0 = poor quality.</t>
        </is>
      </c>
    </row>
    <row r="25">
      <c r="B25" s="2" t="inlineStr">
        <is>
          <t>Please refer to the tab DQR_Guide for detailed information on the values to select.</t>
        </is>
      </c>
    </row>
    <row r="26" ht="22.5" customHeight="1">
      <c r="B26" s="2" t="n"/>
    </row>
    <row r="27" ht="21.95" customHeight="1">
      <c r="B27" s="28" t="inlineStr">
        <is>
          <t>Column reference — Product tab</t>
        </is>
      </c>
    </row>
    <row r="28" ht="19.5" customFormat="1" customHeight="1" s="31">
      <c r="B28" s="29" t="inlineStr">
        <is>
          <t>• Product SKU — Unique reference of the product (Leroy Merlin supplier reference, e.g. SORHOY15). Mandatory key.</t>
        </is>
      </c>
    </row>
    <row r="29" ht="19.5" customFormat="1" customHeight="1" s="31">
      <c r="B29" s="29" t="inlineStr">
        <is>
          <t>• Product Designation — Name of the product, giving additional detail.</t>
        </is>
      </c>
    </row>
    <row r="30" ht="19.5" customFormat="1" customHeight="1" s="31">
      <c r="B30" s="29" t="inlineStr">
        <is>
          <t>• Category Code — SAGE category assigned to the product (e.g. PDTMP).</t>
        </is>
      </c>
    </row>
    <row r="31" ht="19.5" customFormat="1" customHeight="1" s="31">
      <c r="B31" s="29" t="inlineStr">
        <is>
          <t>• Category description — Description of the category. Filled automatically by the calculator from the Category Code.</t>
        </is>
      </c>
    </row>
    <row r="32" ht="19.5" customFormat="1" customHeight="1" s="31">
      <c r="B32" s="29" t="inlineStr">
        <is>
          <t>• Supplier Code — Unique reference identifying the supplier of the finished product. If empty, a flag is raised (High impact).</t>
        </is>
      </c>
    </row>
    <row r="33" ht="19.5" customFormat="1" customHeight="1" s="31">
      <c r="B33" s="29" t="inlineStr">
        <is>
          <t>• Supplier Name — Name of the supplier.</t>
        </is>
      </c>
    </row>
    <row r="34" ht="19.5" customFormat="1" customHeight="1" s="31">
      <c r="B34" s="29" t="inlineStr">
        <is>
          <t>• Pack Unit Box — Number of units received from the supplier per product pack.</t>
        </is>
      </c>
    </row>
    <row r="35" ht="19.5" customFormat="1" customHeight="1" s="31">
      <c r="B35" s="29" t="inlineStr">
        <is>
          <t>• Net Weight — Mass of the product itself, excluding primary packaging, in kg.</t>
        </is>
      </c>
    </row>
    <row r="36" ht="19.5" customFormat="1" customHeight="1" s="31">
      <c r="B36" s="29" t="inlineStr">
        <is>
          <t>• Gross Weight — Mass of the product including its primary packaging, in kg. If 0, the calculator defaults to the Net Weight.</t>
        </is>
      </c>
    </row>
    <row r="37" ht="19.5" customFormat="1" customHeight="1" s="31">
      <c r="B37" s="29" t="inlineStr">
        <is>
          <t>• Stock unit — Purchase form of the product (UNIT, CARTON, etc.).</t>
        </is>
      </c>
    </row>
    <row r="38" ht="30" customFormat="1" customHeight="1" s="31">
      <c r="B38" s="29" t="inlineStr">
        <is>
          <t>• Supplier PCF value — Total PCF of the product, provided by the supplier (kgCO2e/product). If filled, the raw-material emission-factor section is bypassed.</t>
        </is>
      </c>
    </row>
    <row r="39" ht="30" customFormat="1" customHeight="1" s="31">
      <c r="B39" s="29" t="inlineStr">
        <is>
          <t>• Supplier PDS — Share of primary data in the supplier PCF, as a percentage. If above 100% or negative, a flag is raised; above 50%, a medium-impact flag is raised.</t>
        </is>
      </c>
    </row>
    <row r="40" ht="19.5" customFormat="1" customHeight="1" s="31">
      <c r="B40" s="29" t="inlineStr">
        <is>
          <t>• Supplier DQR — Data quality rating of the supplier PCF (1 to 5). Must be between 1 and 5; outside this range a flag is raised.</t>
        </is>
      </c>
    </row>
    <row r="41" ht="19.5" customFormat="1" customHeight="1" s="31">
      <c r="B41" s="29" t="inlineStr">
        <is>
          <t>• Supplier PCF date — Date of validation of the PCF (DD/MM/YYYY).</t>
        </is>
      </c>
    </row>
    <row r="42" ht="19.5" customFormat="1" customHeight="1" s="31">
      <c r="B42" s="29" t="inlineStr">
        <is>
          <t>• Supplier PCF source — Reference of the data source (supplier, database, study). Defaults to 'Supplier'.</t>
        </is>
      </c>
    </row>
    <row r="43" ht="19.5" customFormat="1" customHeight="1" s="31">
      <c r="B43" s="29" t="inlineStr">
        <is>
          <t>• Supplier PCF external review — Yes/No — has the PCF been validated by a third party? Defaults to No.</t>
        </is>
      </c>
    </row>
    <row r="44" ht="19.5" customFormat="1" customHeight="1" s="31">
      <c r="B44" s="29" t="inlineStr">
        <is>
          <t>• Transformation Process Name — Name of the transformation process applied to the product.</t>
        </is>
      </c>
    </row>
    <row r="45" ht="30" customFormat="1" customHeight="1" s="31">
      <c r="B45" s="29" t="inlineStr">
        <is>
          <t>• Transformation Process EF Value — Emission factor of the transformation process (indicator Climate Change GWP100), sourced from EcoInvent.</t>
        </is>
      </c>
    </row>
    <row r="46" ht="45" customFormat="1" customHeight="1" s="31">
      <c r="B46" s="29" t="inlineStr">
        <is>
          <t>• Transformation Process Scrap Rate — Loss/scrap rate of the product during the transformation process, as a percentage (e.g. 3%). It accounts for the extra material consumed to compensate for production waste: Transformation GHG = Process EF x Quantity x Net Weight x (1 + Scrap Rate). Leave empty if unknown.</t>
        </is>
      </c>
    </row>
    <row r="47" ht="30" customFormat="1" customHeight="1" s="31">
      <c r="B47" s="29" t="inlineStr">
        <is>
          <t>• Transformation Energy Name / EF Value — Energy source used for the transformation process and its emission factor (production &amp; use), sourced from EcoInvent.</t>
        </is>
      </c>
    </row>
    <row r="48" ht="30" customFormat="1" customHeight="1" s="31">
      <c r="B48" s="29" t="inlineStr">
        <is>
          <t>• Transformation PDS value — Share of primary data for the transformation emission factors, as a percentage. Defaults to 0 (secondary data).</t>
        </is>
      </c>
    </row>
    <row r="49" ht="19.5" customFormat="1" customHeight="1" s="31">
      <c r="B49" s="29" t="inlineStr">
        <is>
          <t>• Transformation GEO/TECH/TEMP DQR — DQR scores of the transformation emission factor per the PACT grid (see DQR section above).</t>
        </is>
      </c>
    </row>
    <row r="50" ht="19.5" customFormat="1" customHeight="1" s="31">
      <c r="B50" s="29" t="inlineStr">
        <is>
          <t>• Transformation DQR value — Average of the GEO, TECH and TEMP DQR scores. Calculated automatically — do not overwrite.</t>
        </is>
      </c>
    </row>
    <row r="51" ht="30" customFormat="1" customHeight="1" s="31">
      <c r="B51" s="29" t="inlineStr">
        <is>
          <t>• Transformation GHG — GHG emissions of the transformation process. Calculated automatically: Process EF x Quantity x Net Weight x (1 + Scrap Rate).</t>
        </is>
      </c>
    </row>
    <row r="52" ht="19.5" customFormat="1" customHeight="1" s="31">
      <c r="B52" s="29" t="inlineStr">
        <is>
          <t>• Data validation flag — Automatic warnings raised during the calculation. Orange column.</t>
        </is>
      </c>
    </row>
    <row r="53" ht="19.5" customFormat="1" customHeight="1" s="31">
      <c r="B53" s="29" t="inlineStr">
        <is>
          <t>• Data validation flag impact — Impact level of each flag (High / Medium / Low / No impact), set by the calculator.</t>
        </is>
      </c>
    </row>
    <row r="54" ht="30" customHeight="1">
      <c r="B54" s="2" t="n"/>
    </row>
    <row r="55" ht="21.95" customHeight="1">
      <c r="B55" s="28" t="inlineStr">
        <is>
          <t>Column reference — Component tab</t>
        </is>
      </c>
    </row>
    <row r="56" ht="19.5" customFormat="1" customHeight="1" s="31">
      <c r="B56" s="29" t="inlineStr">
        <is>
          <t>• Component SKU — Unique reference of the component associated with the finished product. Mandatory key.</t>
        </is>
      </c>
    </row>
    <row r="57" ht="19.5" customFormat="1" customHeight="1" s="31">
      <c r="B57" s="29" t="inlineStr">
        <is>
          <t>• Component Designation — Name of the component, giving additional detail.</t>
        </is>
      </c>
    </row>
    <row r="58" ht="30" customFormat="1" customHeight="1" s="31">
      <c r="B58" s="29" t="inlineStr">
        <is>
          <t>• Category Code / Category description — SAGE category of the component and its description (description is filled automatically from the code).</t>
        </is>
      </c>
    </row>
    <row r="59" ht="30" customFormat="1" customHeight="1" s="31">
      <c r="B59" s="29" t="inlineStr">
        <is>
          <t>• Carbon category / Carbon sub category — SBM carbon classification of the component (Raw Material / Packaging / ...), derived from the Category Code.</t>
        </is>
      </c>
    </row>
    <row r="60" ht="30" customFormat="1" customHeight="1" s="31">
      <c r="B60" s="29" t="inlineStr">
        <is>
          <t>• UVP description — Description of the UVP (unité de vente produit) from SBM. If UVP description, Raw Material (MB Product) and Raw Material - Carbon Footprint are all empty, a 'No raw material available' flag (High impact) is raised.</t>
        </is>
      </c>
    </row>
    <row r="61" ht="19.5" customFormat="1" customHeight="1" s="31">
      <c r="B61" s="29" t="inlineStr">
        <is>
          <t>• Raw Material (MB Product) — Description of the raw material stored in the Masterbase product file.</t>
        </is>
      </c>
    </row>
    <row r="62" ht="19.5" customFormat="1" customHeight="1" s="31">
      <c r="B62" s="29" t="inlineStr">
        <is>
          <t>• Raw Material - Carbon Footprint — Description of the raw material identified in the carbon footprint.</t>
        </is>
      </c>
    </row>
    <row r="63" ht="19.5" customFormat="1" customHeight="1" s="31">
      <c r="B63" s="29" t="inlineStr">
        <is>
          <t>• Pack unit box / Net Weight / Gross Weight / Stock unit — Same definitions as the Product tab, at component level.</t>
        </is>
      </c>
    </row>
    <row r="64" ht="19.5" customFormat="1" customHeight="1" s="31">
      <c r="B64" s="29" t="inlineStr">
        <is>
          <t>• Supplier PCF block — Same definitions as the Product tab. The unit defaults to kgCO2e/component.</t>
        </is>
      </c>
    </row>
    <row r="65" ht="19.5" customFormat="1" customHeight="1" s="31">
      <c r="B65" s="29" t="inlineStr">
        <is>
          <t>• Transformation block — Same definitions as the Product tab.</t>
        </is>
      </c>
    </row>
    <row r="67" ht="18.75" customHeight="1">
      <c r="B67" s="10" t="inlineStr">
        <is>
          <t>How to collect the data from suppliers</t>
        </is>
      </c>
    </row>
    <row r="68" ht="30" customHeight="1">
      <c r="B68" s="2" t="inlineStr">
        <is>
          <t>To compute robust PCFs for the SBM range, energy data must be collected on the components purchased by SBM.</t>
        </is>
      </c>
    </row>
    <row r="69">
      <c r="B69" s="2" t="inlineStr">
        <is>
          <t>Data collection is structured in 2 quality levels:</t>
        </is>
      </c>
    </row>
    <row r="70">
      <c r="B70" s="2" t="inlineStr">
        <is>
          <t>Level 1: The supplier already holds the PCF of its component.</t>
        </is>
      </c>
    </row>
    <row r="71" ht="30" customHeight="1">
      <c r="B71" s="2" t="inlineStr">
        <is>
          <t>If the supplier has already carried out PCFs or LCAs, it holds the precise figure for the component. The information to request is:</t>
        </is>
      </c>
    </row>
    <row r="72">
      <c r="B72" s="11" t="inlineStr">
        <is>
          <t>Question to ask</t>
        </is>
      </c>
      <c r="C72" s="11" t="inlineStr">
        <is>
          <t>Field to fill</t>
        </is>
      </c>
      <c r="D72" s="11" t="inlineStr">
        <is>
          <t>Person in charge of the collection</t>
        </is>
      </c>
    </row>
    <row r="73">
      <c r="B73" s="12" t="inlineStr">
        <is>
          <t>Do you hold the PCF of [SKU]?</t>
        </is>
      </c>
      <c r="C73" s="12" t="inlineStr">
        <is>
          <t>Component SKU</t>
        </is>
      </c>
      <c r="D73" s="12" t="inlineStr">
        <is>
          <t>SBM</t>
        </is>
      </c>
    </row>
    <row r="74">
      <c r="B74" s="12" t="inlineStr">
        <is>
          <t>What is the calculation methodology?</t>
        </is>
      </c>
      <c r="C74" s="12" t="inlineStr">
        <is>
          <t>Supplier PCF framework</t>
        </is>
      </c>
      <c r="D74" s="12" t="inlineStr">
        <is>
          <t>Supplier</t>
        </is>
      </c>
    </row>
    <row r="75">
      <c r="B75" s="12" t="inlineStr">
        <is>
          <t>What is the scope of the PCF?</t>
        </is>
      </c>
      <c r="C75" s="12" t="inlineStr">
        <is>
          <t>Supplier PCF scope</t>
        </is>
      </c>
      <c r="D75" s="12" t="inlineStr">
        <is>
          <t>Supplier</t>
        </is>
      </c>
    </row>
    <row r="76">
      <c r="B76" s="12" t="inlineStr">
        <is>
          <t>What is the declared (functional) unit of the calculation?</t>
        </is>
      </c>
      <c r="C76" s="12" t="inlineStr">
        <is>
          <t>Supplier PCF declared unit</t>
        </is>
      </c>
      <c r="D76" s="12" t="inlineStr">
        <is>
          <t>Supplier</t>
        </is>
      </c>
    </row>
    <row r="77">
      <c r="B77" s="12" t="inlineStr">
        <is>
          <t>What is the PCF value?</t>
        </is>
      </c>
      <c r="C77" s="12" t="inlineStr">
        <is>
          <t>Supplier PCF value</t>
        </is>
      </c>
      <c r="D77" s="12" t="inlineStr">
        <is>
          <t>Supplier</t>
        </is>
      </c>
    </row>
    <row r="78">
      <c r="B78" s="12" t="inlineStr">
        <is>
          <t>Do you have the PDS calculation of the PCF? If yes, provide it. (Mandatory data)</t>
        </is>
      </c>
      <c r="C78" s="12" t="inlineStr">
        <is>
          <t>Supplier PDS</t>
        </is>
      </c>
      <c r="D78" s="12" t="inlineStr">
        <is>
          <t>Supplier</t>
        </is>
      </c>
    </row>
    <row r="79">
      <c r="B79" s="12" t="inlineStr">
        <is>
          <t>Do you have the DQR calculation of the PCF? If yes, provide it.</t>
        </is>
      </c>
      <c r="C79" s="12" t="inlineStr">
        <is>
          <t>Supplier DQR</t>
        </is>
      </c>
      <c r="D79" s="12" t="inlineStr">
        <is>
          <t>Supplier</t>
        </is>
      </c>
    </row>
    <row r="80">
      <c r="B80" s="12" t="inlineStr">
        <is>
          <t>In which year was the PCF calculated?</t>
        </is>
      </c>
      <c r="C80" s="12" t="inlineStr">
        <is>
          <t>Supplier PCF date</t>
        </is>
      </c>
      <c r="D80" s="12" t="inlineStr">
        <is>
          <t>Supplier</t>
        </is>
      </c>
    </row>
    <row r="81">
      <c r="B81" s="12" t="inlineStr">
        <is>
          <t>Has this PCF been certified?</t>
        </is>
      </c>
      <c r="C81" s="12" t="inlineStr">
        <is>
          <t>Supplier PCF external review</t>
        </is>
      </c>
      <c r="D81" s="12" t="inlineStr">
        <is>
          <t>Supplier</t>
        </is>
      </c>
    </row>
    <row r="82">
      <c r="B82" s="12" t="inlineStr">
        <is>
          <t>Where does the collected data come from?</t>
        </is>
      </c>
      <c r="C82" s="12" t="inlineStr">
        <is>
          <t>Supplier PCF source</t>
        </is>
      </c>
      <c r="D82" s="12" t="inlineStr">
        <is>
          <t>SBM</t>
        </is>
      </c>
    </row>
    <row r="83">
      <c r="B83" s="2" t="n"/>
    </row>
    <row r="84" ht="30" customHeight="1">
      <c r="B84" s="2" t="inlineStr">
        <is>
          <t>Level 2: The supplier knows the energy associated with the manufacture of the component, or its production process.</t>
        </is>
      </c>
    </row>
    <row r="85">
      <c r="B85" s="2" t="inlineStr">
        <is>
          <t>The supplier holds the specific energy figure for the component.</t>
        </is>
      </c>
    </row>
    <row r="86">
      <c r="B86" s="2" t="inlineStr">
        <is>
          <t>The supplier knows the production process of the component very well.</t>
        </is>
      </c>
    </row>
    <row r="87">
      <c r="B87" s="2" t="inlineStr">
        <is>
          <t>The supplier knows its emissions per production line or per site.</t>
        </is>
      </c>
    </row>
    <row r="88">
      <c r="B88" s="11" t="inlineStr">
        <is>
          <t>Question to ask</t>
        </is>
      </c>
      <c r="C88" s="11" t="inlineStr">
        <is>
          <t>Field to fill</t>
        </is>
      </c>
      <c r="D88" s="11" t="inlineStr">
        <is>
          <t>Person in charge of the collection</t>
        </is>
      </c>
    </row>
    <row r="89">
      <c r="B89" s="12" t="inlineStr">
        <is>
          <t>Which component are we referring to?</t>
        </is>
      </c>
      <c r="C89" s="12" t="inlineStr">
        <is>
          <t>Component SKU</t>
        </is>
      </c>
      <c r="D89" s="12" t="inlineStr">
        <is>
          <t>SBM</t>
        </is>
      </c>
    </row>
    <row r="90">
      <c r="B90" s="12" t="inlineStr">
        <is>
          <t>What is the unit of the monitored or computed transformation?</t>
        </is>
      </c>
      <c r="C90" s="12" t="inlineStr">
        <is>
          <t>Transformation Process declared unit</t>
        </is>
      </c>
      <c r="D90" s="12" t="inlineStr">
        <is>
          <t>Supplier or SBM</t>
        </is>
      </c>
    </row>
    <row r="91">
      <c r="B91" s="12" t="inlineStr">
        <is>
          <t>In which country does the transformation take place?</t>
        </is>
      </c>
      <c r="C91" s="12" t="inlineStr">
        <is>
          <t>Transformation Process location</t>
        </is>
      </c>
      <c r="D91" s="12" t="inlineStr">
        <is>
          <t>Supplier</t>
        </is>
      </c>
    </row>
    <row r="92">
      <c r="B92" s="12" t="inlineStr">
        <is>
          <t>What type of energy is used to manufacture the component?</t>
        </is>
      </c>
      <c r="C92" s="12" t="inlineStr">
        <is>
          <t>Transformation Energy Type</t>
        </is>
      </c>
      <c r="D92" s="12" t="inlineStr">
        <is>
          <t>Supplier</t>
        </is>
      </c>
    </row>
    <row r="93">
      <c r="B93" s="12" t="inlineStr">
        <is>
          <t>How much energy is used?</t>
        </is>
      </c>
      <c r="C93" s="12" t="inlineStr">
        <is>
          <t>Transformation Energy Consumption</t>
        </is>
      </c>
      <c r="D93" s="12" t="inlineStr">
        <is>
          <t>Supplier</t>
        </is>
      </c>
    </row>
    <row r="94">
      <c r="B94" s="12" t="inlineStr">
        <is>
          <t>What is the name of the transformation process used?</t>
        </is>
      </c>
      <c r="C94" s="12" t="inlineStr">
        <is>
          <t>Transformation Process Name</t>
        </is>
      </c>
      <c r="D94" s="12" t="inlineStr">
        <is>
          <t>Supplier</t>
        </is>
      </c>
    </row>
    <row r="95">
      <c r="B95" s="12" t="inlineStr">
        <is>
          <t>Is there a scrap rate associated with the process?</t>
        </is>
      </c>
      <c r="C95" s="12" t="inlineStr">
        <is>
          <t>Transformation Process Scrap Rate</t>
        </is>
      </c>
      <c r="D95" s="12" t="inlineStr">
        <is>
          <t>Supplier</t>
        </is>
      </c>
    </row>
    <row r="96">
      <c r="B96" s="12" t="inlineStr">
        <is>
          <t>Does the supplier have a comment on the robustness of the information?</t>
        </is>
      </c>
      <c r="C96" s="12" t="inlineStr">
        <is>
          <t>Transformation Process Comment</t>
        </is>
      </c>
      <c r="D96" s="12" t="inlineStr">
        <is>
          <t>Supplier</t>
        </is>
      </c>
    </row>
    <row r="97">
      <c r="B97" s="12" t="inlineStr">
        <is>
          <t>Source of the data (monitored, computed or estimated)</t>
        </is>
      </c>
      <c r="C97" s="12" t="inlineStr">
        <is>
          <t>Transformation Energy EF Source</t>
        </is>
      </c>
      <c r="D97" s="12" t="inlineStr">
        <is>
          <t>SBM</t>
        </is>
      </c>
    </row>
    <row r="98">
      <c r="B98" s="2" t="n"/>
    </row>
    <row r="99" ht="18.75" customHeight="1">
      <c r="B99" s="10" t="inlineStr">
        <is>
          <t>Risks associated with data estimation</t>
        </is>
      </c>
    </row>
    <row r="100">
      <c r="B100" s="2" t="inlineStr">
        <is>
          <t>1. Using a proxy far from reality, therefore over- or under-estimating the value.</t>
        </is>
      </c>
    </row>
    <row r="101">
      <c r="B101" s="2" t="inlineStr">
        <is>
          <t>2. Not finding a proxy for the requested process.</t>
        </is>
      </c>
    </row>
    <row r="102" ht="30" customHeight="1">
      <c r="B102" s="2" t="inlineStr">
        <is>
          <t>3. Making a site-level consumption approximation, which under-estimates high-consuming products and over-estimates low-consuming ones.</t>
        </is>
      </c>
    </row>
    <row r="103" ht="30" customHeight="1">
      <c r="B103" s="2" t="inlineStr">
        <is>
          <t>The main risk for SBM is to over/under-evaluate products. PCF quality is lost and there is a risk of missing the right orders of magnitude for some product typologies.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201"/>
  <sheetViews>
    <sheetView showGridLines="0" workbookViewId="0">
      <pane xSplit="2" ySplit="1" topLeftCell="AE2" activePane="bottomRight" state="frozen"/>
      <selection pane="topRight" activeCell="A1" sqref="A1"/>
      <selection pane="bottomLeft" activeCell="A1" sqref="A1"/>
      <selection pane="bottomRight" activeCell="AE18" sqref="AE18"/>
    </sheetView>
  </sheetViews>
  <sheetFormatPr baseColWidth="10" defaultColWidth="9.140625" defaultRowHeight="15"/>
  <cols>
    <col width="18" customWidth="1" min="1" max="2"/>
    <col outlineLevel="1" width="18" customWidth="1" min="3" max="3"/>
    <col width="18" customWidth="1" min="4" max="12"/>
    <col width="3.42578125" customWidth="1" min="13" max="13"/>
    <col width="18" customWidth="1" min="14" max="15"/>
    <col outlineLevel="1" width="18" customWidth="1" min="16" max="16"/>
    <col width="18" customWidth="1" min="17" max="20"/>
    <col width="3.42578125" customWidth="1" min="21" max="21"/>
    <col outlineLevel="1" width="18" customWidth="1" min="22" max="22"/>
    <col width="18" customWidth="1" min="23" max="39"/>
    <col width="3.42578125" customWidth="1" min="40" max="40"/>
    <col width="45" customWidth="1" min="41" max="41"/>
    <col width="15" customWidth="1" min="42" max="42"/>
  </cols>
  <sheetData>
    <row r="1" ht="60" customHeight="1">
      <c r="A1" s="13" t="inlineStr">
        <is>
          <t>Product SKU</t>
        </is>
      </c>
      <c r="B1" s="13" t="inlineStr">
        <is>
          <t>Product Designation</t>
        </is>
      </c>
      <c r="C1" s="13" t="inlineStr">
        <is>
          <t>Category Code</t>
        </is>
      </c>
      <c r="D1" s="13" t="inlineStr">
        <is>
          <t>Category description</t>
        </is>
      </c>
      <c r="E1" s="13" t="inlineStr">
        <is>
          <t>Supplier Code</t>
        </is>
      </c>
      <c r="F1" s="13" t="inlineStr">
        <is>
          <t>Supplier Name</t>
        </is>
      </c>
      <c r="G1" s="13" t="inlineStr">
        <is>
          <t>Pack Unit Box</t>
        </is>
      </c>
      <c r="H1" s="13" t="inlineStr">
        <is>
          <t>Net Weight</t>
        </is>
      </c>
      <c r="I1" s="13" t="inlineStr">
        <is>
          <t>Net Weight Unit</t>
        </is>
      </c>
      <c r="J1" s="13" t="inlineStr">
        <is>
          <t>Gross Weight</t>
        </is>
      </c>
      <c r="K1" s="13" t="inlineStr">
        <is>
          <t>Gross Weight Unit</t>
        </is>
      </c>
      <c r="L1" s="13" t="inlineStr">
        <is>
          <t>Stock unit</t>
        </is>
      </c>
      <c r="M1" s="14" t="inlineStr">
        <is>
          <t>Product Details</t>
        </is>
      </c>
      <c r="N1" s="15" t="inlineStr">
        <is>
          <t>Supplier PCF value</t>
        </is>
      </c>
      <c r="O1" s="15" t="inlineStr">
        <is>
          <t>Supplier PCF Unit</t>
        </is>
      </c>
      <c r="P1" s="15" t="inlineStr">
        <is>
          <t>Supplier PDS</t>
        </is>
      </c>
      <c r="Q1" s="15" t="inlineStr">
        <is>
          <t>Supplier DQR</t>
        </is>
      </c>
      <c r="R1" s="15" t="inlineStr">
        <is>
          <t>Supplier PCF date</t>
        </is>
      </c>
      <c r="S1" s="15" t="inlineStr">
        <is>
          <t>Supplier PCF source</t>
        </is>
      </c>
      <c r="T1" s="15" t="inlineStr">
        <is>
          <t>Supplier PCF external review</t>
        </is>
      </c>
      <c r="U1" s="14" t="inlineStr">
        <is>
          <t>Supplier PCF</t>
        </is>
      </c>
      <c r="V1" s="16" t="inlineStr">
        <is>
          <t>Transformation Process Name</t>
        </is>
      </c>
      <c r="W1" s="16" t="inlineStr">
        <is>
          <t>Transformation Process EF Name</t>
        </is>
      </c>
      <c r="X1" s="16" t="inlineStr">
        <is>
          <t>Transformation Process EF Value</t>
        </is>
      </c>
      <c r="Y1" s="16" t="inlineStr">
        <is>
          <t>Transformation Process EF Unit</t>
        </is>
      </c>
      <c r="Z1" s="16" t="inlineStr">
        <is>
          <t>Transformation Process EF Source</t>
        </is>
      </c>
      <c r="AA1" s="16" t="inlineStr">
        <is>
          <t>Transformation Process Scrap Rate</t>
        </is>
      </c>
      <c r="AB1" s="16" t="inlineStr">
        <is>
          <t>Transformation Energy Name</t>
        </is>
      </c>
      <c r="AC1" s="16" t="inlineStr">
        <is>
          <t>Transformation Energy EF Name</t>
        </is>
      </c>
      <c r="AD1" s="16" t="inlineStr">
        <is>
          <t>Transformation Energy EF Value</t>
        </is>
      </c>
      <c r="AE1" s="16" t="inlineStr">
        <is>
          <t>Transformation Energy EF Unit</t>
        </is>
      </c>
      <c r="AF1" s="16" t="inlineStr">
        <is>
          <t>Transformation Energy EF Source</t>
        </is>
      </c>
      <c r="AG1" s="16" t="inlineStr">
        <is>
          <t>Transformation PDS value</t>
        </is>
      </c>
      <c r="AH1" s="16" t="inlineStr">
        <is>
          <t>Transformation GEO DQR</t>
        </is>
      </c>
      <c r="AI1" s="16" t="inlineStr">
        <is>
          <t>Transformation TECH DQR</t>
        </is>
      </c>
      <c r="AJ1" s="16" t="inlineStr">
        <is>
          <t>Transformation TEMP DQR</t>
        </is>
      </c>
      <c r="AK1" s="16" t="inlineStr">
        <is>
          <t>Transformation DQR value</t>
        </is>
      </c>
      <c r="AL1" s="16" t="inlineStr">
        <is>
          <t>Transformation GHG</t>
        </is>
      </c>
      <c r="AM1" s="16" t="inlineStr">
        <is>
          <t>Transformation GHG Unit</t>
        </is>
      </c>
      <c r="AN1" s="14" t="inlineStr">
        <is>
          <t>Transformation Details</t>
        </is>
      </c>
      <c r="AO1" s="17" t="inlineStr">
        <is>
          <t>Data validation flag</t>
        </is>
      </c>
      <c r="AP1" s="17" t="inlineStr">
        <is>
          <t>Data validation flag impact</t>
        </is>
      </c>
    </row>
    <row r="2">
      <c r="A2" s="3" t="n"/>
      <c r="B2" s="3" t="n"/>
      <c r="C2" s="3" t="n"/>
      <c r="D2" s="3" t="n"/>
      <c r="E2" s="3" t="n"/>
      <c r="F2" s="3" t="n"/>
      <c r="G2" s="4" t="n"/>
      <c r="H2" s="4" t="n"/>
      <c r="I2" s="3" t="inlineStr">
        <is>
          <t>kg</t>
        </is>
      </c>
      <c r="J2" s="4" t="n"/>
      <c r="K2" s="3" t="inlineStr">
        <is>
          <t>kg</t>
        </is>
      </c>
      <c r="L2" s="3" t="n"/>
      <c r="M2" s="5" t="n"/>
      <c r="N2" s="6" t="n"/>
      <c r="O2" s="3" t="inlineStr">
        <is>
          <t>kgCO2e/product</t>
        </is>
      </c>
      <c r="P2" s="7" t="n"/>
      <c r="Q2" s="4" t="n"/>
      <c r="R2" s="8" t="n"/>
      <c r="S2" s="3" t="inlineStr">
        <is>
          <t>Supplier</t>
        </is>
      </c>
      <c r="T2" s="3" t="inlineStr">
        <is>
          <t>No</t>
        </is>
      </c>
      <c r="U2" s="5" t="n"/>
      <c r="V2" s="3" t="n"/>
      <c r="W2" s="3" t="n"/>
      <c r="X2" s="6" t="n"/>
      <c r="Y2" s="3" t="inlineStr">
        <is>
          <t>kgCO2e/product</t>
        </is>
      </c>
      <c r="Z2" s="3" t="n"/>
      <c r="AA2" s="7" t="n"/>
      <c r="AB2" s="3" t="n"/>
      <c r="AC2" s="3" t="n"/>
      <c r="AD2" s="6" t="n"/>
      <c r="AE2" s="3" t="inlineStr">
        <is>
          <t>kgCO2e/product</t>
        </is>
      </c>
      <c r="AF2" s="3" t="n"/>
      <c r="AG2" s="7" t="n">
        <v>0</v>
      </c>
      <c r="AH2" s="3" t="n">
        <v>1</v>
      </c>
      <c r="AI2" s="3" t="n">
        <v>2</v>
      </c>
      <c r="AJ2" s="3" t="n">
        <v>5</v>
      </c>
      <c r="AK2" s="4">
        <f>IF(COUNT(AH2,AI2,AJ2)=0,"",ROUND(AVERAGE(AH2,AI2,AJ2),3))</f>
        <v/>
      </c>
      <c r="AL2" s="3">
        <f>IF(X2="","",ROUND(X2*IF(H2="",0,H2)*(1+IF(AA2="",0,AA2)),5))</f>
        <v/>
      </c>
      <c r="AM2" s="3" t="inlineStr">
        <is>
          <t>kgCO2e/product</t>
        </is>
      </c>
      <c r="AN2" s="5" t="n"/>
      <c r="AO2" s="9">
        <f>IF(AND($A2&lt;&gt;"",E2=""),"Supplier code empty (High);","")&amp;IF(AND(P2&lt;&gt;"",OR(P2&gt;1,P2&lt;0)),"Incorrect PDS value (High);",IF(AND(P2&lt;&gt;"",P2&gt;0.5),"High PDS value (Medium);",""))&amp;IF(AND(Q2&lt;&gt;"",OR(Q2&gt;5,Q2&lt;1)),"Incorrect DQR value (High);","")&amp;IF(AND(N2&lt;&gt;"",OR(N2&lt;=0,N2&gt;100)),"Unusual PCF value might be wrong (High);","")&amp;IF(AND(AG2&lt;&gt;"",OR(AG2&gt;1,AG2&lt;0)),"Incorrect PDS value (High);",IF(AND(AG2&lt;&gt;"",AG2&gt;0.5),"High PDS value (Medium);",""))&amp;IF(AND(AK2&lt;&gt;"",OR(AK2&gt;5,AK2&lt;1)),"Incorrect DQR value (High);","")&amp;IF(AND(AA2&lt;&gt;"",OR(AA2&gt;1,AA2&lt;0)),"Incorrect scrap rate (High);",IF(AND(AA2&lt;&gt;"",AA2&gt;0.2),"High scrap rate (Medium);",IF(AND($A2&lt;&gt;"",AA2=0),"No scrap rate (No impact);","")))&amp;""</f>
        <v/>
      </c>
      <c r="AP2" s="9" t="n"/>
    </row>
    <row r="3">
      <c r="A3" s="3" t="n"/>
      <c r="B3" s="3" t="n"/>
      <c r="C3" s="3" t="n"/>
      <c r="D3" s="3" t="n"/>
      <c r="E3" s="3" t="n"/>
      <c r="F3" s="3" t="n"/>
      <c r="G3" s="4" t="n"/>
      <c r="H3" s="4" t="n"/>
      <c r="I3" s="3" t="inlineStr">
        <is>
          <t>kg</t>
        </is>
      </c>
      <c r="J3" s="4" t="n"/>
      <c r="K3" s="3" t="inlineStr">
        <is>
          <t>kg</t>
        </is>
      </c>
      <c r="L3" s="3" t="n"/>
      <c r="M3" s="5" t="n"/>
      <c r="N3" s="6" t="n"/>
      <c r="O3" s="3" t="inlineStr">
        <is>
          <t>kgCO2e/product</t>
        </is>
      </c>
      <c r="P3" s="7" t="n"/>
      <c r="Q3" s="4" t="n"/>
      <c r="R3" s="8" t="n"/>
      <c r="S3" s="3" t="inlineStr">
        <is>
          <t>Supplier</t>
        </is>
      </c>
      <c r="T3" s="3" t="inlineStr">
        <is>
          <t>No</t>
        </is>
      </c>
      <c r="U3" s="5" t="n"/>
      <c r="V3" s="3" t="n"/>
      <c r="W3" s="3" t="n"/>
      <c r="X3" s="6" t="n"/>
      <c r="Y3" s="3" t="inlineStr">
        <is>
          <t>kgCO2e/product</t>
        </is>
      </c>
      <c r="Z3" s="3" t="n"/>
      <c r="AA3" s="7" t="n"/>
      <c r="AB3" s="3" t="n"/>
      <c r="AC3" s="3" t="n"/>
      <c r="AD3" s="6" t="n"/>
      <c r="AE3" s="3" t="inlineStr">
        <is>
          <t>kgCO2e/product</t>
        </is>
      </c>
      <c r="AF3" s="3" t="n"/>
      <c r="AG3" s="7" t="n">
        <v>0</v>
      </c>
      <c r="AH3" s="3" t="n"/>
      <c r="AI3" s="3" t="n"/>
      <c r="AJ3" s="3" t="n"/>
      <c r="AK3" s="4">
        <f>IF(COUNT(AH3,AI3,AJ3)=0,"",ROUND(AVERAGE(AH3,AI3,AJ3),3))</f>
        <v/>
      </c>
      <c r="AL3" s="3">
        <f>IF(X3="","",ROUND(X3*IF(H3="",0,H3)*(1+IF(AA3="",0,AA3)),5))</f>
        <v/>
      </c>
      <c r="AM3" s="3" t="inlineStr">
        <is>
          <t>kgCO2e/product</t>
        </is>
      </c>
      <c r="AN3" s="5" t="n"/>
      <c r="AO3" s="9">
        <f>IF(AND($A3&lt;&gt;"",E3=""),"Supplier code empty (High);","")&amp;IF(AND(P3&lt;&gt;"",OR(P3&gt;1,P3&lt;0)),"Incorrect PDS value (High);",IF(AND(P3&lt;&gt;"",P3&gt;0.5),"High PDS value (Medium);",""))&amp;IF(AND(Q3&lt;&gt;"",OR(Q3&gt;5,Q3&lt;1)),"Incorrect DQR value (High);","")&amp;IF(AND(N3&lt;&gt;"",OR(N3&lt;=0,N3&gt;100)),"Unusual PCF value might be wrong (High);","")&amp;IF(AND(AG3&lt;&gt;"",OR(AG3&gt;1,AG3&lt;0)),"Incorrect PDS value (High);",IF(AND(AG3&lt;&gt;"",AG3&gt;0.5),"High PDS value (Medium);",""))&amp;IF(AND(AK3&lt;&gt;"",OR(AK3&gt;5,AK3&lt;1)),"Incorrect DQR value (High);","")&amp;IF(AND(AA3&lt;&gt;"",OR(AA3&gt;1,AA3&lt;0)),"Incorrect scrap rate (High);",IF(AND(AA3&lt;&gt;"",AA3&gt;0.2),"High scrap rate (Medium);",IF(AND($A3&lt;&gt;"",AA3=0),"No scrap rate (No impact);","")))&amp;""</f>
        <v/>
      </c>
      <c r="AP3" s="9" t="n"/>
    </row>
    <row r="4">
      <c r="A4" s="3" t="n"/>
      <c r="B4" s="3" t="n"/>
      <c r="C4" s="3" t="n"/>
      <c r="D4" s="3" t="n"/>
      <c r="E4" s="3" t="n"/>
      <c r="F4" s="3" t="n"/>
      <c r="G4" s="4" t="n"/>
      <c r="H4" s="4" t="n"/>
      <c r="I4" s="3" t="inlineStr">
        <is>
          <t>kg</t>
        </is>
      </c>
      <c r="J4" s="4" t="n"/>
      <c r="K4" s="3" t="inlineStr">
        <is>
          <t>kg</t>
        </is>
      </c>
      <c r="L4" s="3" t="n"/>
      <c r="M4" s="5" t="n"/>
      <c r="N4" s="6" t="n"/>
      <c r="O4" s="3" t="inlineStr">
        <is>
          <t>kgCO2e/product</t>
        </is>
      </c>
      <c r="P4" s="7" t="n"/>
      <c r="Q4" s="4" t="n"/>
      <c r="R4" s="8" t="n"/>
      <c r="S4" s="3" t="inlineStr">
        <is>
          <t>Supplier</t>
        </is>
      </c>
      <c r="T4" s="3" t="inlineStr">
        <is>
          <t>No</t>
        </is>
      </c>
      <c r="U4" s="5" t="n"/>
      <c r="V4" s="3" t="n"/>
      <c r="W4" s="3" t="n"/>
      <c r="X4" s="6" t="n"/>
      <c r="Y4" s="3" t="inlineStr">
        <is>
          <t>kgCO2e/product</t>
        </is>
      </c>
      <c r="Z4" s="3" t="n"/>
      <c r="AA4" s="7" t="n"/>
      <c r="AB4" s="3" t="n"/>
      <c r="AC4" s="3" t="n"/>
      <c r="AD4" s="6" t="n"/>
      <c r="AE4" s="3" t="inlineStr">
        <is>
          <t>kgCO2e/product</t>
        </is>
      </c>
      <c r="AF4" s="3" t="n"/>
      <c r="AG4" s="7" t="n">
        <v>0</v>
      </c>
      <c r="AH4" s="3" t="n"/>
      <c r="AI4" s="3" t="n"/>
      <c r="AJ4" s="3" t="n"/>
      <c r="AK4" s="4">
        <f>IF(COUNT(AH4,AI4,AJ4)=0,"",ROUND(AVERAGE(AH4,AI4,AJ4),3))</f>
        <v/>
      </c>
      <c r="AL4" s="3">
        <f>IF(X4="","",ROUND(X4*IF(H4="",0,H4)*(1+IF(AA4="",0,AA4)),5))</f>
        <v/>
      </c>
      <c r="AM4" s="3" t="inlineStr">
        <is>
          <t>kgCO2e/product</t>
        </is>
      </c>
      <c r="AN4" s="5" t="n"/>
      <c r="AO4" s="9">
        <f>IF(AND($A4&lt;&gt;"",E4=""),"Supplier code empty (High);","")&amp;IF(AND(P4&lt;&gt;"",OR(P4&gt;1,P4&lt;0)),"Incorrect PDS value (High);",IF(AND(P4&lt;&gt;"",P4&gt;0.5),"High PDS value (Medium);",""))&amp;IF(AND(Q4&lt;&gt;"",OR(Q4&gt;5,Q4&lt;1)),"Incorrect DQR value (High);","")&amp;IF(AND(N4&lt;&gt;"",OR(N4&lt;=0,N4&gt;100)),"Unusual PCF value might be wrong (High);","")&amp;IF(AND(AG4&lt;&gt;"",OR(AG4&gt;1,AG4&lt;0)),"Incorrect PDS value (High);",IF(AND(AG4&lt;&gt;"",AG4&gt;0.5),"High PDS value (Medium);",""))&amp;IF(AND(AK4&lt;&gt;"",OR(AK4&gt;5,AK4&lt;1)),"Incorrect DQR value (High);","")&amp;IF(AND(AA4&lt;&gt;"",OR(AA4&gt;1,AA4&lt;0)),"Incorrect scrap rate (High);",IF(AND(AA4&lt;&gt;"",AA4&gt;0.2),"High scrap rate (Medium);",IF(AND($A4&lt;&gt;"",AA4=0),"No scrap rate (No impact);","")))&amp;""</f>
        <v/>
      </c>
      <c r="AP4" s="9" t="n"/>
    </row>
    <row r="5">
      <c r="A5" s="3" t="n"/>
      <c r="B5" s="3" t="n"/>
      <c r="C5" s="3" t="n"/>
      <c r="D5" s="3" t="n"/>
      <c r="E5" s="3" t="n"/>
      <c r="F5" s="3" t="n"/>
      <c r="G5" s="4" t="n"/>
      <c r="H5" s="4" t="n"/>
      <c r="I5" s="3" t="inlineStr">
        <is>
          <t>kg</t>
        </is>
      </c>
      <c r="J5" s="4" t="n"/>
      <c r="K5" s="3" t="inlineStr">
        <is>
          <t>kg</t>
        </is>
      </c>
      <c r="L5" s="3" t="n"/>
      <c r="M5" s="5" t="n"/>
      <c r="N5" s="6" t="n"/>
      <c r="O5" s="3" t="inlineStr">
        <is>
          <t>kgCO2e/product</t>
        </is>
      </c>
      <c r="P5" s="7" t="n"/>
      <c r="Q5" s="4" t="n"/>
      <c r="R5" s="8" t="n"/>
      <c r="S5" s="3" t="inlineStr">
        <is>
          <t>Supplier</t>
        </is>
      </c>
      <c r="T5" s="3" t="inlineStr">
        <is>
          <t>No</t>
        </is>
      </c>
      <c r="U5" s="5" t="n"/>
      <c r="V5" s="3" t="n"/>
      <c r="W5" s="3" t="n"/>
      <c r="X5" s="6" t="n"/>
      <c r="Y5" s="3" t="inlineStr">
        <is>
          <t>kgCO2e/product</t>
        </is>
      </c>
      <c r="Z5" s="3" t="n"/>
      <c r="AA5" s="7" t="n"/>
      <c r="AB5" s="3" t="n"/>
      <c r="AC5" s="3" t="n"/>
      <c r="AD5" s="6" t="n"/>
      <c r="AE5" s="3" t="inlineStr">
        <is>
          <t>kgCO2e/product</t>
        </is>
      </c>
      <c r="AF5" s="3" t="n"/>
      <c r="AG5" s="7" t="n">
        <v>0</v>
      </c>
      <c r="AH5" s="3" t="n"/>
      <c r="AI5" s="3" t="n"/>
      <c r="AJ5" s="3" t="n"/>
      <c r="AK5" s="4">
        <f>IF(COUNT(AH5,AI5,AJ5)=0,"",ROUND(AVERAGE(AH5,AI5,AJ5),3))</f>
        <v/>
      </c>
      <c r="AL5" s="3">
        <f>IF(X5="","",ROUND(X5*IF(H5="",0,H5)*(1+IF(AA5="",0,AA5)),5))</f>
        <v/>
      </c>
      <c r="AM5" s="3" t="inlineStr">
        <is>
          <t>kgCO2e/product</t>
        </is>
      </c>
      <c r="AN5" s="5" t="n"/>
      <c r="AO5" s="9">
        <f>IF(AND($A5&lt;&gt;"",E5=""),"Supplier code empty (High);","")&amp;IF(AND(P5&lt;&gt;"",OR(P5&gt;1,P5&lt;0)),"Incorrect PDS value (High);",IF(AND(P5&lt;&gt;"",P5&gt;0.5),"High PDS value (Medium);",""))&amp;IF(AND(Q5&lt;&gt;"",OR(Q5&gt;5,Q5&lt;1)),"Incorrect DQR value (High);","")&amp;IF(AND(N5&lt;&gt;"",OR(N5&lt;=0,N5&gt;100)),"Unusual PCF value might be wrong (High);","")&amp;IF(AND(AG5&lt;&gt;"",OR(AG5&gt;1,AG5&lt;0)),"Incorrect PDS value (High);",IF(AND(AG5&lt;&gt;"",AG5&gt;0.5),"High PDS value (Medium);",""))&amp;IF(AND(AK5&lt;&gt;"",OR(AK5&gt;5,AK5&lt;1)),"Incorrect DQR value (High);","")&amp;IF(AND(AA5&lt;&gt;"",OR(AA5&gt;1,AA5&lt;0)),"Incorrect scrap rate (High);",IF(AND(AA5&lt;&gt;"",AA5&gt;0.2),"High scrap rate (Medium);",IF(AND($A5&lt;&gt;"",AA5=0),"No scrap rate (No impact);","")))&amp;""</f>
        <v/>
      </c>
      <c r="AP5" s="9" t="n"/>
    </row>
    <row r="6">
      <c r="A6" s="3" t="n"/>
      <c r="B6" s="3" t="n"/>
      <c r="C6" s="3" t="n"/>
      <c r="D6" s="3" t="n"/>
      <c r="E6" s="3" t="n"/>
      <c r="F6" s="3" t="n"/>
      <c r="G6" s="4" t="n"/>
      <c r="H6" s="4" t="n"/>
      <c r="I6" s="3" t="inlineStr">
        <is>
          <t>kg</t>
        </is>
      </c>
      <c r="J6" s="4" t="n"/>
      <c r="K6" s="3" t="inlineStr">
        <is>
          <t>kg</t>
        </is>
      </c>
      <c r="L6" s="3" t="n"/>
      <c r="M6" s="5" t="n"/>
      <c r="N6" s="6" t="n"/>
      <c r="O6" s="3" t="inlineStr">
        <is>
          <t>kgCO2e/product</t>
        </is>
      </c>
      <c r="P6" s="7" t="n"/>
      <c r="Q6" s="4" t="n"/>
      <c r="R6" s="8" t="n"/>
      <c r="S6" s="3" t="inlineStr">
        <is>
          <t>Supplier</t>
        </is>
      </c>
      <c r="T6" s="3" t="inlineStr">
        <is>
          <t>No</t>
        </is>
      </c>
      <c r="U6" s="5" t="n"/>
      <c r="V6" s="3" t="n"/>
      <c r="W6" s="3" t="n"/>
      <c r="X6" s="6" t="n"/>
      <c r="Y6" s="3" t="inlineStr">
        <is>
          <t>kgCO2e/product</t>
        </is>
      </c>
      <c r="Z6" s="3" t="n"/>
      <c r="AA6" s="7" t="n"/>
      <c r="AB6" s="3" t="n"/>
      <c r="AC6" s="3" t="n"/>
      <c r="AD6" s="6" t="n"/>
      <c r="AE6" s="3" t="inlineStr">
        <is>
          <t>kgCO2e/product</t>
        </is>
      </c>
      <c r="AF6" s="3" t="n"/>
      <c r="AG6" s="7" t="n">
        <v>0</v>
      </c>
      <c r="AH6" s="3" t="n"/>
      <c r="AI6" s="3" t="n"/>
      <c r="AJ6" s="3" t="n"/>
      <c r="AK6" s="4">
        <f>IF(COUNT(AH6,AI6,AJ6)=0,"",ROUND(AVERAGE(AH6,AI6,AJ6),3))</f>
        <v/>
      </c>
      <c r="AL6" s="3">
        <f>IF(X6="","",ROUND(X6*IF(H6="",0,H6)*(1+IF(AA6="",0,AA6)),5))</f>
        <v/>
      </c>
      <c r="AM6" s="3" t="inlineStr">
        <is>
          <t>kgCO2e/product</t>
        </is>
      </c>
      <c r="AN6" s="5" t="n"/>
      <c r="AO6" s="9">
        <f>IF(AND($A6&lt;&gt;"",E6=""),"Supplier code empty (High);","")&amp;IF(AND(P6&lt;&gt;"",OR(P6&gt;1,P6&lt;0)),"Incorrect PDS value (High);",IF(AND(P6&lt;&gt;"",P6&gt;0.5),"High PDS value (Medium);",""))&amp;IF(AND(Q6&lt;&gt;"",OR(Q6&gt;5,Q6&lt;1)),"Incorrect DQR value (High);","")&amp;IF(AND(N6&lt;&gt;"",OR(N6&lt;=0,N6&gt;100)),"Unusual PCF value might be wrong (High);","")&amp;IF(AND(AG6&lt;&gt;"",OR(AG6&gt;1,AG6&lt;0)),"Incorrect PDS value (High);",IF(AND(AG6&lt;&gt;"",AG6&gt;0.5),"High PDS value (Medium);",""))&amp;IF(AND(AK6&lt;&gt;"",OR(AK6&gt;5,AK6&lt;1)),"Incorrect DQR value (High);","")&amp;IF(AND(AA6&lt;&gt;"",OR(AA6&gt;1,AA6&lt;0)),"Incorrect scrap rate (High);",IF(AND(AA6&lt;&gt;"",AA6&gt;0.2),"High scrap rate (Medium);",IF(AND($A6&lt;&gt;"",AA6=0),"No scrap rate (No impact);","")))&amp;""</f>
        <v/>
      </c>
      <c r="AP6" s="9" t="n"/>
    </row>
    <row r="7">
      <c r="A7" s="3" t="n"/>
      <c r="B7" s="3" t="n"/>
      <c r="C7" s="3" t="n"/>
      <c r="D7" s="3" t="n"/>
      <c r="E7" s="3" t="n"/>
      <c r="F7" s="3" t="n"/>
      <c r="G7" s="4" t="n"/>
      <c r="H7" s="4" t="n"/>
      <c r="I7" s="3" t="inlineStr">
        <is>
          <t>kg</t>
        </is>
      </c>
      <c r="J7" s="4" t="n"/>
      <c r="K7" s="3" t="inlineStr">
        <is>
          <t>kg</t>
        </is>
      </c>
      <c r="L7" s="3" t="n"/>
      <c r="M7" s="5" t="n"/>
      <c r="N7" s="6" t="n"/>
      <c r="O7" s="3" t="inlineStr">
        <is>
          <t>kgCO2e/product</t>
        </is>
      </c>
      <c r="P7" s="7" t="n"/>
      <c r="Q7" s="4" t="n"/>
      <c r="R7" s="8" t="n"/>
      <c r="S7" s="3" t="inlineStr">
        <is>
          <t>Supplier</t>
        </is>
      </c>
      <c r="T7" s="3" t="inlineStr">
        <is>
          <t>No</t>
        </is>
      </c>
      <c r="U7" s="5" t="n"/>
      <c r="V7" s="3" t="n"/>
      <c r="W7" s="3" t="n"/>
      <c r="X7" s="6" t="n"/>
      <c r="Y7" s="3" t="inlineStr">
        <is>
          <t>kgCO2e/product</t>
        </is>
      </c>
      <c r="Z7" s="3" t="n"/>
      <c r="AA7" s="7" t="n"/>
      <c r="AB7" s="3" t="n"/>
      <c r="AC7" s="3" t="n"/>
      <c r="AD7" s="6" t="n"/>
      <c r="AE7" s="3" t="inlineStr">
        <is>
          <t>kgCO2e/product</t>
        </is>
      </c>
      <c r="AF7" s="3" t="n"/>
      <c r="AG7" s="7" t="n">
        <v>0</v>
      </c>
      <c r="AH7" s="3" t="n"/>
      <c r="AI7" s="3" t="n"/>
      <c r="AJ7" s="3" t="n"/>
      <c r="AK7" s="4">
        <f>IF(COUNT(AH7,AI7,AJ7)=0,"",ROUND(AVERAGE(AH7,AI7,AJ7),3))</f>
        <v/>
      </c>
      <c r="AL7" s="3">
        <f>IF(X7="","",ROUND(X7*IF(H7="",0,H7)*(1+IF(AA7="",0,AA7)),5))</f>
        <v/>
      </c>
      <c r="AM7" s="3" t="inlineStr">
        <is>
          <t>kgCO2e/product</t>
        </is>
      </c>
      <c r="AN7" s="5" t="n"/>
      <c r="AO7" s="9">
        <f>IF(AND($A7&lt;&gt;"",E7=""),"Supplier code empty (High);","")&amp;IF(AND(P7&lt;&gt;"",OR(P7&gt;1,P7&lt;0)),"Incorrect PDS value (High);",IF(AND(P7&lt;&gt;"",P7&gt;0.5),"High PDS value (Medium);",""))&amp;IF(AND(Q7&lt;&gt;"",OR(Q7&gt;5,Q7&lt;1)),"Incorrect DQR value (High);","")&amp;IF(AND(N7&lt;&gt;"",OR(N7&lt;=0,N7&gt;100)),"Unusual PCF value might be wrong (High);","")&amp;IF(AND(AG7&lt;&gt;"",OR(AG7&gt;1,AG7&lt;0)),"Incorrect PDS value (High);",IF(AND(AG7&lt;&gt;"",AG7&gt;0.5),"High PDS value (Medium);",""))&amp;IF(AND(AK7&lt;&gt;"",OR(AK7&gt;5,AK7&lt;1)),"Incorrect DQR value (High);","")&amp;IF(AND(AA7&lt;&gt;"",OR(AA7&gt;1,AA7&lt;0)),"Incorrect scrap rate (High);",IF(AND(AA7&lt;&gt;"",AA7&gt;0.2),"High scrap rate (Medium);",IF(AND($A7&lt;&gt;"",AA7=0),"No scrap rate (No impact);","")))&amp;""</f>
        <v/>
      </c>
      <c r="AP7" s="9" t="n"/>
    </row>
    <row r="8">
      <c r="A8" s="3" t="n"/>
      <c r="B8" s="3" t="n"/>
      <c r="C8" s="3" t="n"/>
      <c r="D8" s="3" t="n"/>
      <c r="E8" s="3" t="n"/>
      <c r="F8" s="3" t="n"/>
      <c r="G8" s="4" t="n"/>
      <c r="H8" s="4" t="n"/>
      <c r="I8" s="3" t="inlineStr">
        <is>
          <t>kg</t>
        </is>
      </c>
      <c r="J8" s="4" t="n"/>
      <c r="K8" s="3" t="inlineStr">
        <is>
          <t>kg</t>
        </is>
      </c>
      <c r="L8" s="3" t="n"/>
      <c r="M8" s="5" t="n"/>
      <c r="N8" s="6" t="n"/>
      <c r="O8" s="3" t="inlineStr">
        <is>
          <t>kgCO2e/product</t>
        </is>
      </c>
      <c r="P8" s="7" t="n"/>
      <c r="Q8" s="4" t="n"/>
      <c r="R8" s="8" t="n"/>
      <c r="S8" s="3" t="inlineStr">
        <is>
          <t>Supplier</t>
        </is>
      </c>
      <c r="T8" s="3" t="inlineStr">
        <is>
          <t>No</t>
        </is>
      </c>
      <c r="U8" s="5" t="n"/>
      <c r="V8" s="3" t="n"/>
      <c r="W8" s="3" t="n"/>
      <c r="X8" s="6" t="n"/>
      <c r="Y8" s="3" t="inlineStr">
        <is>
          <t>kgCO2e/product</t>
        </is>
      </c>
      <c r="Z8" s="3" t="n"/>
      <c r="AA8" s="7" t="n"/>
      <c r="AB8" s="3" t="n"/>
      <c r="AC8" s="3" t="n"/>
      <c r="AD8" s="6" t="n"/>
      <c r="AE8" s="3" t="inlineStr">
        <is>
          <t>kgCO2e/product</t>
        </is>
      </c>
      <c r="AF8" s="3" t="n"/>
      <c r="AG8" s="7" t="n">
        <v>0</v>
      </c>
      <c r="AH8" s="3" t="n"/>
      <c r="AI8" s="3" t="n"/>
      <c r="AJ8" s="3" t="n"/>
      <c r="AK8" s="4">
        <f>IF(COUNT(AH8,AI8,AJ8)=0,"",ROUND(AVERAGE(AH8,AI8,AJ8),3))</f>
        <v/>
      </c>
      <c r="AL8" s="3">
        <f>IF(X8="","",ROUND(X8*IF(H8="",0,H8)*(1+IF(AA8="",0,AA8)),5))</f>
        <v/>
      </c>
      <c r="AM8" s="3" t="inlineStr">
        <is>
          <t>kgCO2e/product</t>
        </is>
      </c>
      <c r="AN8" s="5" t="n"/>
      <c r="AO8" s="9">
        <f>IF(AND($A8&lt;&gt;"",E8=""),"Supplier code empty (High);","")&amp;IF(AND(P8&lt;&gt;"",OR(P8&gt;1,P8&lt;0)),"Incorrect PDS value (High);",IF(AND(P8&lt;&gt;"",P8&gt;0.5),"High PDS value (Medium);",""))&amp;IF(AND(Q8&lt;&gt;"",OR(Q8&gt;5,Q8&lt;1)),"Incorrect DQR value (High);","")&amp;IF(AND(N8&lt;&gt;"",OR(N8&lt;=0,N8&gt;100)),"Unusual PCF value might be wrong (High);","")&amp;IF(AND(AG8&lt;&gt;"",OR(AG8&gt;1,AG8&lt;0)),"Incorrect PDS value (High);",IF(AND(AG8&lt;&gt;"",AG8&gt;0.5),"High PDS value (Medium);",""))&amp;IF(AND(AK8&lt;&gt;"",OR(AK8&gt;5,AK8&lt;1)),"Incorrect DQR value (High);","")&amp;IF(AND(AA8&lt;&gt;"",OR(AA8&gt;1,AA8&lt;0)),"Incorrect scrap rate (High);",IF(AND(AA8&lt;&gt;"",AA8&gt;0.2),"High scrap rate (Medium);",IF(AND($A8&lt;&gt;"",AA8=0),"No scrap rate (No impact);","")))&amp;""</f>
        <v/>
      </c>
      <c r="AP8" s="9" t="n"/>
    </row>
    <row r="9">
      <c r="A9" s="3" t="n"/>
      <c r="B9" s="3" t="n"/>
      <c r="C9" s="3" t="n"/>
      <c r="D9" s="3" t="n"/>
      <c r="E9" s="3" t="n"/>
      <c r="F9" s="3" t="n"/>
      <c r="G9" s="4" t="n"/>
      <c r="H9" s="4" t="n"/>
      <c r="I9" s="3" t="inlineStr">
        <is>
          <t>kg</t>
        </is>
      </c>
      <c r="J9" s="4" t="n"/>
      <c r="K9" s="3" t="inlineStr">
        <is>
          <t>kg</t>
        </is>
      </c>
      <c r="L9" s="3" t="n"/>
      <c r="M9" s="5" t="n"/>
      <c r="N9" s="6" t="n"/>
      <c r="O9" s="3" t="inlineStr">
        <is>
          <t>kgCO2e/product</t>
        </is>
      </c>
      <c r="P9" s="7" t="n"/>
      <c r="Q9" s="4" t="n"/>
      <c r="R9" s="8" t="n"/>
      <c r="S9" s="3" t="inlineStr">
        <is>
          <t>Supplier</t>
        </is>
      </c>
      <c r="T9" s="3" t="inlineStr">
        <is>
          <t>No</t>
        </is>
      </c>
      <c r="U9" s="5" t="n"/>
      <c r="V9" s="3" t="n"/>
      <c r="W9" s="3" t="n"/>
      <c r="X9" s="6" t="n"/>
      <c r="Y9" s="3" t="inlineStr">
        <is>
          <t>kgCO2e/product</t>
        </is>
      </c>
      <c r="Z9" s="3" t="n"/>
      <c r="AA9" s="7" t="n"/>
      <c r="AB9" s="3" t="n"/>
      <c r="AC9" s="3" t="n"/>
      <c r="AD9" s="6" t="n"/>
      <c r="AE9" s="3" t="inlineStr">
        <is>
          <t>kgCO2e/product</t>
        </is>
      </c>
      <c r="AF9" s="3" t="n"/>
      <c r="AG9" s="7" t="n">
        <v>0</v>
      </c>
      <c r="AH9" s="3" t="n"/>
      <c r="AI9" s="3" t="n"/>
      <c r="AJ9" s="3" t="n"/>
      <c r="AK9" s="4">
        <f>IF(COUNT(AH9,AI9,AJ9)=0,"",ROUND(AVERAGE(AH9,AI9,AJ9),3))</f>
        <v/>
      </c>
      <c r="AL9" s="3">
        <f>IF(X9="","",ROUND(X9*IF(H9="",0,H9)*(1+IF(AA9="",0,AA9)),5))</f>
        <v/>
      </c>
      <c r="AM9" s="3" t="inlineStr">
        <is>
          <t>kgCO2e/product</t>
        </is>
      </c>
      <c r="AN9" s="5" t="n"/>
      <c r="AO9" s="9">
        <f>IF(AND($A9&lt;&gt;"",E9=""),"Supplier code empty (High);","")&amp;IF(AND(P9&lt;&gt;"",OR(P9&gt;1,P9&lt;0)),"Incorrect PDS value (High);",IF(AND(P9&lt;&gt;"",P9&gt;0.5),"High PDS value (Medium);",""))&amp;IF(AND(Q9&lt;&gt;"",OR(Q9&gt;5,Q9&lt;1)),"Incorrect DQR value (High);","")&amp;IF(AND(N9&lt;&gt;"",OR(N9&lt;=0,N9&gt;100)),"Unusual PCF value might be wrong (High);","")&amp;IF(AND(AG9&lt;&gt;"",OR(AG9&gt;1,AG9&lt;0)),"Incorrect PDS value (High);",IF(AND(AG9&lt;&gt;"",AG9&gt;0.5),"High PDS value (Medium);",""))&amp;IF(AND(AK9&lt;&gt;"",OR(AK9&gt;5,AK9&lt;1)),"Incorrect DQR value (High);","")&amp;IF(AND(AA9&lt;&gt;"",OR(AA9&gt;1,AA9&lt;0)),"Incorrect scrap rate (High);",IF(AND(AA9&lt;&gt;"",AA9&gt;0.2),"High scrap rate (Medium);",IF(AND($A9&lt;&gt;"",AA9=0),"No scrap rate (No impact);","")))&amp;""</f>
        <v/>
      </c>
      <c r="AP9" s="9" t="n"/>
    </row>
    <row r="10">
      <c r="A10" s="3" t="n"/>
      <c r="B10" s="3" t="n"/>
      <c r="C10" s="3" t="n"/>
      <c r="D10" s="3" t="n"/>
      <c r="E10" s="3" t="n"/>
      <c r="F10" s="3" t="n"/>
      <c r="G10" s="4" t="n"/>
      <c r="H10" s="4" t="n"/>
      <c r="I10" s="3" t="inlineStr">
        <is>
          <t>kg</t>
        </is>
      </c>
      <c r="J10" s="4" t="n"/>
      <c r="K10" s="3" t="inlineStr">
        <is>
          <t>kg</t>
        </is>
      </c>
      <c r="L10" s="3" t="n"/>
      <c r="M10" s="5" t="n"/>
      <c r="N10" s="6" t="n"/>
      <c r="O10" s="3" t="inlineStr">
        <is>
          <t>kgCO2e/product</t>
        </is>
      </c>
      <c r="P10" s="7" t="n"/>
      <c r="Q10" s="4" t="n"/>
      <c r="R10" s="8" t="n"/>
      <c r="S10" s="3" t="inlineStr">
        <is>
          <t>Supplier</t>
        </is>
      </c>
      <c r="T10" s="3" t="inlineStr">
        <is>
          <t>No</t>
        </is>
      </c>
      <c r="U10" s="5" t="n"/>
      <c r="V10" s="3" t="n"/>
      <c r="W10" s="3" t="n"/>
      <c r="X10" s="6" t="n"/>
      <c r="Y10" s="3" t="inlineStr">
        <is>
          <t>kgCO2e/product</t>
        </is>
      </c>
      <c r="Z10" s="3" t="n"/>
      <c r="AA10" s="7" t="n"/>
      <c r="AB10" s="3" t="n"/>
      <c r="AC10" s="3" t="n"/>
      <c r="AD10" s="6" t="n"/>
      <c r="AE10" s="3" t="inlineStr">
        <is>
          <t>kgCO2e/product</t>
        </is>
      </c>
      <c r="AF10" s="3" t="n"/>
      <c r="AG10" s="7" t="n">
        <v>0</v>
      </c>
      <c r="AH10" s="3" t="n"/>
      <c r="AI10" s="3" t="n"/>
      <c r="AJ10" s="3" t="n"/>
      <c r="AK10" s="4">
        <f>IF(COUNT(AH10,AI10,AJ10)=0,"",ROUND(AVERAGE(AH10,AI10,AJ10),3))</f>
        <v/>
      </c>
      <c r="AL10" s="3">
        <f>IF(X10="","",ROUND(X10*IF(H10="",0,H10)*(1+IF(AA10="",0,AA10)),5))</f>
        <v/>
      </c>
      <c r="AM10" s="3" t="inlineStr">
        <is>
          <t>kgCO2e/product</t>
        </is>
      </c>
      <c r="AN10" s="5" t="n"/>
      <c r="AO10" s="9">
        <f>IF(AND($A10&lt;&gt;"",E10=""),"Supplier code empty (High);","")&amp;IF(AND(P10&lt;&gt;"",OR(P10&gt;1,P10&lt;0)),"Incorrect PDS value (High);",IF(AND(P10&lt;&gt;"",P10&gt;0.5),"High PDS value (Medium);",""))&amp;IF(AND(Q10&lt;&gt;"",OR(Q10&gt;5,Q10&lt;1)),"Incorrect DQR value (High);","")&amp;IF(AND(N10&lt;&gt;"",OR(N10&lt;=0,N10&gt;100)),"Unusual PCF value might be wrong (High);","")&amp;IF(AND(AG10&lt;&gt;"",OR(AG10&gt;1,AG10&lt;0)),"Incorrect PDS value (High);",IF(AND(AG10&lt;&gt;"",AG10&gt;0.5),"High PDS value (Medium);",""))&amp;IF(AND(AK10&lt;&gt;"",OR(AK10&gt;5,AK10&lt;1)),"Incorrect DQR value (High);","")&amp;IF(AND(AA10&lt;&gt;"",OR(AA10&gt;1,AA10&lt;0)),"Incorrect scrap rate (High);",IF(AND(AA10&lt;&gt;"",AA10&gt;0.2),"High scrap rate (Medium);",IF(AND($A10&lt;&gt;"",AA10=0),"No scrap rate (No impact);","")))&amp;""</f>
        <v/>
      </c>
      <c r="AP10" s="9" t="n"/>
    </row>
    <row r="11">
      <c r="A11" s="3" t="n"/>
      <c r="B11" s="3" t="n"/>
      <c r="C11" s="3" t="n"/>
      <c r="D11" s="3" t="n"/>
      <c r="E11" s="3" t="n"/>
      <c r="F11" s="3" t="n"/>
      <c r="G11" s="4" t="n"/>
      <c r="H11" s="4" t="n"/>
      <c r="I11" s="3" t="inlineStr">
        <is>
          <t>kg</t>
        </is>
      </c>
      <c r="J11" s="4" t="n"/>
      <c r="K11" s="3" t="inlineStr">
        <is>
          <t>kg</t>
        </is>
      </c>
      <c r="L11" s="3" t="n"/>
      <c r="M11" s="5" t="n"/>
      <c r="N11" s="6" t="n"/>
      <c r="O11" s="3" t="inlineStr">
        <is>
          <t>kgCO2e/product</t>
        </is>
      </c>
      <c r="P11" s="7" t="n"/>
      <c r="Q11" s="4" t="n"/>
      <c r="R11" s="8" t="n"/>
      <c r="S11" s="3" t="inlineStr">
        <is>
          <t>Supplier</t>
        </is>
      </c>
      <c r="T11" s="3" t="inlineStr">
        <is>
          <t>No</t>
        </is>
      </c>
      <c r="U11" s="5" t="n"/>
      <c r="V11" s="3" t="n"/>
      <c r="W11" s="3" t="n"/>
      <c r="X11" s="6" t="n"/>
      <c r="Y11" s="3" t="inlineStr">
        <is>
          <t>kgCO2e/product</t>
        </is>
      </c>
      <c r="Z11" s="3" t="n"/>
      <c r="AA11" s="7" t="n"/>
      <c r="AB11" s="3" t="n"/>
      <c r="AC11" s="3" t="n"/>
      <c r="AD11" s="6" t="n"/>
      <c r="AE11" s="3" t="inlineStr">
        <is>
          <t>kgCO2e/product</t>
        </is>
      </c>
      <c r="AF11" s="3" t="n"/>
      <c r="AG11" s="7" t="n">
        <v>0</v>
      </c>
      <c r="AH11" s="3" t="n"/>
      <c r="AI11" s="3" t="n"/>
      <c r="AJ11" s="3" t="n"/>
      <c r="AK11" s="4">
        <f>IF(COUNT(AH11,AI11,AJ11)=0,"",ROUND(AVERAGE(AH11,AI11,AJ11),3))</f>
        <v/>
      </c>
      <c r="AL11" s="3">
        <f>IF(X11="","",ROUND(X11*IF(H11="",0,H11)*(1+IF(AA11="",0,AA11)),5))</f>
        <v/>
      </c>
      <c r="AM11" s="3" t="inlineStr">
        <is>
          <t>kgCO2e/product</t>
        </is>
      </c>
      <c r="AN11" s="5" t="n"/>
      <c r="AO11" s="9">
        <f>IF(AND($A11&lt;&gt;"",E11=""),"Supplier code empty (High);","")&amp;IF(AND(P11&lt;&gt;"",OR(P11&gt;1,P11&lt;0)),"Incorrect PDS value (High);",IF(AND(P11&lt;&gt;"",P11&gt;0.5),"High PDS value (Medium);",""))&amp;IF(AND(Q11&lt;&gt;"",OR(Q11&gt;5,Q11&lt;1)),"Incorrect DQR value (High);","")&amp;IF(AND(N11&lt;&gt;"",OR(N11&lt;=0,N11&gt;100)),"Unusual PCF value might be wrong (High);","")&amp;IF(AND(AG11&lt;&gt;"",OR(AG11&gt;1,AG11&lt;0)),"Incorrect PDS value (High);",IF(AND(AG11&lt;&gt;"",AG11&gt;0.5),"High PDS value (Medium);",""))&amp;IF(AND(AK11&lt;&gt;"",OR(AK11&gt;5,AK11&lt;1)),"Incorrect DQR value (High);","")&amp;IF(AND(AA11&lt;&gt;"",OR(AA11&gt;1,AA11&lt;0)),"Incorrect scrap rate (High);",IF(AND(AA11&lt;&gt;"",AA11&gt;0.2),"High scrap rate (Medium);",IF(AND($A11&lt;&gt;"",AA11=0),"No scrap rate (No impact);","")))&amp;""</f>
        <v/>
      </c>
      <c r="AP11" s="9" t="n"/>
    </row>
    <row r="12">
      <c r="A12" s="3" t="n"/>
      <c r="B12" s="3" t="n"/>
      <c r="C12" s="3" t="n"/>
      <c r="D12" s="3" t="n"/>
      <c r="E12" s="3" t="n"/>
      <c r="F12" s="3" t="n"/>
      <c r="G12" s="4" t="n"/>
      <c r="H12" s="4" t="n"/>
      <c r="I12" s="3" t="inlineStr">
        <is>
          <t>kg</t>
        </is>
      </c>
      <c r="J12" s="4" t="n"/>
      <c r="K12" s="3" t="inlineStr">
        <is>
          <t>kg</t>
        </is>
      </c>
      <c r="L12" s="3" t="n"/>
      <c r="M12" s="5" t="n"/>
      <c r="N12" s="6" t="n"/>
      <c r="O12" s="3" t="inlineStr">
        <is>
          <t>kgCO2e/product</t>
        </is>
      </c>
      <c r="P12" s="7" t="n"/>
      <c r="Q12" s="4" t="n"/>
      <c r="R12" s="8" t="n"/>
      <c r="S12" s="3" t="inlineStr">
        <is>
          <t>Supplier</t>
        </is>
      </c>
      <c r="T12" s="3" t="inlineStr">
        <is>
          <t>No</t>
        </is>
      </c>
      <c r="U12" s="5" t="n"/>
      <c r="V12" s="3" t="n"/>
      <c r="W12" s="3" t="n"/>
      <c r="X12" s="6" t="n"/>
      <c r="Y12" s="3" t="inlineStr">
        <is>
          <t>kgCO2e/product</t>
        </is>
      </c>
      <c r="Z12" s="3" t="n"/>
      <c r="AA12" s="7" t="n"/>
      <c r="AB12" s="3" t="n"/>
      <c r="AC12" s="3" t="n"/>
      <c r="AD12" s="6" t="n"/>
      <c r="AE12" s="3" t="inlineStr">
        <is>
          <t>kgCO2e/product</t>
        </is>
      </c>
      <c r="AF12" s="3" t="n"/>
      <c r="AG12" s="7" t="n">
        <v>0</v>
      </c>
      <c r="AH12" s="3" t="n"/>
      <c r="AI12" s="3" t="n"/>
      <c r="AJ12" s="3" t="n"/>
      <c r="AK12" s="4">
        <f>IF(COUNT(AH12,AI12,AJ12)=0,"",ROUND(AVERAGE(AH12,AI12,AJ12),3))</f>
        <v/>
      </c>
      <c r="AL12" s="3">
        <f>IF(X12="","",ROUND(X12*IF(H12="",0,H12)*(1+IF(AA12="",0,AA12)),5))</f>
        <v/>
      </c>
      <c r="AM12" s="3" t="inlineStr">
        <is>
          <t>kgCO2e/product</t>
        </is>
      </c>
      <c r="AN12" s="5" t="n"/>
      <c r="AO12" s="9">
        <f>IF(AND($A12&lt;&gt;"",E12=""),"Supplier code empty (High);","")&amp;IF(AND(P12&lt;&gt;"",OR(P12&gt;1,P12&lt;0)),"Incorrect PDS value (High);",IF(AND(P12&lt;&gt;"",P12&gt;0.5),"High PDS value (Medium);",""))&amp;IF(AND(Q12&lt;&gt;"",OR(Q12&gt;5,Q12&lt;1)),"Incorrect DQR value (High);","")&amp;IF(AND(N12&lt;&gt;"",OR(N12&lt;=0,N12&gt;100)),"Unusual PCF value might be wrong (High);","")&amp;IF(AND(AG12&lt;&gt;"",OR(AG12&gt;1,AG12&lt;0)),"Incorrect PDS value (High);",IF(AND(AG12&lt;&gt;"",AG12&gt;0.5),"High PDS value (Medium);",""))&amp;IF(AND(AK12&lt;&gt;"",OR(AK12&gt;5,AK12&lt;1)),"Incorrect DQR value (High);","")&amp;IF(AND(AA12&lt;&gt;"",OR(AA12&gt;1,AA12&lt;0)),"Incorrect scrap rate (High);",IF(AND(AA12&lt;&gt;"",AA12&gt;0.2),"High scrap rate (Medium);",IF(AND($A12&lt;&gt;"",AA12=0),"No scrap rate (No impact);","")))&amp;""</f>
        <v/>
      </c>
      <c r="AP12" s="9" t="n"/>
    </row>
    <row r="13">
      <c r="A13" s="3" t="n"/>
      <c r="B13" s="3" t="n"/>
      <c r="C13" s="3" t="n"/>
      <c r="D13" s="3" t="n"/>
      <c r="E13" s="3" t="n"/>
      <c r="F13" s="3" t="n"/>
      <c r="G13" s="4" t="n"/>
      <c r="H13" s="4" t="n"/>
      <c r="I13" s="3" t="inlineStr">
        <is>
          <t>kg</t>
        </is>
      </c>
      <c r="J13" s="4" t="n"/>
      <c r="K13" s="3" t="inlineStr">
        <is>
          <t>kg</t>
        </is>
      </c>
      <c r="L13" s="3" t="n"/>
      <c r="M13" s="5" t="n"/>
      <c r="N13" s="6" t="n"/>
      <c r="O13" s="3" t="inlineStr">
        <is>
          <t>kgCO2e/product</t>
        </is>
      </c>
      <c r="P13" s="7" t="n"/>
      <c r="Q13" s="4" t="n"/>
      <c r="R13" s="8" t="n"/>
      <c r="S13" s="3" t="inlineStr">
        <is>
          <t>Supplier</t>
        </is>
      </c>
      <c r="T13" s="3" t="inlineStr">
        <is>
          <t>No</t>
        </is>
      </c>
      <c r="U13" s="5" t="n"/>
      <c r="V13" s="3" t="n"/>
      <c r="W13" s="3" t="n"/>
      <c r="X13" s="6" t="n"/>
      <c r="Y13" s="3" t="inlineStr">
        <is>
          <t>kgCO2e/product</t>
        </is>
      </c>
      <c r="Z13" s="3" t="n"/>
      <c r="AA13" s="7" t="n"/>
      <c r="AB13" s="3" t="n"/>
      <c r="AC13" s="3" t="n"/>
      <c r="AD13" s="6" t="n"/>
      <c r="AE13" s="3" t="inlineStr">
        <is>
          <t>kgCO2e/product</t>
        </is>
      </c>
      <c r="AF13" s="3" t="n"/>
      <c r="AG13" s="7" t="n">
        <v>0</v>
      </c>
      <c r="AH13" s="3" t="n"/>
      <c r="AI13" s="3" t="n"/>
      <c r="AJ13" s="3" t="n"/>
      <c r="AK13" s="4">
        <f>IF(COUNT(AH13,AI13,AJ13)=0,"",ROUND(AVERAGE(AH13,AI13,AJ13),3))</f>
        <v/>
      </c>
      <c r="AL13" s="3">
        <f>IF(X13="","",ROUND(X13*IF(H13="",0,H13)*(1+IF(AA13="",0,AA13)),5))</f>
        <v/>
      </c>
      <c r="AM13" s="3" t="inlineStr">
        <is>
          <t>kgCO2e/product</t>
        </is>
      </c>
      <c r="AN13" s="5" t="n"/>
      <c r="AO13" s="9">
        <f>IF(AND($A13&lt;&gt;"",E13=""),"Supplier code empty (High);","")&amp;IF(AND(P13&lt;&gt;"",OR(P13&gt;1,P13&lt;0)),"Incorrect PDS value (High);",IF(AND(P13&lt;&gt;"",P13&gt;0.5),"High PDS value (Medium);",""))&amp;IF(AND(Q13&lt;&gt;"",OR(Q13&gt;5,Q13&lt;1)),"Incorrect DQR value (High);","")&amp;IF(AND(N13&lt;&gt;"",OR(N13&lt;=0,N13&gt;100)),"Unusual PCF value might be wrong (High);","")&amp;IF(AND(AG13&lt;&gt;"",OR(AG13&gt;1,AG13&lt;0)),"Incorrect PDS value (High);",IF(AND(AG13&lt;&gt;"",AG13&gt;0.5),"High PDS value (Medium);",""))&amp;IF(AND(AK13&lt;&gt;"",OR(AK13&gt;5,AK13&lt;1)),"Incorrect DQR value (High);","")&amp;IF(AND(AA13&lt;&gt;"",OR(AA13&gt;1,AA13&lt;0)),"Incorrect scrap rate (High);",IF(AND(AA13&lt;&gt;"",AA13&gt;0.2),"High scrap rate (Medium);",IF(AND($A13&lt;&gt;"",AA13=0),"No scrap rate (No impact);","")))&amp;""</f>
        <v/>
      </c>
      <c r="AP13" s="9" t="n"/>
    </row>
    <row r="14">
      <c r="A14" s="3" t="n"/>
      <c r="B14" s="3" t="n"/>
      <c r="C14" s="3" t="n"/>
      <c r="D14" s="3" t="n"/>
      <c r="E14" s="3" t="n"/>
      <c r="F14" s="3" t="n"/>
      <c r="G14" s="4" t="n"/>
      <c r="H14" s="4" t="n"/>
      <c r="I14" s="3" t="inlineStr">
        <is>
          <t>kg</t>
        </is>
      </c>
      <c r="J14" s="4" t="n"/>
      <c r="K14" s="3" t="inlineStr">
        <is>
          <t>kg</t>
        </is>
      </c>
      <c r="L14" s="3" t="n"/>
      <c r="M14" s="5" t="n"/>
      <c r="N14" s="6" t="n"/>
      <c r="O14" s="3" t="inlineStr">
        <is>
          <t>kgCO2e/product</t>
        </is>
      </c>
      <c r="P14" s="7" t="n"/>
      <c r="Q14" s="4" t="n"/>
      <c r="R14" s="8" t="n"/>
      <c r="S14" s="3" t="inlineStr">
        <is>
          <t>Supplier</t>
        </is>
      </c>
      <c r="T14" s="3" t="inlineStr">
        <is>
          <t>No</t>
        </is>
      </c>
      <c r="U14" s="5" t="n"/>
      <c r="V14" s="3" t="n"/>
      <c r="W14" s="3" t="n"/>
      <c r="X14" s="6" t="n"/>
      <c r="Y14" s="3" t="inlineStr">
        <is>
          <t>kgCO2e/product</t>
        </is>
      </c>
      <c r="Z14" s="3" t="n"/>
      <c r="AA14" s="7" t="n"/>
      <c r="AB14" s="3" t="n"/>
      <c r="AC14" s="3" t="n"/>
      <c r="AD14" s="6" t="n"/>
      <c r="AE14" s="3" t="inlineStr">
        <is>
          <t>kgCO2e/product</t>
        </is>
      </c>
      <c r="AF14" s="3" t="n"/>
      <c r="AG14" s="7" t="n">
        <v>0</v>
      </c>
      <c r="AH14" s="3" t="n"/>
      <c r="AI14" s="3" t="n"/>
      <c r="AJ14" s="3" t="n"/>
      <c r="AK14" s="4">
        <f>IF(COUNT(AH14,AI14,AJ14)=0,"",ROUND(AVERAGE(AH14,AI14,AJ14),3))</f>
        <v/>
      </c>
      <c r="AL14" s="3">
        <f>IF(X14="","",ROUND(X14*IF(H14="",0,H14)*(1+IF(AA14="",0,AA14)),5))</f>
        <v/>
      </c>
      <c r="AM14" s="3" t="inlineStr">
        <is>
          <t>kgCO2e/product</t>
        </is>
      </c>
      <c r="AN14" s="5" t="n"/>
      <c r="AO14" s="9">
        <f>IF(AND($A14&lt;&gt;"",E14=""),"Supplier code empty (High);","")&amp;IF(AND(P14&lt;&gt;"",OR(P14&gt;1,P14&lt;0)),"Incorrect PDS value (High);",IF(AND(P14&lt;&gt;"",P14&gt;0.5),"High PDS value (Medium);",""))&amp;IF(AND(Q14&lt;&gt;"",OR(Q14&gt;5,Q14&lt;1)),"Incorrect DQR value (High);","")&amp;IF(AND(N14&lt;&gt;"",OR(N14&lt;=0,N14&gt;100)),"Unusual PCF value might be wrong (High);","")&amp;IF(AND(AG14&lt;&gt;"",OR(AG14&gt;1,AG14&lt;0)),"Incorrect PDS value (High);",IF(AND(AG14&lt;&gt;"",AG14&gt;0.5),"High PDS value (Medium);",""))&amp;IF(AND(AK14&lt;&gt;"",OR(AK14&gt;5,AK14&lt;1)),"Incorrect DQR value (High);","")&amp;IF(AND(AA14&lt;&gt;"",OR(AA14&gt;1,AA14&lt;0)),"Incorrect scrap rate (High);",IF(AND(AA14&lt;&gt;"",AA14&gt;0.2),"High scrap rate (Medium);",IF(AND($A14&lt;&gt;"",AA14=0),"No scrap rate (No impact);","")))&amp;""</f>
        <v/>
      </c>
      <c r="AP14" s="9" t="n"/>
    </row>
    <row r="15">
      <c r="A15" s="3" t="n"/>
      <c r="B15" s="3" t="n"/>
      <c r="C15" s="3" t="n"/>
      <c r="D15" s="3" t="n"/>
      <c r="E15" s="3" t="n"/>
      <c r="F15" s="3" t="n"/>
      <c r="G15" s="4" t="n"/>
      <c r="H15" s="4" t="n"/>
      <c r="I15" s="3" t="inlineStr">
        <is>
          <t>kg</t>
        </is>
      </c>
      <c r="J15" s="4" t="n"/>
      <c r="K15" s="3" t="inlineStr">
        <is>
          <t>kg</t>
        </is>
      </c>
      <c r="L15" s="3" t="n"/>
      <c r="M15" s="5" t="n"/>
      <c r="N15" s="6" t="n"/>
      <c r="O15" s="3" t="inlineStr">
        <is>
          <t>kgCO2e/product</t>
        </is>
      </c>
      <c r="P15" s="7" t="n"/>
      <c r="Q15" s="4" t="n"/>
      <c r="R15" s="8" t="n"/>
      <c r="S15" s="3" t="inlineStr">
        <is>
          <t>Supplier</t>
        </is>
      </c>
      <c r="T15" s="3" t="inlineStr">
        <is>
          <t>No</t>
        </is>
      </c>
      <c r="U15" s="5" t="n"/>
      <c r="V15" s="3" t="n"/>
      <c r="W15" s="3" t="n"/>
      <c r="X15" s="6" t="n"/>
      <c r="Y15" s="3" t="inlineStr">
        <is>
          <t>kgCO2e/product</t>
        </is>
      </c>
      <c r="Z15" s="3" t="n"/>
      <c r="AA15" s="7" t="n"/>
      <c r="AB15" s="3" t="n"/>
      <c r="AC15" s="3" t="n"/>
      <c r="AD15" s="6" t="n"/>
      <c r="AE15" s="3" t="inlineStr">
        <is>
          <t>kgCO2e/product</t>
        </is>
      </c>
      <c r="AF15" s="3" t="n"/>
      <c r="AG15" s="7" t="n">
        <v>0</v>
      </c>
      <c r="AH15" s="3" t="n"/>
      <c r="AI15" s="3" t="n"/>
      <c r="AJ15" s="3" t="n"/>
      <c r="AK15" s="4">
        <f>IF(COUNT(AH15,AI15,AJ15)=0,"",ROUND(AVERAGE(AH15,AI15,AJ15),3))</f>
        <v/>
      </c>
      <c r="AL15" s="3">
        <f>IF(X15="","",ROUND(X15*IF(H15="",0,H15)*(1+IF(AA15="",0,AA15)),5))</f>
        <v/>
      </c>
      <c r="AM15" s="3" t="inlineStr">
        <is>
          <t>kgCO2e/product</t>
        </is>
      </c>
      <c r="AN15" s="5" t="n"/>
      <c r="AO15" s="9">
        <f>IF(AND($A15&lt;&gt;"",E15=""),"Supplier code empty (High);","")&amp;IF(AND(P15&lt;&gt;"",OR(P15&gt;1,P15&lt;0)),"Incorrect PDS value (High);",IF(AND(P15&lt;&gt;"",P15&gt;0.5),"High PDS value (Medium);",""))&amp;IF(AND(Q15&lt;&gt;"",OR(Q15&gt;5,Q15&lt;1)),"Incorrect DQR value (High);","")&amp;IF(AND(N15&lt;&gt;"",OR(N15&lt;=0,N15&gt;100)),"Unusual PCF value might be wrong (High);","")&amp;IF(AND(AG15&lt;&gt;"",OR(AG15&gt;1,AG15&lt;0)),"Incorrect PDS value (High);",IF(AND(AG15&lt;&gt;"",AG15&gt;0.5),"High PDS value (Medium);",""))&amp;IF(AND(AK15&lt;&gt;"",OR(AK15&gt;5,AK15&lt;1)),"Incorrect DQR value (High);","")&amp;IF(AND(AA15&lt;&gt;"",OR(AA15&gt;1,AA15&lt;0)),"Incorrect scrap rate (High);",IF(AND(AA15&lt;&gt;"",AA15&gt;0.2),"High scrap rate (Medium);",IF(AND($A15&lt;&gt;"",AA15=0),"No scrap rate (No impact);","")))&amp;""</f>
        <v/>
      </c>
      <c r="AP15" s="9" t="n"/>
    </row>
    <row r="16">
      <c r="A16" s="3" t="n"/>
      <c r="B16" s="3" t="n"/>
      <c r="C16" s="3" t="n"/>
      <c r="D16" s="3" t="n"/>
      <c r="E16" s="3" t="n"/>
      <c r="F16" s="3" t="n"/>
      <c r="G16" s="4" t="n"/>
      <c r="H16" s="4" t="n"/>
      <c r="I16" s="3" t="inlineStr">
        <is>
          <t>kg</t>
        </is>
      </c>
      <c r="J16" s="4" t="n"/>
      <c r="K16" s="3" t="inlineStr">
        <is>
          <t>kg</t>
        </is>
      </c>
      <c r="L16" s="3" t="n"/>
      <c r="M16" s="5" t="n"/>
      <c r="N16" s="6" t="n"/>
      <c r="O16" s="3" t="inlineStr">
        <is>
          <t>kgCO2e/product</t>
        </is>
      </c>
      <c r="P16" s="7" t="n"/>
      <c r="Q16" s="4" t="n"/>
      <c r="R16" s="8" t="n"/>
      <c r="S16" s="3" t="inlineStr">
        <is>
          <t>Supplier</t>
        </is>
      </c>
      <c r="T16" s="3" t="inlineStr">
        <is>
          <t>No</t>
        </is>
      </c>
      <c r="U16" s="5" t="n"/>
      <c r="V16" s="3" t="n"/>
      <c r="W16" s="3" t="n"/>
      <c r="X16" s="6" t="n"/>
      <c r="Y16" s="3" t="inlineStr">
        <is>
          <t>kgCO2e/product</t>
        </is>
      </c>
      <c r="Z16" s="3" t="n"/>
      <c r="AA16" s="7" t="n"/>
      <c r="AB16" s="3" t="n"/>
      <c r="AC16" s="3" t="n"/>
      <c r="AD16" s="6" t="n"/>
      <c r="AE16" s="3" t="inlineStr">
        <is>
          <t>kgCO2e/product</t>
        </is>
      </c>
      <c r="AF16" s="3" t="n"/>
      <c r="AG16" s="7" t="n">
        <v>0</v>
      </c>
      <c r="AH16" s="3" t="n"/>
      <c r="AI16" s="3" t="n"/>
      <c r="AJ16" s="3" t="n"/>
      <c r="AK16" s="4">
        <f>IF(COUNT(AH16,AI16,AJ16)=0,"",ROUND(AVERAGE(AH16,AI16,AJ16),3))</f>
        <v/>
      </c>
      <c r="AL16" s="3">
        <f>IF(X16="","",ROUND(X16*IF(H16="",0,H16)*(1+IF(AA16="",0,AA16)),5))</f>
        <v/>
      </c>
      <c r="AM16" s="3" t="inlineStr">
        <is>
          <t>kgCO2e/product</t>
        </is>
      </c>
      <c r="AN16" s="5" t="n"/>
      <c r="AO16" s="9">
        <f>IF(AND($A16&lt;&gt;"",E16=""),"Supplier code empty (High);","")&amp;IF(AND(P16&lt;&gt;"",OR(P16&gt;1,P16&lt;0)),"Incorrect PDS value (High);",IF(AND(P16&lt;&gt;"",P16&gt;0.5),"High PDS value (Medium);",""))&amp;IF(AND(Q16&lt;&gt;"",OR(Q16&gt;5,Q16&lt;1)),"Incorrect DQR value (High);","")&amp;IF(AND(N16&lt;&gt;"",OR(N16&lt;=0,N16&gt;100)),"Unusual PCF value might be wrong (High);","")&amp;IF(AND(AG16&lt;&gt;"",OR(AG16&gt;1,AG16&lt;0)),"Incorrect PDS value (High);",IF(AND(AG16&lt;&gt;"",AG16&gt;0.5),"High PDS value (Medium);",""))&amp;IF(AND(AK16&lt;&gt;"",OR(AK16&gt;5,AK16&lt;1)),"Incorrect DQR value (High);","")&amp;IF(AND(AA16&lt;&gt;"",OR(AA16&gt;1,AA16&lt;0)),"Incorrect scrap rate (High);",IF(AND(AA16&lt;&gt;"",AA16&gt;0.2),"High scrap rate (Medium);",IF(AND($A16&lt;&gt;"",AA16=0),"No scrap rate (No impact);","")))&amp;""</f>
        <v/>
      </c>
      <c r="AP16" s="9" t="n"/>
    </row>
    <row r="17">
      <c r="A17" s="3" t="n"/>
      <c r="B17" s="3" t="n"/>
      <c r="C17" s="3" t="n"/>
      <c r="D17" s="3" t="n"/>
      <c r="E17" s="3" t="n"/>
      <c r="F17" s="3" t="n"/>
      <c r="G17" s="4" t="n"/>
      <c r="H17" s="4" t="n"/>
      <c r="I17" s="3" t="inlineStr">
        <is>
          <t>kg</t>
        </is>
      </c>
      <c r="J17" s="4" t="n"/>
      <c r="K17" s="3" t="inlineStr">
        <is>
          <t>kg</t>
        </is>
      </c>
      <c r="L17" s="3" t="n"/>
      <c r="M17" s="5" t="n"/>
      <c r="N17" s="6" t="n"/>
      <c r="O17" s="3" t="inlineStr">
        <is>
          <t>kgCO2e/product</t>
        </is>
      </c>
      <c r="P17" s="7" t="n"/>
      <c r="Q17" s="4" t="n"/>
      <c r="R17" s="8" t="n"/>
      <c r="S17" s="3" t="inlineStr">
        <is>
          <t>Supplier</t>
        </is>
      </c>
      <c r="T17" s="3" t="inlineStr">
        <is>
          <t>No</t>
        </is>
      </c>
      <c r="U17" s="5" t="n"/>
      <c r="V17" s="3" t="n"/>
      <c r="W17" s="3" t="n"/>
      <c r="X17" s="6" t="n"/>
      <c r="Y17" s="3" t="inlineStr">
        <is>
          <t>kgCO2e/product</t>
        </is>
      </c>
      <c r="Z17" s="3" t="n"/>
      <c r="AA17" s="7" t="n"/>
      <c r="AB17" s="3" t="n"/>
      <c r="AC17" s="3" t="n"/>
      <c r="AD17" s="6" t="n"/>
      <c r="AE17" s="3" t="inlineStr">
        <is>
          <t>kgCO2e/product</t>
        </is>
      </c>
      <c r="AF17" s="3" t="n"/>
      <c r="AG17" s="7" t="n">
        <v>0</v>
      </c>
      <c r="AH17" s="3" t="n"/>
      <c r="AI17" s="3" t="n"/>
      <c r="AJ17" s="3" t="n"/>
      <c r="AK17" s="4">
        <f>IF(COUNT(AH17,AI17,AJ17)=0,"",ROUND(AVERAGE(AH17,AI17,AJ17),3))</f>
        <v/>
      </c>
      <c r="AL17" s="3">
        <f>IF(X17="","",ROUND(X17*IF(H17="",0,H17)*(1+IF(AA17="",0,AA17)),5))</f>
        <v/>
      </c>
      <c r="AM17" s="3" t="inlineStr">
        <is>
          <t>kgCO2e/product</t>
        </is>
      </c>
      <c r="AN17" s="5" t="n"/>
      <c r="AO17" s="9">
        <f>IF(AND($A17&lt;&gt;"",E17=""),"Supplier code empty (High);","")&amp;IF(AND(P17&lt;&gt;"",OR(P17&gt;1,P17&lt;0)),"Incorrect PDS value (High);",IF(AND(P17&lt;&gt;"",P17&gt;0.5),"High PDS value (Medium);",""))&amp;IF(AND(Q17&lt;&gt;"",OR(Q17&gt;5,Q17&lt;1)),"Incorrect DQR value (High);","")&amp;IF(AND(N17&lt;&gt;"",OR(N17&lt;=0,N17&gt;100)),"Unusual PCF value might be wrong (High);","")&amp;IF(AND(AG17&lt;&gt;"",OR(AG17&gt;1,AG17&lt;0)),"Incorrect PDS value (High);",IF(AND(AG17&lt;&gt;"",AG17&gt;0.5),"High PDS value (Medium);",""))&amp;IF(AND(AK17&lt;&gt;"",OR(AK17&gt;5,AK17&lt;1)),"Incorrect DQR value (High);","")&amp;IF(AND(AA17&lt;&gt;"",OR(AA17&gt;1,AA17&lt;0)),"Incorrect scrap rate (High);",IF(AND(AA17&lt;&gt;"",AA17&gt;0.2),"High scrap rate (Medium);",IF(AND($A17&lt;&gt;"",AA17=0),"No scrap rate (No impact);","")))&amp;""</f>
        <v/>
      </c>
      <c r="AP17" s="9" t="n"/>
    </row>
    <row r="18">
      <c r="A18" s="3" t="n"/>
      <c r="B18" s="3" t="n"/>
      <c r="C18" s="3" t="n"/>
      <c r="D18" s="3" t="n"/>
      <c r="E18" s="3" t="n"/>
      <c r="F18" s="3" t="n"/>
      <c r="G18" s="4" t="n"/>
      <c r="H18" s="4" t="n"/>
      <c r="I18" s="3" t="inlineStr">
        <is>
          <t>kg</t>
        </is>
      </c>
      <c r="J18" s="4" t="n"/>
      <c r="K18" s="3" t="inlineStr">
        <is>
          <t>kg</t>
        </is>
      </c>
      <c r="L18" s="3" t="n"/>
      <c r="M18" s="5" t="n"/>
      <c r="N18" s="6" t="n"/>
      <c r="O18" s="3" t="inlineStr">
        <is>
          <t>kgCO2e/product</t>
        </is>
      </c>
      <c r="P18" s="7" t="n"/>
      <c r="Q18" s="4" t="n"/>
      <c r="R18" s="8" t="n"/>
      <c r="S18" s="3" t="inlineStr">
        <is>
          <t>Supplier</t>
        </is>
      </c>
      <c r="T18" s="3" t="inlineStr">
        <is>
          <t>No</t>
        </is>
      </c>
      <c r="U18" s="5" t="n"/>
      <c r="V18" s="3" t="n"/>
      <c r="W18" s="3" t="n"/>
      <c r="X18" s="6" t="n"/>
      <c r="Y18" s="3" t="inlineStr">
        <is>
          <t>kgCO2e/product</t>
        </is>
      </c>
      <c r="Z18" s="3" t="n"/>
      <c r="AA18" s="7" t="n"/>
      <c r="AB18" s="3" t="n"/>
      <c r="AC18" s="3" t="n"/>
      <c r="AD18" s="6" t="n"/>
      <c r="AE18" s="3" t="inlineStr">
        <is>
          <t>kgCO2e/product</t>
        </is>
      </c>
      <c r="AF18" s="3" t="n"/>
      <c r="AG18" s="7" t="n">
        <v>0</v>
      </c>
      <c r="AH18" s="3" t="n"/>
      <c r="AI18" s="3" t="n"/>
      <c r="AJ18" s="3" t="n"/>
      <c r="AK18" s="4">
        <f>IF(COUNT(AH18,AI18,AJ18)=0,"",ROUND(AVERAGE(AH18,AI18,AJ18),3))</f>
        <v/>
      </c>
      <c r="AL18" s="3">
        <f>IF(X18="","",ROUND(X18*IF(H18="",0,H18)*(1+IF(AA18="",0,AA18)),5))</f>
        <v/>
      </c>
      <c r="AM18" s="3" t="inlineStr">
        <is>
          <t>kgCO2e/product</t>
        </is>
      </c>
      <c r="AN18" s="5" t="n"/>
      <c r="AO18" s="9">
        <f>IF(AND($A18&lt;&gt;"",E18=""),"Supplier code empty (High);","")&amp;IF(AND(P18&lt;&gt;"",OR(P18&gt;1,P18&lt;0)),"Incorrect PDS value (High);",IF(AND(P18&lt;&gt;"",P18&gt;0.5),"High PDS value (Medium);",""))&amp;IF(AND(Q18&lt;&gt;"",OR(Q18&gt;5,Q18&lt;1)),"Incorrect DQR value (High);","")&amp;IF(AND(N18&lt;&gt;"",OR(N18&lt;=0,N18&gt;100)),"Unusual PCF value might be wrong (High);","")&amp;IF(AND(AG18&lt;&gt;"",OR(AG18&gt;1,AG18&lt;0)),"Incorrect PDS value (High);",IF(AND(AG18&lt;&gt;"",AG18&gt;0.5),"High PDS value (Medium);",""))&amp;IF(AND(AK18&lt;&gt;"",OR(AK18&gt;5,AK18&lt;1)),"Incorrect DQR value (High);","")&amp;IF(AND(AA18&lt;&gt;"",OR(AA18&gt;1,AA18&lt;0)),"Incorrect scrap rate (High);",IF(AND(AA18&lt;&gt;"",AA18&gt;0.2),"High scrap rate (Medium);",IF(AND($A18&lt;&gt;"",AA18=0),"No scrap rate (No impact);","")))&amp;""</f>
        <v/>
      </c>
      <c r="AP18" s="9" t="n"/>
    </row>
    <row r="19">
      <c r="A19" s="3" t="n"/>
      <c r="B19" s="3" t="n"/>
      <c r="C19" s="3" t="n"/>
      <c r="D19" s="3" t="n"/>
      <c r="E19" s="3" t="n"/>
      <c r="F19" s="3" t="n"/>
      <c r="G19" s="4" t="n"/>
      <c r="H19" s="4" t="n"/>
      <c r="I19" s="3" t="inlineStr">
        <is>
          <t>kg</t>
        </is>
      </c>
      <c r="J19" s="4" t="n"/>
      <c r="K19" s="3" t="inlineStr">
        <is>
          <t>kg</t>
        </is>
      </c>
      <c r="L19" s="3" t="n"/>
      <c r="M19" s="5" t="n"/>
      <c r="N19" s="6" t="n"/>
      <c r="O19" s="3" t="inlineStr">
        <is>
          <t>kgCO2e/product</t>
        </is>
      </c>
      <c r="P19" s="7" t="n"/>
      <c r="Q19" s="4" t="n"/>
      <c r="R19" s="8" t="n"/>
      <c r="S19" s="3" t="inlineStr">
        <is>
          <t>Supplier</t>
        </is>
      </c>
      <c r="T19" s="3" t="inlineStr">
        <is>
          <t>No</t>
        </is>
      </c>
      <c r="U19" s="5" t="n"/>
      <c r="V19" s="3" t="n"/>
      <c r="W19" s="3" t="n"/>
      <c r="X19" s="6" t="n"/>
      <c r="Y19" s="3" t="inlineStr">
        <is>
          <t>kgCO2e/product</t>
        </is>
      </c>
      <c r="Z19" s="3" t="n"/>
      <c r="AA19" s="7" t="n"/>
      <c r="AB19" s="3" t="n"/>
      <c r="AC19" s="3" t="n"/>
      <c r="AD19" s="6" t="n"/>
      <c r="AE19" s="3" t="inlineStr">
        <is>
          <t>kgCO2e/product</t>
        </is>
      </c>
      <c r="AF19" s="3" t="n"/>
      <c r="AG19" s="7" t="n">
        <v>0</v>
      </c>
      <c r="AH19" s="3" t="n"/>
      <c r="AI19" s="3" t="n"/>
      <c r="AJ19" s="3" t="n"/>
      <c r="AK19" s="4">
        <f>IF(COUNT(AH19,AI19,AJ19)=0,"",ROUND(AVERAGE(AH19,AI19,AJ19),3))</f>
        <v/>
      </c>
      <c r="AL19" s="3">
        <f>IF(X19="","",ROUND(X19*IF(H19="",0,H19)*(1+IF(AA19="",0,AA19)),5))</f>
        <v/>
      </c>
      <c r="AM19" s="3" t="inlineStr">
        <is>
          <t>kgCO2e/product</t>
        </is>
      </c>
      <c r="AN19" s="5" t="n"/>
      <c r="AO19" s="9">
        <f>IF(AND($A19&lt;&gt;"",E19=""),"Supplier code empty (High);","")&amp;IF(AND(P19&lt;&gt;"",OR(P19&gt;1,P19&lt;0)),"Incorrect PDS value (High);",IF(AND(P19&lt;&gt;"",P19&gt;0.5),"High PDS value (Medium);",""))&amp;IF(AND(Q19&lt;&gt;"",OR(Q19&gt;5,Q19&lt;1)),"Incorrect DQR value (High);","")&amp;IF(AND(N19&lt;&gt;"",OR(N19&lt;=0,N19&gt;100)),"Unusual PCF value might be wrong (High);","")&amp;IF(AND(AG19&lt;&gt;"",OR(AG19&gt;1,AG19&lt;0)),"Incorrect PDS value (High);",IF(AND(AG19&lt;&gt;"",AG19&gt;0.5),"High PDS value (Medium);",""))&amp;IF(AND(AK19&lt;&gt;"",OR(AK19&gt;5,AK19&lt;1)),"Incorrect DQR value (High);","")&amp;IF(AND(AA19&lt;&gt;"",OR(AA19&gt;1,AA19&lt;0)),"Incorrect scrap rate (High);",IF(AND(AA19&lt;&gt;"",AA19&gt;0.2),"High scrap rate (Medium);",IF(AND($A19&lt;&gt;"",AA19=0),"No scrap rate (No impact);","")))&amp;""</f>
        <v/>
      </c>
      <c r="AP19" s="9" t="n"/>
    </row>
    <row r="20">
      <c r="A20" s="3" t="n"/>
      <c r="B20" s="3" t="n"/>
      <c r="C20" s="3" t="n"/>
      <c r="D20" s="3" t="n"/>
      <c r="E20" s="3" t="n"/>
      <c r="F20" s="3" t="n"/>
      <c r="G20" s="4" t="n"/>
      <c r="H20" s="4" t="n"/>
      <c r="I20" s="3" t="inlineStr">
        <is>
          <t>kg</t>
        </is>
      </c>
      <c r="J20" s="4" t="n"/>
      <c r="K20" s="3" t="inlineStr">
        <is>
          <t>kg</t>
        </is>
      </c>
      <c r="L20" s="3" t="n"/>
      <c r="M20" s="5" t="n"/>
      <c r="N20" s="6" t="n"/>
      <c r="O20" s="3" t="inlineStr">
        <is>
          <t>kgCO2e/product</t>
        </is>
      </c>
      <c r="P20" s="7" t="n"/>
      <c r="Q20" s="4" t="n"/>
      <c r="R20" s="8" t="n"/>
      <c r="S20" s="3" t="inlineStr">
        <is>
          <t>Supplier</t>
        </is>
      </c>
      <c r="T20" s="3" t="inlineStr">
        <is>
          <t>No</t>
        </is>
      </c>
      <c r="U20" s="5" t="n"/>
      <c r="V20" s="3" t="n"/>
      <c r="W20" s="3" t="n"/>
      <c r="X20" s="6" t="n"/>
      <c r="Y20" s="3" t="inlineStr">
        <is>
          <t>kgCO2e/product</t>
        </is>
      </c>
      <c r="Z20" s="3" t="n"/>
      <c r="AA20" s="7" t="n"/>
      <c r="AB20" s="3" t="n"/>
      <c r="AC20" s="3" t="n"/>
      <c r="AD20" s="6" t="n"/>
      <c r="AE20" s="3" t="inlineStr">
        <is>
          <t>kgCO2e/product</t>
        </is>
      </c>
      <c r="AF20" s="3" t="n"/>
      <c r="AG20" s="7" t="n">
        <v>0</v>
      </c>
      <c r="AH20" s="3" t="n"/>
      <c r="AI20" s="3" t="n"/>
      <c r="AJ20" s="3" t="n"/>
      <c r="AK20" s="4">
        <f>IF(COUNT(AH20,AI20,AJ20)=0,"",ROUND(AVERAGE(AH20,AI20,AJ20),3))</f>
        <v/>
      </c>
      <c r="AL20" s="3">
        <f>IF(X20="","",ROUND(X20*IF(H20="",0,H20)*(1+IF(AA20="",0,AA20)),5))</f>
        <v/>
      </c>
      <c r="AM20" s="3" t="inlineStr">
        <is>
          <t>kgCO2e/product</t>
        </is>
      </c>
      <c r="AN20" s="5" t="n"/>
      <c r="AO20" s="9">
        <f>IF(AND($A20&lt;&gt;"",E20=""),"Supplier code empty (High);","")&amp;IF(AND(P20&lt;&gt;"",OR(P20&gt;1,P20&lt;0)),"Incorrect PDS value (High);",IF(AND(P20&lt;&gt;"",P20&gt;0.5),"High PDS value (Medium);",""))&amp;IF(AND(Q20&lt;&gt;"",OR(Q20&gt;5,Q20&lt;1)),"Incorrect DQR value (High);","")&amp;IF(AND(N20&lt;&gt;"",OR(N20&lt;=0,N20&gt;100)),"Unusual PCF value might be wrong (High);","")&amp;IF(AND(AG20&lt;&gt;"",OR(AG20&gt;1,AG20&lt;0)),"Incorrect PDS value (High);",IF(AND(AG20&lt;&gt;"",AG20&gt;0.5),"High PDS value (Medium);",""))&amp;IF(AND(AK20&lt;&gt;"",OR(AK20&gt;5,AK20&lt;1)),"Incorrect DQR value (High);","")&amp;IF(AND(AA20&lt;&gt;"",OR(AA20&gt;1,AA20&lt;0)),"Incorrect scrap rate (High);",IF(AND(AA20&lt;&gt;"",AA20&gt;0.2),"High scrap rate (Medium);",IF(AND($A20&lt;&gt;"",AA20=0),"No scrap rate (No impact);","")))&amp;""</f>
        <v/>
      </c>
      <c r="AP20" s="9" t="n"/>
    </row>
    <row r="21">
      <c r="A21" s="3" t="n"/>
      <c r="B21" s="3" t="n"/>
      <c r="C21" s="3" t="n"/>
      <c r="D21" s="3" t="n"/>
      <c r="E21" s="3" t="n"/>
      <c r="F21" s="3" t="n"/>
      <c r="G21" s="4" t="n"/>
      <c r="H21" s="4" t="n"/>
      <c r="I21" s="3" t="inlineStr">
        <is>
          <t>kg</t>
        </is>
      </c>
      <c r="J21" s="4" t="n"/>
      <c r="K21" s="3" t="inlineStr">
        <is>
          <t>kg</t>
        </is>
      </c>
      <c r="L21" s="3" t="n"/>
      <c r="M21" s="5" t="n"/>
      <c r="N21" s="6" t="n"/>
      <c r="O21" s="3" t="inlineStr">
        <is>
          <t>kgCO2e/product</t>
        </is>
      </c>
      <c r="P21" s="7" t="n"/>
      <c r="Q21" s="4" t="n"/>
      <c r="R21" s="8" t="n"/>
      <c r="S21" s="3" t="inlineStr">
        <is>
          <t>Supplier</t>
        </is>
      </c>
      <c r="T21" s="3" t="inlineStr">
        <is>
          <t>No</t>
        </is>
      </c>
      <c r="U21" s="5" t="n"/>
      <c r="V21" s="3" t="n"/>
      <c r="W21" s="3" t="n"/>
      <c r="X21" s="6" t="n"/>
      <c r="Y21" s="3" t="inlineStr">
        <is>
          <t>kgCO2e/product</t>
        </is>
      </c>
      <c r="Z21" s="3" t="n"/>
      <c r="AA21" s="7" t="n"/>
      <c r="AB21" s="3" t="n"/>
      <c r="AC21" s="3" t="n"/>
      <c r="AD21" s="6" t="n"/>
      <c r="AE21" s="3" t="inlineStr">
        <is>
          <t>kgCO2e/product</t>
        </is>
      </c>
      <c r="AF21" s="3" t="n"/>
      <c r="AG21" s="7" t="n">
        <v>0</v>
      </c>
      <c r="AH21" s="3" t="n"/>
      <c r="AI21" s="3" t="n"/>
      <c r="AJ21" s="3" t="n"/>
      <c r="AK21" s="4">
        <f>IF(COUNT(AH21,AI21,AJ21)=0,"",ROUND(AVERAGE(AH21,AI21,AJ21),3))</f>
        <v/>
      </c>
      <c r="AL21" s="3">
        <f>IF(X21="","",ROUND(X21*IF(H21="",0,H21)*(1+IF(AA21="",0,AA21)),5))</f>
        <v/>
      </c>
      <c r="AM21" s="3" t="inlineStr">
        <is>
          <t>kgCO2e/product</t>
        </is>
      </c>
      <c r="AN21" s="5" t="n"/>
      <c r="AO21" s="9">
        <f>IF(AND($A21&lt;&gt;"",E21=""),"Supplier code empty (High);","")&amp;IF(AND(P21&lt;&gt;"",OR(P21&gt;1,P21&lt;0)),"Incorrect PDS value (High);",IF(AND(P21&lt;&gt;"",P21&gt;0.5),"High PDS value (Medium);",""))&amp;IF(AND(Q21&lt;&gt;"",OR(Q21&gt;5,Q21&lt;1)),"Incorrect DQR value (High);","")&amp;IF(AND(N21&lt;&gt;"",OR(N21&lt;=0,N21&gt;100)),"Unusual PCF value might be wrong (High);","")&amp;IF(AND(AG21&lt;&gt;"",OR(AG21&gt;1,AG21&lt;0)),"Incorrect PDS value (High);",IF(AND(AG21&lt;&gt;"",AG21&gt;0.5),"High PDS value (Medium);",""))&amp;IF(AND(AK21&lt;&gt;"",OR(AK21&gt;5,AK21&lt;1)),"Incorrect DQR value (High);","")&amp;IF(AND(AA21&lt;&gt;"",OR(AA21&gt;1,AA21&lt;0)),"Incorrect scrap rate (High);",IF(AND(AA21&lt;&gt;"",AA21&gt;0.2),"High scrap rate (Medium);",IF(AND($A21&lt;&gt;"",AA21=0),"No scrap rate (No impact);","")))&amp;""</f>
        <v/>
      </c>
      <c r="AP21" s="9" t="n"/>
    </row>
    <row r="22">
      <c r="A22" s="3" t="n"/>
      <c r="B22" s="3" t="n"/>
      <c r="C22" s="3" t="n"/>
      <c r="D22" s="3" t="n"/>
      <c r="E22" s="3" t="n"/>
      <c r="F22" s="3" t="n"/>
      <c r="G22" s="4" t="n"/>
      <c r="H22" s="4" t="n"/>
      <c r="I22" s="3" t="inlineStr">
        <is>
          <t>kg</t>
        </is>
      </c>
      <c r="J22" s="4" t="n"/>
      <c r="K22" s="3" t="inlineStr">
        <is>
          <t>kg</t>
        </is>
      </c>
      <c r="L22" s="3" t="n"/>
      <c r="M22" s="5" t="n"/>
      <c r="N22" s="6" t="n"/>
      <c r="O22" s="3" t="inlineStr">
        <is>
          <t>kgCO2e/product</t>
        </is>
      </c>
      <c r="P22" s="7" t="n"/>
      <c r="Q22" s="4" t="n"/>
      <c r="R22" s="8" t="n"/>
      <c r="S22" s="3" t="inlineStr">
        <is>
          <t>Supplier</t>
        </is>
      </c>
      <c r="T22" s="3" t="inlineStr">
        <is>
          <t>No</t>
        </is>
      </c>
      <c r="U22" s="5" t="n"/>
      <c r="V22" s="3" t="n"/>
      <c r="W22" s="3" t="n"/>
      <c r="X22" s="6" t="n"/>
      <c r="Y22" s="3" t="inlineStr">
        <is>
          <t>kgCO2e/product</t>
        </is>
      </c>
      <c r="Z22" s="3" t="n"/>
      <c r="AA22" s="7" t="n"/>
      <c r="AB22" s="3" t="n"/>
      <c r="AC22" s="3" t="n"/>
      <c r="AD22" s="6" t="n"/>
      <c r="AE22" s="3" t="inlineStr">
        <is>
          <t>kgCO2e/product</t>
        </is>
      </c>
      <c r="AF22" s="3" t="n"/>
      <c r="AG22" s="7" t="n">
        <v>0</v>
      </c>
      <c r="AH22" s="3" t="n"/>
      <c r="AI22" s="3" t="n"/>
      <c r="AJ22" s="3" t="n"/>
      <c r="AK22" s="4">
        <f>IF(COUNT(AH22,AI22,AJ22)=0,"",ROUND(AVERAGE(AH22,AI22,AJ22),3))</f>
        <v/>
      </c>
      <c r="AL22" s="3">
        <f>IF(X22="","",ROUND(X22*IF(H22="",0,H22)*(1+IF(AA22="",0,AA22)),5))</f>
        <v/>
      </c>
      <c r="AM22" s="3" t="inlineStr">
        <is>
          <t>kgCO2e/product</t>
        </is>
      </c>
      <c r="AN22" s="5" t="n"/>
      <c r="AO22" s="9">
        <f>IF(AND($A22&lt;&gt;"",E22=""),"Supplier code empty (High);","")&amp;IF(AND(P22&lt;&gt;"",OR(P22&gt;1,P22&lt;0)),"Incorrect PDS value (High);",IF(AND(P22&lt;&gt;"",P22&gt;0.5),"High PDS value (Medium);",""))&amp;IF(AND(Q22&lt;&gt;"",OR(Q22&gt;5,Q22&lt;1)),"Incorrect DQR value (High);","")&amp;IF(AND(N22&lt;&gt;"",OR(N22&lt;=0,N22&gt;100)),"Unusual PCF value might be wrong (High);","")&amp;IF(AND(AG22&lt;&gt;"",OR(AG22&gt;1,AG22&lt;0)),"Incorrect PDS value (High);",IF(AND(AG22&lt;&gt;"",AG22&gt;0.5),"High PDS value (Medium);",""))&amp;IF(AND(AK22&lt;&gt;"",OR(AK22&gt;5,AK22&lt;1)),"Incorrect DQR value (High);","")&amp;IF(AND(AA22&lt;&gt;"",OR(AA22&gt;1,AA22&lt;0)),"Incorrect scrap rate (High);",IF(AND(AA22&lt;&gt;"",AA22&gt;0.2),"High scrap rate (Medium);",IF(AND($A22&lt;&gt;"",AA22=0),"No scrap rate (No impact);","")))&amp;""</f>
        <v/>
      </c>
      <c r="AP22" s="9" t="n"/>
    </row>
    <row r="23">
      <c r="A23" s="3" t="n"/>
      <c r="B23" s="3" t="n"/>
      <c r="C23" s="3" t="n"/>
      <c r="D23" s="3" t="n"/>
      <c r="E23" s="3" t="n"/>
      <c r="F23" s="3" t="n"/>
      <c r="G23" s="4" t="n"/>
      <c r="H23" s="4" t="n"/>
      <c r="I23" s="3" t="inlineStr">
        <is>
          <t>kg</t>
        </is>
      </c>
      <c r="J23" s="4" t="n"/>
      <c r="K23" s="3" t="inlineStr">
        <is>
          <t>kg</t>
        </is>
      </c>
      <c r="L23" s="3" t="n"/>
      <c r="M23" s="5" t="n"/>
      <c r="N23" s="6" t="n"/>
      <c r="O23" s="3" t="inlineStr">
        <is>
          <t>kgCO2e/product</t>
        </is>
      </c>
      <c r="P23" s="7" t="n"/>
      <c r="Q23" s="4" t="n"/>
      <c r="R23" s="8" t="n"/>
      <c r="S23" s="3" t="inlineStr">
        <is>
          <t>Supplier</t>
        </is>
      </c>
      <c r="T23" s="3" t="inlineStr">
        <is>
          <t>No</t>
        </is>
      </c>
      <c r="U23" s="5" t="n"/>
      <c r="V23" s="3" t="n"/>
      <c r="W23" s="3" t="n"/>
      <c r="X23" s="6" t="n"/>
      <c r="Y23" s="3" t="inlineStr">
        <is>
          <t>kgCO2e/product</t>
        </is>
      </c>
      <c r="Z23" s="3" t="n"/>
      <c r="AA23" s="7" t="n"/>
      <c r="AB23" s="3" t="n"/>
      <c r="AC23" s="3" t="n"/>
      <c r="AD23" s="6" t="n"/>
      <c r="AE23" s="3" t="inlineStr">
        <is>
          <t>kgCO2e/product</t>
        </is>
      </c>
      <c r="AF23" s="3" t="n"/>
      <c r="AG23" s="7" t="n">
        <v>0</v>
      </c>
      <c r="AH23" s="3" t="n"/>
      <c r="AI23" s="3" t="n"/>
      <c r="AJ23" s="3" t="n"/>
      <c r="AK23" s="4">
        <f>IF(COUNT(AH23,AI23,AJ23)=0,"",ROUND(AVERAGE(AH23,AI23,AJ23),3))</f>
        <v/>
      </c>
      <c r="AL23" s="3">
        <f>IF(X23="","",ROUND(X23*IF(H23="",0,H23)*(1+IF(AA23="",0,AA23)),5))</f>
        <v/>
      </c>
      <c r="AM23" s="3" t="inlineStr">
        <is>
          <t>kgCO2e/product</t>
        </is>
      </c>
      <c r="AN23" s="5" t="n"/>
      <c r="AO23" s="9">
        <f>IF(AND($A23&lt;&gt;"",E23=""),"Supplier code empty (High);","")&amp;IF(AND(P23&lt;&gt;"",OR(P23&gt;1,P23&lt;0)),"Incorrect PDS value (High);",IF(AND(P23&lt;&gt;"",P23&gt;0.5),"High PDS value (Medium);",""))&amp;IF(AND(Q23&lt;&gt;"",OR(Q23&gt;5,Q23&lt;1)),"Incorrect DQR value (High);","")&amp;IF(AND(N23&lt;&gt;"",OR(N23&lt;=0,N23&gt;100)),"Unusual PCF value might be wrong (High);","")&amp;IF(AND(AG23&lt;&gt;"",OR(AG23&gt;1,AG23&lt;0)),"Incorrect PDS value (High);",IF(AND(AG23&lt;&gt;"",AG23&gt;0.5),"High PDS value (Medium);",""))&amp;IF(AND(AK23&lt;&gt;"",OR(AK23&gt;5,AK23&lt;1)),"Incorrect DQR value (High);","")&amp;IF(AND(AA23&lt;&gt;"",OR(AA23&gt;1,AA23&lt;0)),"Incorrect scrap rate (High);",IF(AND(AA23&lt;&gt;"",AA23&gt;0.2),"High scrap rate (Medium);",IF(AND($A23&lt;&gt;"",AA23=0),"No scrap rate (No impact);","")))&amp;""</f>
        <v/>
      </c>
      <c r="AP23" s="9" t="n"/>
    </row>
    <row r="24">
      <c r="A24" s="3" t="n"/>
      <c r="B24" s="3" t="n"/>
      <c r="C24" s="3" t="n"/>
      <c r="D24" s="3" t="n"/>
      <c r="E24" s="3" t="n"/>
      <c r="F24" s="3" t="n"/>
      <c r="G24" s="4" t="n"/>
      <c r="H24" s="4" t="n"/>
      <c r="I24" s="3" t="inlineStr">
        <is>
          <t>kg</t>
        </is>
      </c>
      <c r="J24" s="4" t="n"/>
      <c r="K24" s="3" t="inlineStr">
        <is>
          <t>kg</t>
        </is>
      </c>
      <c r="L24" s="3" t="n"/>
      <c r="M24" s="5" t="n"/>
      <c r="N24" s="6" t="n"/>
      <c r="O24" s="3" t="inlineStr">
        <is>
          <t>kgCO2e/product</t>
        </is>
      </c>
      <c r="P24" s="7" t="n"/>
      <c r="Q24" s="4" t="n"/>
      <c r="R24" s="8" t="n"/>
      <c r="S24" s="3" t="inlineStr">
        <is>
          <t>Supplier</t>
        </is>
      </c>
      <c r="T24" s="3" t="inlineStr">
        <is>
          <t>No</t>
        </is>
      </c>
      <c r="U24" s="5" t="n"/>
      <c r="V24" s="3" t="n"/>
      <c r="W24" s="3" t="n"/>
      <c r="X24" s="6" t="n"/>
      <c r="Y24" s="3" t="inlineStr">
        <is>
          <t>kgCO2e/product</t>
        </is>
      </c>
      <c r="Z24" s="3" t="n"/>
      <c r="AA24" s="7" t="n"/>
      <c r="AB24" s="3" t="n"/>
      <c r="AC24" s="3" t="n"/>
      <c r="AD24" s="6" t="n"/>
      <c r="AE24" s="3" t="inlineStr">
        <is>
          <t>kgCO2e/product</t>
        </is>
      </c>
      <c r="AF24" s="3" t="n"/>
      <c r="AG24" s="7" t="n">
        <v>0</v>
      </c>
      <c r="AH24" s="3" t="n"/>
      <c r="AI24" s="3" t="n"/>
      <c r="AJ24" s="3" t="n"/>
      <c r="AK24" s="4">
        <f>IF(COUNT(AH24,AI24,AJ24)=0,"",ROUND(AVERAGE(AH24,AI24,AJ24),3))</f>
        <v/>
      </c>
      <c r="AL24" s="3">
        <f>IF(X24="","",ROUND(X24*IF(H24="",0,H24)*(1+IF(AA24="",0,AA24)),5))</f>
        <v/>
      </c>
      <c r="AM24" s="3" t="inlineStr">
        <is>
          <t>kgCO2e/product</t>
        </is>
      </c>
      <c r="AN24" s="5" t="n"/>
      <c r="AO24" s="9">
        <f>IF(AND($A24&lt;&gt;"",E24=""),"Supplier code empty (High);","")&amp;IF(AND(P24&lt;&gt;"",OR(P24&gt;1,P24&lt;0)),"Incorrect PDS value (High);",IF(AND(P24&lt;&gt;"",P24&gt;0.5),"High PDS value (Medium);",""))&amp;IF(AND(Q24&lt;&gt;"",OR(Q24&gt;5,Q24&lt;1)),"Incorrect DQR value (High);","")&amp;IF(AND(N24&lt;&gt;"",OR(N24&lt;=0,N24&gt;100)),"Unusual PCF value might be wrong (High);","")&amp;IF(AND(AG24&lt;&gt;"",OR(AG24&gt;1,AG24&lt;0)),"Incorrect PDS value (High);",IF(AND(AG24&lt;&gt;"",AG24&gt;0.5),"High PDS value (Medium);",""))&amp;IF(AND(AK24&lt;&gt;"",OR(AK24&gt;5,AK24&lt;1)),"Incorrect DQR value (High);","")&amp;IF(AND(AA24&lt;&gt;"",OR(AA24&gt;1,AA24&lt;0)),"Incorrect scrap rate (High);",IF(AND(AA24&lt;&gt;"",AA24&gt;0.2),"High scrap rate (Medium);",IF(AND($A24&lt;&gt;"",AA24=0),"No scrap rate (No impact);","")))&amp;""</f>
        <v/>
      </c>
      <c r="AP24" s="9" t="n"/>
    </row>
    <row r="25">
      <c r="A25" s="3" t="n"/>
      <c r="B25" s="3" t="n"/>
      <c r="C25" s="3" t="n"/>
      <c r="D25" s="3" t="n"/>
      <c r="E25" s="3" t="n"/>
      <c r="F25" s="3" t="n"/>
      <c r="G25" s="4" t="n"/>
      <c r="H25" s="4" t="n"/>
      <c r="I25" s="3" t="inlineStr">
        <is>
          <t>kg</t>
        </is>
      </c>
      <c r="J25" s="4" t="n"/>
      <c r="K25" s="3" t="inlineStr">
        <is>
          <t>kg</t>
        </is>
      </c>
      <c r="L25" s="3" t="n"/>
      <c r="M25" s="5" t="n"/>
      <c r="N25" s="6" t="n"/>
      <c r="O25" s="3" t="inlineStr">
        <is>
          <t>kgCO2e/product</t>
        </is>
      </c>
      <c r="P25" s="7" t="n"/>
      <c r="Q25" s="4" t="n"/>
      <c r="R25" s="8" t="n"/>
      <c r="S25" s="3" t="inlineStr">
        <is>
          <t>Supplier</t>
        </is>
      </c>
      <c r="T25" s="3" t="inlineStr">
        <is>
          <t>No</t>
        </is>
      </c>
      <c r="U25" s="5" t="n"/>
      <c r="V25" s="3" t="n"/>
      <c r="W25" s="3" t="n"/>
      <c r="X25" s="6" t="n"/>
      <c r="Y25" s="3" t="inlineStr">
        <is>
          <t>kgCO2e/product</t>
        </is>
      </c>
      <c r="Z25" s="3" t="n"/>
      <c r="AA25" s="7" t="n"/>
      <c r="AB25" s="3" t="n"/>
      <c r="AC25" s="3" t="n"/>
      <c r="AD25" s="6" t="n"/>
      <c r="AE25" s="3" t="inlineStr">
        <is>
          <t>kgCO2e/product</t>
        </is>
      </c>
      <c r="AF25" s="3" t="n"/>
      <c r="AG25" s="7" t="n">
        <v>0</v>
      </c>
      <c r="AH25" s="3" t="n"/>
      <c r="AI25" s="3" t="n"/>
      <c r="AJ25" s="3" t="n"/>
      <c r="AK25" s="4">
        <f>IF(COUNT(AH25,AI25,AJ25)=0,"",ROUND(AVERAGE(AH25,AI25,AJ25),3))</f>
        <v/>
      </c>
      <c r="AL25" s="3">
        <f>IF(X25="","",ROUND(X25*IF(H25="",0,H25)*(1+IF(AA25="",0,AA25)),5))</f>
        <v/>
      </c>
      <c r="AM25" s="3" t="inlineStr">
        <is>
          <t>kgCO2e/product</t>
        </is>
      </c>
      <c r="AN25" s="5" t="n"/>
      <c r="AO25" s="9">
        <f>IF(AND($A25&lt;&gt;"",E25=""),"Supplier code empty (High);","")&amp;IF(AND(P25&lt;&gt;"",OR(P25&gt;1,P25&lt;0)),"Incorrect PDS value (High);",IF(AND(P25&lt;&gt;"",P25&gt;0.5),"High PDS value (Medium);",""))&amp;IF(AND(Q25&lt;&gt;"",OR(Q25&gt;5,Q25&lt;1)),"Incorrect DQR value (High);","")&amp;IF(AND(N25&lt;&gt;"",OR(N25&lt;=0,N25&gt;100)),"Unusual PCF value might be wrong (High);","")&amp;IF(AND(AG25&lt;&gt;"",OR(AG25&gt;1,AG25&lt;0)),"Incorrect PDS value (High);",IF(AND(AG25&lt;&gt;"",AG25&gt;0.5),"High PDS value (Medium);",""))&amp;IF(AND(AK25&lt;&gt;"",OR(AK25&gt;5,AK25&lt;1)),"Incorrect DQR value (High);","")&amp;IF(AND(AA25&lt;&gt;"",OR(AA25&gt;1,AA25&lt;0)),"Incorrect scrap rate (High);",IF(AND(AA25&lt;&gt;"",AA25&gt;0.2),"High scrap rate (Medium);",IF(AND($A25&lt;&gt;"",AA25=0),"No scrap rate (No impact);","")))&amp;""</f>
        <v/>
      </c>
      <c r="AP25" s="9" t="n"/>
    </row>
    <row r="26">
      <c r="A26" s="3" t="n"/>
      <c r="B26" s="3" t="n"/>
      <c r="C26" s="3" t="n"/>
      <c r="D26" s="3" t="n"/>
      <c r="E26" s="3" t="n"/>
      <c r="F26" s="3" t="n"/>
      <c r="G26" s="4" t="n"/>
      <c r="H26" s="4" t="n"/>
      <c r="I26" s="3" t="inlineStr">
        <is>
          <t>kg</t>
        </is>
      </c>
      <c r="J26" s="4" t="n"/>
      <c r="K26" s="3" t="inlineStr">
        <is>
          <t>kg</t>
        </is>
      </c>
      <c r="L26" s="3" t="n"/>
      <c r="M26" s="5" t="n"/>
      <c r="N26" s="6" t="n"/>
      <c r="O26" s="3" t="inlineStr">
        <is>
          <t>kgCO2e/product</t>
        </is>
      </c>
      <c r="P26" s="7" t="n"/>
      <c r="Q26" s="4" t="n"/>
      <c r="R26" s="8" t="n"/>
      <c r="S26" s="3" t="inlineStr">
        <is>
          <t>Supplier</t>
        </is>
      </c>
      <c r="T26" s="3" t="inlineStr">
        <is>
          <t>No</t>
        </is>
      </c>
      <c r="U26" s="5" t="n"/>
      <c r="V26" s="3" t="n"/>
      <c r="W26" s="3" t="n"/>
      <c r="X26" s="6" t="n"/>
      <c r="Y26" s="3" t="inlineStr">
        <is>
          <t>kgCO2e/product</t>
        </is>
      </c>
      <c r="Z26" s="3" t="n"/>
      <c r="AA26" s="7" t="n"/>
      <c r="AB26" s="3" t="n"/>
      <c r="AC26" s="3" t="n"/>
      <c r="AD26" s="6" t="n"/>
      <c r="AE26" s="3" t="inlineStr">
        <is>
          <t>kgCO2e/product</t>
        </is>
      </c>
      <c r="AF26" s="3" t="n"/>
      <c r="AG26" s="7" t="n">
        <v>0</v>
      </c>
      <c r="AH26" s="3" t="n"/>
      <c r="AI26" s="3" t="n"/>
      <c r="AJ26" s="3" t="n"/>
      <c r="AK26" s="4">
        <f>IF(COUNT(AH26,AI26,AJ26)=0,"",ROUND(AVERAGE(AH26,AI26,AJ26),3))</f>
        <v/>
      </c>
      <c r="AL26" s="3">
        <f>IF(X26="","",ROUND(X26*IF(H26="",0,H26)*(1+IF(AA26="",0,AA26)),5))</f>
        <v/>
      </c>
      <c r="AM26" s="3" t="inlineStr">
        <is>
          <t>kgCO2e/product</t>
        </is>
      </c>
      <c r="AN26" s="5" t="n"/>
      <c r="AO26" s="9">
        <f>IF(AND($A26&lt;&gt;"",E26=""),"Supplier code empty (High);","")&amp;IF(AND(P26&lt;&gt;"",OR(P26&gt;1,P26&lt;0)),"Incorrect PDS value (High);",IF(AND(P26&lt;&gt;"",P26&gt;0.5),"High PDS value (Medium);",""))&amp;IF(AND(Q26&lt;&gt;"",OR(Q26&gt;5,Q26&lt;1)),"Incorrect DQR value (High);","")&amp;IF(AND(N26&lt;&gt;"",OR(N26&lt;=0,N26&gt;100)),"Unusual PCF value might be wrong (High);","")&amp;IF(AND(AG26&lt;&gt;"",OR(AG26&gt;1,AG26&lt;0)),"Incorrect PDS value (High);",IF(AND(AG26&lt;&gt;"",AG26&gt;0.5),"High PDS value (Medium);",""))&amp;IF(AND(AK26&lt;&gt;"",OR(AK26&gt;5,AK26&lt;1)),"Incorrect DQR value (High);","")&amp;IF(AND(AA26&lt;&gt;"",OR(AA26&gt;1,AA26&lt;0)),"Incorrect scrap rate (High);",IF(AND(AA26&lt;&gt;"",AA26&gt;0.2),"High scrap rate (Medium);",IF(AND($A26&lt;&gt;"",AA26=0),"No scrap rate (No impact);","")))&amp;""</f>
        <v/>
      </c>
      <c r="AP26" s="9" t="n"/>
    </row>
    <row r="27">
      <c r="A27" s="3" t="n"/>
      <c r="B27" s="3" t="n"/>
      <c r="C27" s="3" t="n"/>
      <c r="D27" s="3" t="n"/>
      <c r="E27" s="3" t="n"/>
      <c r="F27" s="3" t="n"/>
      <c r="G27" s="4" t="n"/>
      <c r="H27" s="4" t="n"/>
      <c r="I27" s="3" t="inlineStr">
        <is>
          <t>kg</t>
        </is>
      </c>
      <c r="J27" s="4" t="n"/>
      <c r="K27" s="3" t="inlineStr">
        <is>
          <t>kg</t>
        </is>
      </c>
      <c r="L27" s="3" t="n"/>
      <c r="M27" s="5" t="n"/>
      <c r="N27" s="6" t="n"/>
      <c r="O27" s="3" t="inlineStr">
        <is>
          <t>kgCO2e/product</t>
        </is>
      </c>
      <c r="P27" s="7" t="n"/>
      <c r="Q27" s="4" t="n"/>
      <c r="R27" s="8" t="n"/>
      <c r="S27" s="3" t="inlineStr">
        <is>
          <t>Supplier</t>
        </is>
      </c>
      <c r="T27" s="3" t="inlineStr">
        <is>
          <t>No</t>
        </is>
      </c>
      <c r="U27" s="5" t="n"/>
      <c r="V27" s="3" t="n"/>
      <c r="W27" s="3" t="n"/>
      <c r="X27" s="6" t="n"/>
      <c r="Y27" s="3" t="inlineStr">
        <is>
          <t>kgCO2e/product</t>
        </is>
      </c>
      <c r="Z27" s="3" t="n"/>
      <c r="AA27" s="7" t="n"/>
      <c r="AB27" s="3" t="n"/>
      <c r="AC27" s="3" t="n"/>
      <c r="AD27" s="6" t="n"/>
      <c r="AE27" s="3" t="inlineStr">
        <is>
          <t>kgCO2e/product</t>
        </is>
      </c>
      <c r="AF27" s="3" t="n"/>
      <c r="AG27" s="7" t="n">
        <v>0</v>
      </c>
      <c r="AH27" s="3" t="n"/>
      <c r="AI27" s="3" t="n"/>
      <c r="AJ27" s="3" t="n"/>
      <c r="AK27" s="4">
        <f>IF(COUNT(AH27,AI27,AJ27)=0,"",ROUND(AVERAGE(AH27,AI27,AJ27),3))</f>
        <v/>
      </c>
      <c r="AL27" s="3">
        <f>IF(X27="","",ROUND(X27*IF(H27="",0,H27)*(1+IF(AA27="",0,AA27)),5))</f>
        <v/>
      </c>
      <c r="AM27" s="3" t="inlineStr">
        <is>
          <t>kgCO2e/product</t>
        </is>
      </c>
      <c r="AN27" s="5" t="n"/>
      <c r="AO27" s="9">
        <f>IF(AND($A27&lt;&gt;"",E27=""),"Supplier code empty (High);","")&amp;IF(AND(P27&lt;&gt;"",OR(P27&gt;1,P27&lt;0)),"Incorrect PDS value (High);",IF(AND(P27&lt;&gt;"",P27&gt;0.5),"High PDS value (Medium);",""))&amp;IF(AND(Q27&lt;&gt;"",OR(Q27&gt;5,Q27&lt;1)),"Incorrect DQR value (High);","")&amp;IF(AND(N27&lt;&gt;"",OR(N27&lt;=0,N27&gt;100)),"Unusual PCF value might be wrong (High);","")&amp;IF(AND(AG27&lt;&gt;"",OR(AG27&gt;1,AG27&lt;0)),"Incorrect PDS value (High);",IF(AND(AG27&lt;&gt;"",AG27&gt;0.5),"High PDS value (Medium);",""))&amp;IF(AND(AK27&lt;&gt;"",OR(AK27&gt;5,AK27&lt;1)),"Incorrect DQR value (High);","")&amp;IF(AND(AA27&lt;&gt;"",OR(AA27&gt;1,AA27&lt;0)),"Incorrect scrap rate (High);",IF(AND(AA27&lt;&gt;"",AA27&gt;0.2),"High scrap rate (Medium);",IF(AND($A27&lt;&gt;"",AA27=0),"No scrap rate (No impact);","")))&amp;""</f>
        <v/>
      </c>
      <c r="AP27" s="9" t="n"/>
    </row>
    <row r="28">
      <c r="A28" s="3" t="n"/>
      <c r="B28" s="3" t="n"/>
      <c r="C28" s="3" t="n"/>
      <c r="D28" s="3" t="n"/>
      <c r="E28" s="3" t="n"/>
      <c r="F28" s="3" t="n"/>
      <c r="G28" s="4" t="n"/>
      <c r="H28" s="4" t="n"/>
      <c r="I28" s="3" t="inlineStr">
        <is>
          <t>kg</t>
        </is>
      </c>
      <c r="J28" s="4" t="n"/>
      <c r="K28" s="3" t="inlineStr">
        <is>
          <t>kg</t>
        </is>
      </c>
      <c r="L28" s="3" t="n"/>
      <c r="M28" s="5" t="n"/>
      <c r="N28" s="6" t="n"/>
      <c r="O28" s="3" t="inlineStr">
        <is>
          <t>kgCO2e/product</t>
        </is>
      </c>
      <c r="P28" s="7" t="n"/>
      <c r="Q28" s="4" t="n"/>
      <c r="R28" s="8" t="n"/>
      <c r="S28" s="3" t="inlineStr">
        <is>
          <t>Supplier</t>
        </is>
      </c>
      <c r="T28" s="3" t="inlineStr">
        <is>
          <t>No</t>
        </is>
      </c>
      <c r="U28" s="5" t="n"/>
      <c r="V28" s="3" t="n"/>
      <c r="W28" s="3" t="n"/>
      <c r="X28" s="6" t="n"/>
      <c r="Y28" s="3" t="inlineStr">
        <is>
          <t>kgCO2e/product</t>
        </is>
      </c>
      <c r="Z28" s="3" t="n"/>
      <c r="AA28" s="7" t="n"/>
      <c r="AB28" s="3" t="n"/>
      <c r="AC28" s="3" t="n"/>
      <c r="AD28" s="6" t="n"/>
      <c r="AE28" s="3" t="inlineStr">
        <is>
          <t>kgCO2e/product</t>
        </is>
      </c>
      <c r="AF28" s="3" t="n"/>
      <c r="AG28" s="7" t="n">
        <v>0</v>
      </c>
      <c r="AH28" s="3" t="n"/>
      <c r="AI28" s="3" t="n"/>
      <c r="AJ28" s="3" t="n"/>
      <c r="AK28" s="4">
        <f>IF(COUNT(AH28,AI28,AJ28)=0,"",ROUND(AVERAGE(AH28,AI28,AJ28),3))</f>
        <v/>
      </c>
      <c r="AL28" s="3">
        <f>IF(X28="","",ROUND(X28*IF(H28="",0,H28)*(1+IF(AA28="",0,AA28)),5))</f>
        <v/>
      </c>
      <c r="AM28" s="3" t="inlineStr">
        <is>
          <t>kgCO2e/product</t>
        </is>
      </c>
      <c r="AN28" s="5" t="n"/>
      <c r="AO28" s="9">
        <f>IF(AND($A28&lt;&gt;"",E28=""),"Supplier code empty (High);","")&amp;IF(AND(P28&lt;&gt;"",OR(P28&gt;1,P28&lt;0)),"Incorrect PDS value (High);",IF(AND(P28&lt;&gt;"",P28&gt;0.5),"High PDS value (Medium);",""))&amp;IF(AND(Q28&lt;&gt;"",OR(Q28&gt;5,Q28&lt;1)),"Incorrect DQR value (High);","")&amp;IF(AND(N28&lt;&gt;"",OR(N28&lt;=0,N28&gt;100)),"Unusual PCF value might be wrong (High);","")&amp;IF(AND(AG28&lt;&gt;"",OR(AG28&gt;1,AG28&lt;0)),"Incorrect PDS value (High);",IF(AND(AG28&lt;&gt;"",AG28&gt;0.5),"High PDS value (Medium);",""))&amp;IF(AND(AK28&lt;&gt;"",OR(AK28&gt;5,AK28&lt;1)),"Incorrect DQR value (High);","")&amp;IF(AND(AA28&lt;&gt;"",OR(AA28&gt;1,AA28&lt;0)),"Incorrect scrap rate (High);",IF(AND(AA28&lt;&gt;"",AA28&gt;0.2),"High scrap rate (Medium);",IF(AND($A28&lt;&gt;"",AA28=0),"No scrap rate (No impact);","")))&amp;""</f>
        <v/>
      </c>
      <c r="AP28" s="9" t="n"/>
    </row>
    <row r="29">
      <c r="A29" s="3" t="n"/>
      <c r="B29" s="3" t="n"/>
      <c r="C29" s="3" t="n"/>
      <c r="D29" s="3" t="n"/>
      <c r="E29" s="3" t="n"/>
      <c r="F29" s="3" t="n"/>
      <c r="G29" s="4" t="n"/>
      <c r="H29" s="4" t="n"/>
      <c r="I29" s="3" t="inlineStr">
        <is>
          <t>kg</t>
        </is>
      </c>
      <c r="J29" s="4" t="n"/>
      <c r="K29" s="3" t="inlineStr">
        <is>
          <t>kg</t>
        </is>
      </c>
      <c r="L29" s="3" t="n"/>
      <c r="M29" s="5" t="n"/>
      <c r="N29" s="6" t="n"/>
      <c r="O29" s="3" t="inlineStr">
        <is>
          <t>kgCO2e/product</t>
        </is>
      </c>
      <c r="P29" s="7" t="n"/>
      <c r="Q29" s="4" t="n"/>
      <c r="R29" s="8" t="n"/>
      <c r="S29" s="3" t="inlineStr">
        <is>
          <t>Supplier</t>
        </is>
      </c>
      <c r="T29" s="3" t="inlineStr">
        <is>
          <t>No</t>
        </is>
      </c>
      <c r="U29" s="5" t="n"/>
      <c r="V29" s="3" t="n"/>
      <c r="W29" s="3" t="n"/>
      <c r="X29" s="6" t="n"/>
      <c r="Y29" s="3" t="inlineStr">
        <is>
          <t>kgCO2e/product</t>
        </is>
      </c>
      <c r="Z29" s="3" t="n"/>
      <c r="AA29" s="7" t="n"/>
      <c r="AB29" s="3" t="n"/>
      <c r="AC29" s="3" t="n"/>
      <c r="AD29" s="6" t="n"/>
      <c r="AE29" s="3" t="inlineStr">
        <is>
          <t>kgCO2e/product</t>
        </is>
      </c>
      <c r="AF29" s="3" t="n"/>
      <c r="AG29" s="7" t="n">
        <v>0</v>
      </c>
      <c r="AH29" s="3" t="n"/>
      <c r="AI29" s="3" t="n"/>
      <c r="AJ29" s="3" t="n"/>
      <c r="AK29" s="4">
        <f>IF(COUNT(AH29,AI29,AJ29)=0,"",ROUND(AVERAGE(AH29,AI29,AJ29),3))</f>
        <v/>
      </c>
      <c r="AL29" s="3">
        <f>IF(X29="","",ROUND(X29*IF(H29="",0,H29)*(1+IF(AA29="",0,AA29)),5))</f>
        <v/>
      </c>
      <c r="AM29" s="3" t="inlineStr">
        <is>
          <t>kgCO2e/product</t>
        </is>
      </c>
      <c r="AN29" s="5" t="n"/>
      <c r="AO29" s="9">
        <f>IF(AND($A29&lt;&gt;"",E29=""),"Supplier code empty (High);","")&amp;IF(AND(P29&lt;&gt;"",OR(P29&gt;1,P29&lt;0)),"Incorrect PDS value (High);",IF(AND(P29&lt;&gt;"",P29&gt;0.5),"High PDS value (Medium);",""))&amp;IF(AND(Q29&lt;&gt;"",OR(Q29&gt;5,Q29&lt;1)),"Incorrect DQR value (High);","")&amp;IF(AND(N29&lt;&gt;"",OR(N29&lt;=0,N29&gt;100)),"Unusual PCF value might be wrong (High);","")&amp;IF(AND(AG29&lt;&gt;"",OR(AG29&gt;1,AG29&lt;0)),"Incorrect PDS value (High);",IF(AND(AG29&lt;&gt;"",AG29&gt;0.5),"High PDS value (Medium);",""))&amp;IF(AND(AK29&lt;&gt;"",OR(AK29&gt;5,AK29&lt;1)),"Incorrect DQR value (High);","")&amp;IF(AND(AA29&lt;&gt;"",OR(AA29&gt;1,AA29&lt;0)),"Incorrect scrap rate (High);",IF(AND(AA29&lt;&gt;"",AA29&gt;0.2),"High scrap rate (Medium);",IF(AND($A29&lt;&gt;"",AA29=0),"No scrap rate (No impact);","")))&amp;""</f>
        <v/>
      </c>
      <c r="AP29" s="9" t="n"/>
    </row>
    <row r="30">
      <c r="A30" s="3" t="n"/>
      <c r="B30" s="3" t="n"/>
      <c r="C30" s="3" t="n"/>
      <c r="D30" s="3" t="n"/>
      <c r="E30" s="3" t="n"/>
      <c r="F30" s="3" t="n"/>
      <c r="G30" s="4" t="n"/>
      <c r="H30" s="4" t="n"/>
      <c r="I30" s="3" t="inlineStr">
        <is>
          <t>kg</t>
        </is>
      </c>
      <c r="J30" s="4" t="n"/>
      <c r="K30" s="3" t="inlineStr">
        <is>
          <t>kg</t>
        </is>
      </c>
      <c r="L30" s="3" t="n"/>
      <c r="M30" s="5" t="n"/>
      <c r="N30" s="6" t="n"/>
      <c r="O30" s="3" t="inlineStr">
        <is>
          <t>kgCO2e/product</t>
        </is>
      </c>
      <c r="P30" s="7" t="n"/>
      <c r="Q30" s="4" t="n"/>
      <c r="R30" s="8" t="n"/>
      <c r="S30" s="3" t="inlineStr">
        <is>
          <t>Supplier</t>
        </is>
      </c>
      <c r="T30" s="3" t="inlineStr">
        <is>
          <t>No</t>
        </is>
      </c>
      <c r="U30" s="5" t="n"/>
      <c r="V30" s="3" t="n"/>
      <c r="W30" s="3" t="n"/>
      <c r="X30" s="6" t="n"/>
      <c r="Y30" s="3" t="inlineStr">
        <is>
          <t>kgCO2e/product</t>
        </is>
      </c>
      <c r="Z30" s="3" t="n"/>
      <c r="AA30" s="7" t="n"/>
      <c r="AB30" s="3" t="n"/>
      <c r="AC30" s="3" t="n"/>
      <c r="AD30" s="6" t="n"/>
      <c r="AE30" s="3" t="inlineStr">
        <is>
          <t>kgCO2e/product</t>
        </is>
      </c>
      <c r="AF30" s="3" t="n"/>
      <c r="AG30" s="7" t="n">
        <v>0</v>
      </c>
      <c r="AH30" s="3" t="n"/>
      <c r="AI30" s="3" t="n"/>
      <c r="AJ30" s="3" t="n"/>
      <c r="AK30" s="4">
        <f>IF(COUNT(AH30,AI30,AJ30)=0,"",ROUND(AVERAGE(AH30,AI30,AJ30),3))</f>
        <v/>
      </c>
      <c r="AL30" s="3">
        <f>IF(X30="","",ROUND(X30*IF(H30="",0,H30)*(1+IF(AA30="",0,AA30)),5))</f>
        <v/>
      </c>
      <c r="AM30" s="3" t="inlineStr">
        <is>
          <t>kgCO2e/product</t>
        </is>
      </c>
      <c r="AN30" s="5" t="n"/>
      <c r="AO30" s="9">
        <f>IF(AND($A30&lt;&gt;"",E30=""),"Supplier code empty (High);","")&amp;IF(AND(P30&lt;&gt;"",OR(P30&gt;1,P30&lt;0)),"Incorrect PDS value (High);",IF(AND(P30&lt;&gt;"",P30&gt;0.5),"High PDS value (Medium);",""))&amp;IF(AND(Q30&lt;&gt;"",OR(Q30&gt;5,Q30&lt;1)),"Incorrect DQR value (High);","")&amp;IF(AND(N30&lt;&gt;"",OR(N30&lt;=0,N30&gt;100)),"Unusual PCF value might be wrong (High);","")&amp;IF(AND(AG30&lt;&gt;"",OR(AG30&gt;1,AG30&lt;0)),"Incorrect PDS value (High);",IF(AND(AG30&lt;&gt;"",AG30&gt;0.5),"High PDS value (Medium);",""))&amp;IF(AND(AK30&lt;&gt;"",OR(AK30&gt;5,AK30&lt;1)),"Incorrect DQR value (High);","")&amp;IF(AND(AA30&lt;&gt;"",OR(AA30&gt;1,AA30&lt;0)),"Incorrect scrap rate (High);",IF(AND(AA30&lt;&gt;"",AA30&gt;0.2),"High scrap rate (Medium);",IF(AND($A30&lt;&gt;"",AA30=0),"No scrap rate (No impact);","")))&amp;""</f>
        <v/>
      </c>
      <c r="AP30" s="9" t="n"/>
    </row>
    <row r="31">
      <c r="A31" s="3" t="n"/>
      <c r="B31" s="3" t="n"/>
      <c r="C31" s="3" t="n"/>
      <c r="D31" s="3" t="n"/>
      <c r="E31" s="3" t="n"/>
      <c r="F31" s="3" t="n"/>
      <c r="G31" s="4" t="n"/>
      <c r="H31" s="4" t="n"/>
      <c r="I31" s="3" t="inlineStr">
        <is>
          <t>kg</t>
        </is>
      </c>
      <c r="J31" s="4" t="n"/>
      <c r="K31" s="3" t="inlineStr">
        <is>
          <t>kg</t>
        </is>
      </c>
      <c r="L31" s="3" t="n"/>
      <c r="M31" s="5" t="n"/>
      <c r="N31" s="6" t="n"/>
      <c r="O31" s="3" t="inlineStr">
        <is>
          <t>kgCO2e/product</t>
        </is>
      </c>
      <c r="P31" s="7" t="n"/>
      <c r="Q31" s="4" t="n"/>
      <c r="R31" s="8" t="n"/>
      <c r="S31" s="3" t="inlineStr">
        <is>
          <t>Supplier</t>
        </is>
      </c>
      <c r="T31" s="3" t="inlineStr">
        <is>
          <t>No</t>
        </is>
      </c>
      <c r="U31" s="5" t="n"/>
      <c r="V31" s="3" t="n"/>
      <c r="W31" s="3" t="n"/>
      <c r="X31" s="6" t="n"/>
      <c r="Y31" s="3" t="inlineStr">
        <is>
          <t>kgCO2e/product</t>
        </is>
      </c>
      <c r="Z31" s="3" t="n"/>
      <c r="AA31" s="7" t="n"/>
      <c r="AB31" s="3" t="n"/>
      <c r="AC31" s="3" t="n"/>
      <c r="AD31" s="6" t="n"/>
      <c r="AE31" s="3" t="inlineStr">
        <is>
          <t>kgCO2e/product</t>
        </is>
      </c>
      <c r="AF31" s="3" t="n"/>
      <c r="AG31" s="7" t="n">
        <v>0</v>
      </c>
      <c r="AH31" s="3" t="n"/>
      <c r="AI31" s="3" t="n"/>
      <c r="AJ31" s="3" t="n"/>
      <c r="AK31" s="4">
        <f>IF(COUNT(AH31,AI31,AJ31)=0,"",ROUND(AVERAGE(AH31,AI31,AJ31),3))</f>
        <v/>
      </c>
      <c r="AL31" s="3">
        <f>IF(X31="","",ROUND(X31*IF(H31="",0,H31)*(1+IF(AA31="",0,AA31)),5))</f>
        <v/>
      </c>
      <c r="AM31" s="3" t="inlineStr">
        <is>
          <t>kgCO2e/product</t>
        </is>
      </c>
      <c r="AN31" s="5" t="n"/>
      <c r="AO31" s="9">
        <f>IF(AND($A31&lt;&gt;"",E31=""),"Supplier code empty (High);","")&amp;IF(AND(P31&lt;&gt;"",OR(P31&gt;1,P31&lt;0)),"Incorrect PDS value (High);",IF(AND(P31&lt;&gt;"",P31&gt;0.5),"High PDS value (Medium);",""))&amp;IF(AND(Q31&lt;&gt;"",OR(Q31&gt;5,Q31&lt;1)),"Incorrect DQR value (High);","")&amp;IF(AND(N31&lt;&gt;"",OR(N31&lt;=0,N31&gt;100)),"Unusual PCF value might be wrong (High);","")&amp;IF(AND(AG31&lt;&gt;"",OR(AG31&gt;1,AG31&lt;0)),"Incorrect PDS value (High);",IF(AND(AG31&lt;&gt;"",AG31&gt;0.5),"High PDS value (Medium);",""))&amp;IF(AND(AK31&lt;&gt;"",OR(AK31&gt;5,AK31&lt;1)),"Incorrect DQR value (High);","")&amp;IF(AND(AA31&lt;&gt;"",OR(AA31&gt;1,AA31&lt;0)),"Incorrect scrap rate (High);",IF(AND(AA31&lt;&gt;"",AA31&gt;0.2),"High scrap rate (Medium);",IF(AND($A31&lt;&gt;"",AA31=0),"No scrap rate (No impact);","")))&amp;""</f>
        <v/>
      </c>
      <c r="AP31" s="9" t="n"/>
    </row>
    <row r="32">
      <c r="A32" s="3" t="n"/>
      <c r="B32" s="3" t="n"/>
      <c r="C32" s="3" t="n"/>
      <c r="D32" s="3" t="n"/>
      <c r="E32" s="3" t="n"/>
      <c r="F32" s="3" t="n"/>
      <c r="G32" s="4" t="n"/>
      <c r="H32" s="4" t="n"/>
      <c r="I32" s="3" t="inlineStr">
        <is>
          <t>kg</t>
        </is>
      </c>
      <c r="J32" s="4" t="n"/>
      <c r="K32" s="3" t="inlineStr">
        <is>
          <t>kg</t>
        </is>
      </c>
      <c r="L32" s="3" t="n"/>
      <c r="M32" s="5" t="n"/>
      <c r="N32" s="6" t="n"/>
      <c r="O32" s="3" t="inlineStr">
        <is>
          <t>kgCO2e/product</t>
        </is>
      </c>
      <c r="P32" s="7" t="n"/>
      <c r="Q32" s="4" t="n"/>
      <c r="R32" s="8" t="n"/>
      <c r="S32" s="3" t="inlineStr">
        <is>
          <t>Supplier</t>
        </is>
      </c>
      <c r="T32" s="3" t="inlineStr">
        <is>
          <t>No</t>
        </is>
      </c>
      <c r="U32" s="5" t="n"/>
      <c r="V32" s="3" t="n"/>
      <c r="W32" s="3" t="n"/>
      <c r="X32" s="6" t="n"/>
      <c r="Y32" s="3" t="inlineStr">
        <is>
          <t>kgCO2e/product</t>
        </is>
      </c>
      <c r="Z32" s="3" t="n"/>
      <c r="AA32" s="7" t="n"/>
      <c r="AB32" s="3" t="n"/>
      <c r="AC32" s="3" t="n"/>
      <c r="AD32" s="6" t="n"/>
      <c r="AE32" s="3" t="inlineStr">
        <is>
          <t>kgCO2e/product</t>
        </is>
      </c>
      <c r="AF32" s="3" t="n"/>
      <c r="AG32" s="7" t="n">
        <v>0</v>
      </c>
      <c r="AH32" s="3" t="n"/>
      <c r="AI32" s="3" t="n"/>
      <c r="AJ32" s="3" t="n"/>
      <c r="AK32" s="4">
        <f>IF(COUNT(AH32,AI32,AJ32)=0,"",ROUND(AVERAGE(AH32,AI32,AJ32),3))</f>
        <v/>
      </c>
      <c r="AL32" s="3">
        <f>IF(X32="","",ROUND(X32*IF(H32="",0,H32)*(1+IF(AA32="",0,AA32)),5))</f>
        <v/>
      </c>
      <c r="AM32" s="3" t="inlineStr">
        <is>
          <t>kgCO2e/product</t>
        </is>
      </c>
      <c r="AN32" s="5" t="n"/>
      <c r="AO32" s="9">
        <f>IF(AND($A32&lt;&gt;"",E32=""),"Supplier code empty (High);","")&amp;IF(AND(P32&lt;&gt;"",OR(P32&gt;1,P32&lt;0)),"Incorrect PDS value (High);",IF(AND(P32&lt;&gt;"",P32&gt;0.5),"High PDS value (Medium);",""))&amp;IF(AND(Q32&lt;&gt;"",OR(Q32&gt;5,Q32&lt;1)),"Incorrect DQR value (High);","")&amp;IF(AND(N32&lt;&gt;"",OR(N32&lt;=0,N32&gt;100)),"Unusual PCF value might be wrong (High);","")&amp;IF(AND(AG32&lt;&gt;"",OR(AG32&gt;1,AG32&lt;0)),"Incorrect PDS value (High);",IF(AND(AG32&lt;&gt;"",AG32&gt;0.5),"High PDS value (Medium);",""))&amp;IF(AND(AK32&lt;&gt;"",OR(AK32&gt;5,AK32&lt;1)),"Incorrect DQR value (High);","")&amp;IF(AND(AA32&lt;&gt;"",OR(AA32&gt;1,AA32&lt;0)),"Incorrect scrap rate (High);",IF(AND(AA32&lt;&gt;"",AA32&gt;0.2),"High scrap rate (Medium);",IF(AND($A32&lt;&gt;"",AA32=0),"No scrap rate (No impact);","")))&amp;""</f>
        <v/>
      </c>
      <c r="AP32" s="9" t="n"/>
    </row>
    <row r="33">
      <c r="A33" s="3" t="n"/>
      <c r="B33" s="3" t="n"/>
      <c r="C33" s="3" t="n"/>
      <c r="D33" s="3" t="n"/>
      <c r="E33" s="3" t="n"/>
      <c r="F33" s="3" t="n"/>
      <c r="G33" s="4" t="n"/>
      <c r="H33" s="4" t="n"/>
      <c r="I33" s="3" t="inlineStr">
        <is>
          <t>kg</t>
        </is>
      </c>
      <c r="J33" s="4" t="n"/>
      <c r="K33" s="3" t="inlineStr">
        <is>
          <t>kg</t>
        </is>
      </c>
      <c r="L33" s="3" t="n"/>
      <c r="M33" s="5" t="n"/>
      <c r="N33" s="6" t="n"/>
      <c r="O33" s="3" t="inlineStr">
        <is>
          <t>kgCO2e/product</t>
        </is>
      </c>
      <c r="P33" s="7" t="n"/>
      <c r="Q33" s="4" t="n"/>
      <c r="R33" s="8" t="n"/>
      <c r="S33" s="3" t="inlineStr">
        <is>
          <t>Supplier</t>
        </is>
      </c>
      <c r="T33" s="3" t="inlineStr">
        <is>
          <t>No</t>
        </is>
      </c>
      <c r="U33" s="5" t="n"/>
      <c r="V33" s="3" t="n"/>
      <c r="W33" s="3" t="n"/>
      <c r="X33" s="6" t="n"/>
      <c r="Y33" s="3" t="inlineStr">
        <is>
          <t>kgCO2e/product</t>
        </is>
      </c>
      <c r="Z33" s="3" t="n"/>
      <c r="AA33" s="7" t="n"/>
      <c r="AB33" s="3" t="n"/>
      <c r="AC33" s="3" t="n"/>
      <c r="AD33" s="6" t="n"/>
      <c r="AE33" s="3" t="inlineStr">
        <is>
          <t>kgCO2e/product</t>
        </is>
      </c>
      <c r="AF33" s="3" t="n"/>
      <c r="AG33" s="7" t="n">
        <v>0</v>
      </c>
      <c r="AH33" s="3" t="n"/>
      <c r="AI33" s="3" t="n"/>
      <c r="AJ33" s="3" t="n"/>
      <c r="AK33" s="4">
        <f>IF(COUNT(AH33,AI33,AJ33)=0,"",ROUND(AVERAGE(AH33,AI33,AJ33),3))</f>
        <v/>
      </c>
      <c r="AL33" s="3">
        <f>IF(X33="","",ROUND(X33*IF(H33="",0,H33)*(1+IF(AA33="",0,AA33)),5))</f>
        <v/>
      </c>
      <c r="AM33" s="3" t="inlineStr">
        <is>
          <t>kgCO2e/product</t>
        </is>
      </c>
      <c r="AN33" s="5" t="n"/>
      <c r="AO33" s="9">
        <f>IF(AND($A33&lt;&gt;"",E33=""),"Supplier code empty (High);","")&amp;IF(AND(P33&lt;&gt;"",OR(P33&gt;1,P33&lt;0)),"Incorrect PDS value (High);",IF(AND(P33&lt;&gt;"",P33&gt;0.5),"High PDS value (Medium);",""))&amp;IF(AND(Q33&lt;&gt;"",OR(Q33&gt;5,Q33&lt;1)),"Incorrect DQR value (High);","")&amp;IF(AND(N33&lt;&gt;"",OR(N33&lt;=0,N33&gt;100)),"Unusual PCF value might be wrong (High);","")&amp;IF(AND(AG33&lt;&gt;"",OR(AG33&gt;1,AG33&lt;0)),"Incorrect PDS value (High);",IF(AND(AG33&lt;&gt;"",AG33&gt;0.5),"High PDS value (Medium);",""))&amp;IF(AND(AK33&lt;&gt;"",OR(AK33&gt;5,AK33&lt;1)),"Incorrect DQR value (High);","")&amp;IF(AND(AA33&lt;&gt;"",OR(AA33&gt;1,AA33&lt;0)),"Incorrect scrap rate (High);",IF(AND(AA33&lt;&gt;"",AA33&gt;0.2),"High scrap rate (Medium);",IF(AND($A33&lt;&gt;"",AA33=0),"No scrap rate (No impact);","")))&amp;""</f>
        <v/>
      </c>
      <c r="AP33" s="9" t="n"/>
    </row>
    <row r="34">
      <c r="A34" s="3" t="n"/>
      <c r="B34" s="3" t="n"/>
      <c r="C34" s="3" t="n"/>
      <c r="D34" s="3" t="n"/>
      <c r="E34" s="3" t="n"/>
      <c r="F34" s="3" t="n"/>
      <c r="G34" s="4" t="n"/>
      <c r="H34" s="4" t="n"/>
      <c r="I34" s="3" t="inlineStr">
        <is>
          <t>kg</t>
        </is>
      </c>
      <c r="J34" s="4" t="n"/>
      <c r="K34" s="3" t="inlineStr">
        <is>
          <t>kg</t>
        </is>
      </c>
      <c r="L34" s="3" t="n"/>
      <c r="M34" s="5" t="n"/>
      <c r="N34" s="6" t="n"/>
      <c r="O34" s="3" t="inlineStr">
        <is>
          <t>kgCO2e/product</t>
        </is>
      </c>
      <c r="P34" s="7" t="n"/>
      <c r="Q34" s="4" t="n"/>
      <c r="R34" s="8" t="n"/>
      <c r="S34" s="3" t="inlineStr">
        <is>
          <t>Supplier</t>
        </is>
      </c>
      <c r="T34" s="3" t="inlineStr">
        <is>
          <t>No</t>
        </is>
      </c>
      <c r="U34" s="5" t="n"/>
      <c r="V34" s="3" t="n"/>
      <c r="W34" s="3" t="n"/>
      <c r="X34" s="6" t="n"/>
      <c r="Y34" s="3" t="inlineStr">
        <is>
          <t>kgCO2e/product</t>
        </is>
      </c>
      <c r="Z34" s="3" t="n"/>
      <c r="AA34" s="7" t="n"/>
      <c r="AB34" s="3" t="n"/>
      <c r="AC34" s="3" t="n"/>
      <c r="AD34" s="6" t="n"/>
      <c r="AE34" s="3" t="inlineStr">
        <is>
          <t>kgCO2e/product</t>
        </is>
      </c>
      <c r="AF34" s="3" t="n"/>
      <c r="AG34" s="7" t="n">
        <v>0</v>
      </c>
      <c r="AH34" s="3" t="n"/>
      <c r="AI34" s="3" t="n"/>
      <c r="AJ34" s="3" t="n"/>
      <c r="AK34" s="4">
        <f>IF(COUNT(AH34,AI34,AJ34)=0,"",ROUND(AVERAGE(AH34,AI34,AJ34),3))</f>
        <v/>
      </c>
      <c r="AL34" s="3">
        <f>IF(X34="","",ROUND(X34*IF(H34="",0,H34)*(1+IF(AA34="",0,AA34)),5))</f>
        <v/>
      </c>
      <c r="AM34" s="3" t="inlineStr">
        <is>
          <t>kgCO2e/product</t>
        </is>
      </c>
      <c r="AN34" s="5" t="n"/>
      <c r="AO34" s="9">
        <f>IF(AND($A34&lt;&gt;"",E34=""),"Supplier code empty (High);","")&amp;IF(AND(P34&lt;&gt;"",OR(P34&gt;1,P34&lt;0)),"Incorrect PDS value (High);",IF(AND(P34&lt;&gt;"",P34&gt;0.5),"High PDS value (Medium);",""))&amp;IF(AND(Q34&lt;&gt;"",OR(Q34&gt;5,Q34&lt;1)),"Incorrect DQR value (High);","")&amp;IF(AND(N34&lt;&gt;"",OR(N34&lt;=0,N34&gt;100)),"Unusual PCF value might be wrong (High);","")&amp;IF(AND(AG34&lt;&gt;"",OR(AG34&gt;1,AG34&lt;0)),"Incorrect PDS value (High);",IF(AND(AG34&lt;&gt;"",AG34&gt;0.5),"High PDS value (Medium);",""))&amp;IF(AND(AK34&lt;&gt;"",OR(AK34&gt;5,AK34&lt;1)),"Incorrect DQR value (High);","")&amp;IF(AND(AA34&lt;&gt;"",OR(AA34&gt;1,AA34&lt;0)),"Incorrect scrap rate (High);",IF(AND(AA34&lt;&gt;"",AA34&gt;0.2),"High scrap rate (Medium);",IF(AND($A34&lt;&gt;"",AA34=0),"No scrap rate (No impact);","")))&amp;""</f>
        <v/>
      </c>
      <c r="AP34" s="9" t="n"/>
    </row>
    <row r="35">
      <c r="A35" s="3" t="n"/>
      <c r="B35" s="3" t="n"/>
      <c r="C35" s="3" t="n"/>
      <c r="D35" s="3" t="n"/>
      <c r="E35" s="3" t="n"/>
      <c r="F35" s="3" t="n"/>
      <c r="G35" s="4" t="n"/>
      <c r="H35" s="4" t="n"/>
      <c r="I35" s="3" t="inlineStr">
        <is>
          <t>kg</t>
        </is>
      </c>
      <c r="J35" s="4" t="n"/>
      <c r="K35" s="3" t="inlineStr">
        <is>
          <t>kg</t>
        </is>
      </c>
      <c r="L35" s="3" t="n"/>
      <c r="M35" s="5" t="n"/>
      <c r="N35" s="6" t="n"/>
      <c r="O35" s="3" t="inlineStr">
        <is>
          <t>kgCO2e/product</t>
        </is>
      </c>
      <c r="P35" s="7" t="n"/>
      <c r="Q35" s="4" t="n"/>
      <c r="R35" s="8" t="n"/>
      <c r="S35" s="3" t="inlineStr">
        <is>
          <t>Supplier</t>
        </is>
      </c>
      <c r="T35" s="3" t="inlineStr">
        <is>
          <t>No</t>
        </is>
      </c>
      <c r="U35" s="5" t="n"/>
      <c r="V35" s="3" t="n"/>
      <c r="W35" s="3" t="n"/>
      <c r="X35" s="6" t="n"/>
      <c r="Y35" s="3" t="inlineStr">
        <is>
          <t>kgCO2e/product</t>
        </is>
      </c>
      <c r="Z35" s="3" t="n"/>
      <c r="AA35" s="7" t="n"/>
      <c r="AB35" s="3" t="n"/>
      <c r="AC35" s="3" t="n"/>
      <c r="AD35" s="6" t="n"/>
      <c r="AE35" s="3" t="inlineStr">
        <is>
          <t>kgCO2e/product</t>
        </is>
      </c>
      <c r="AF35" s="3" t="n"/>
      <c r="AG35" s="7" t="n">
        <v>0</v>
      </c>
      <c r="AH35" s="3" t="n"/>
      <c r="AI35" s="3" t="n"/>
      <c r="AJ35" s="3" t="n"/>
      <c r="AK35" s="4">
        <f>IF(COUNT(AH35,AI35,AJ35)=0,"",ROUND(AVERAGE(AH35,AI35,AJ35),3))</f>
        <v/>
      </c>
      <c r="AL35" s="3">
        <f>IF(X35="","",ROUND(X35*IF(H35="",0,H35)*(1+IF(AA35="",0,AA35)),5))</f>
        <v/>
      </c>
      <c r="AM35" s="3" t="inlineStr">
        <is>
          <t>kgCO2e/product</t>
        </is>
      </c>
      <c r="AN35" s="5" t="n"/>
      <c r="AO35" s="9">
        <f>IF(AND($A35&lt;&gt;"",E35=""),"Supplier code empty (High);","")&amp;IF(AND(P35&lt;&gt;"",OR(P35&gt;1,P35&lt;0)),"Incorrect PDS value (High);",IF(AND(P35&lt;&gt;"",P35&gt;0.5),"High PDS value (Medium);",""))&amp;IF(AND(Q35&lt;&gt;"",OR(Q35&gt;5,Q35&lt;1)),"Incorrect DQR value (High);","")&amp;IF(AND(N35&lt;&gt;"",OR(N35&lt;=0,N35&gt;100)),"Unusual PCF value might be wrong (High);","")&amp;IF(AND(AG35&lt;&gt;"",OR(AG35&gt;1,AG35&lt;0)),"Incorrect PDS value (High);",IF(AND(AG35&lt;&gt;"",AG35&gt;0.5),"High PDS value (Medium);",""))&amp;IF(AND(AK35&lt;&gt;"",OR(AK35&gt;5,AK35&lt;1)),"Incorrect DQR value (High);","")&amp;IF(AND(AA35&lt;&gt;"",OR(AA35&gt;1,AA35&lt;0)),"Incorrect scrap rate (High);",IF(AND(AA35&lt;&gt;"",AA35&gt;0.2),"High scrap rate (Medium);",IF(AND($A35&lt;&gt;"",AA35=0),"No scrap rate (No impact);","")))&amp;""</f>
        <v/>
      </c>
      <c r="AP35" s="9" t="n"/>
    </row>
    <row r="36">
      <c r="A36" s="3" t="n"/>
      <c r="B36" s="3" t="n"/>
      <c r="C36" s="3" t="n"/>
      <c r="D36" s="3" t="n"/>
      <c r="E36" s="3" t="n"/>
      <c r="F36" s="3" t="n"/>
      <c r="G36" s="4" t="n"/>
      <c r="H36" s="4" t="n"/>
      <c r="I36" s="3" t="inlineStr">
        <is>
          <t>kg</t>
        </is>
      </c>
      <c r="J36" s="4" t="n"/>
      <c r="K36" s="3" t="inlineStr">
        <is>
          <t>kg</t>
        </is>
      </c>
      <c r="L36" s="3" t="n"/>
      <c r="M36" s="5" t="n"/>
      <c r="N36" s="6" t="n"/>
      <c r="O36" s="3" t="inlineStr">
        <is>
          <t>kgCO2e/product</t>
        </is>
      </c>
      <c r="P36" s="7" t="n"/>
      <c r="Q36" s="4" t="n"/>
      <c r="R36" s="8" t="n"/>
      <c r="S36" s="3" t="inlineStr">
        <is>
          <t>Supplier</t>
        </is>
      </c>
      <c r="T36" s="3" t="inlineStr">
        <is>
          <t>No</t>
        </is>
      </c>
      <c r="U36" s="5" t="n"/>
      <c r="V36" s="3" t="n"/>
      <c r="W36" s="3" t="n"/>
      <c r="X36" s="6" t="n"/>
      <c r="Y36" s="3" t="inlineStr">
        <is>
          <t>kgCO2e/product</t>
        </is>
      </c>
      <c r="Z36" s="3" t="n"/>
      <c r="AA36" s="7" t="n"/>
      <c r="AB36" s="3" t="n"/>
      <c r="AC36" s="3" t="n"/>
      <c r="AD36" s="6" t="n"/>
      <c r="AE36" s="3" t="inlineStr">
        <is>
          <t>kgCO2e/product</t>
        </is>
      </c>
      <c r="AF36" s="3" t="n"/>
      <c r="AG36" s="7" t="n">
        <v>0</v>
      </c>
      <c r="AH36" s="3" t="n"/>
      <c r="AI36" s="3" t="n"/>
      <c r="AJ36" s="3" t="n"/>
      <c r="AK36" s="4">
        <f>IF(COUNT(AH36,AI36,AJ36)=0,"",ROUND(AVERAGE(AH36,AI36,AJ36),3))</f>
        <v/>
      </c>
      <c r="AL36" s="3">
        <f>IF(X36="","",ROUND(X36*IF(H36="",0,H36)*(1+IF(AA36="",0,AA36)),5))</f>
        <v/>
      </c>
      <c r="AM36" s="3" t="inlineStr">
        <is>
          <t>kgCO2e/product</t>
        </is>
      </c>
      <c r="AN36" s="5" t="n"/>
      <c r="AO36" s="9">
        <f>IF(AND($A36&lt;&gt;"",E36=""),"Supplier code empty (High);","")&amp;IF(AND(P36&lt;&gt;"",OR(P36&gt;1,P36&lt;0)),"Incorrect PDS value (High);",IF(AND(P36&lt;&gt;"",P36&gt;0.5),"High PDS value (Medium);",""))&amp;IF(AND(Q36&lt;&gt;"",OR(Q36&gt;5,Q36&lt;1)),"Incorrect DQR value (High);","")&amp;IF(AND(N36&lt;&gt;"",OR(N36&lt;=0,N36&gt;100)),"Unusual PCF value might be wrong (High);","")&amp;IF(AND(AG36&lt;&gt;"",OR(AG36&gt;1,AG36&lt;0)),"Incorrect PDS value (High);",IF(AND(AG36&lt;&gt;"",AG36&gt;0.5),"High PDS value (Medium);",""))&amp;IF(AND(AK36&lt;&gt;"",OR(AK36&gt;5,AK36&lt;1)),"Incorrect DQR value (High);","")&amp;IF(AND(AA36&lt;&gt;"",OR(AA36&gt;1,AA36&lt;0)),"Incorrect scrap rate (High);",IF(AND(AA36&lt;&gt;"",AA36&gt;0.2),"High scrap rate (Medium);",IF(AND($A36&lt;&gt;"",AA36=0),"No scrap rate (No impact);","")))&amp;""</f>
        <v/>
      </c>
      <c r="AP36" s="9" t="n"/>
    </row>
    <row r="37">
      <c r="A37" s="3" t="n"/>
      <c r="B37" s="3" t="n"/>
      <c r="C37" s="3" t="n"/>
      <c r="D37" s="3" t="n"/>
      <c r="E37" s="3" t="n"/>
      <c r="F37" s="3" t="n"/>
      <c r="G37" s="4" t="n"/>
      <c r="H37" s="4" t="n"/>
      <c r="I37" s="3" t="inlineStr">
        <is>
          <t>kg</t>
        </is>
      </c>
      <c r="J37" s="4" t="n"/>
      <c r="K37" s="3" t="inlineStr">
        <is>
          <t>kg</t>
        </is>
      </c>
      <c r="L37" s="3" t="n"/>
      <c r="M37" s="5" t="n"/>
      <c r="N37" s="6" t="n"/>
      <c r="O37" s="3" t="inlineStr">
        <is>
          <t>kgCO2e/product</t>
        </is>
      </c>
      <c r="P37" s="7" t="n"/>
      <c r="Q37" s="4" t="n"/>
      <c r="R37" s="8" t="n"/>
      <c r="S37" s="3" t="inlineStr">
        <is>
          <t>Supplier</t>
        </is>
      </c>
      <c r="T37" s="3" t="inlineStr">
        <is>
          <t>No</t>
        </is>
      </c>
      <c r="U37" s="5" t="n"/>
      <c r="V37" s="3" t="n"/>
      <c r="W37" s="3" t="n"/>
      <c r="X37" s="6" t="n"/>
      <c r="Y37" s="3" t="inlineStr">
        <is>
          <t>kgCO2e/product</t>
        </is>
      </c>
      <c r="Z37" s="3" t="n"/>
      <c r="AA37" s="7" t="n"/>
      <c r="AB37" s="3" t="n"/>
      <c r="AC37" s="3" t="n"/>
      <c r="AD37" s="6" t="n"/>
      <c r="AE37" s="3" t="inlineStr">
        <is>
          <t>kgCO2e/product</t>
        </is>
      </c>
      <c r="AF37" s="3" t="n"/>
      <c r="AG37" s="7" t="n">
        <v>0</v>
      </c>
      <c r="AH37" s="3" t="n"/>
      <c r="AI37" s="3" t="n"/>
      <c r="AJ37" s="3" t="n"/>
      <c r="AK37" s="4">
        <f>IF(COUNT(AH37,AI37,AJ37)=0,"",ROUND(AVERAGE(AH37,AI37,AJ37),3))</f>
        <v/>
      </c>
      <c r="AL37" s="3">
        <f>IF(X37="","",ROUND(X37*IF(H37="",0,H37)*(1+IF(AA37="",0,AA37)),5))</f>
        <v/>
      </c>
      <c r="AM37" s="3" t="inlineStr">
        <is>
          <t>kgCO2e/product</t>
        </is>
      </c>
      <c r="AN37" s="5" t="n"/>
      <c r="AO37" s="9">
        <f>IF(AND($A37&lt;&gt;"",E37=""),"Supplier code empty (High);","")&amp;IF(AND(P37&lt;&gt;"",OR(P37&gt;1,P37&lt;0)),"Incorrect PDS value (High);",IF(AND(P37&lt;&gt;"",P37&gt;0.5),"High PDS value (Medium);",""))&amp;IF(AND(Q37&lt;&gt;"",OR(Q37&gt;5,Q37&lt;1)),"Incorrect DQR value (High);","")&amp;IF(AND(N37&lt;&gt;"",OR(N37&lt;=0,N37&gt;100)),"Unusual PCF value might be wrong (High);","")&amp;IF(AND(AG37&lt;&gt;"",OR(AG37&gt;1,AG37&lt;0)),"Incorrect PDS value (High);",IF(AND(AG37&lt;&gt;"",AG37&gt;0.5),"High PDS value (Medium);",""))&amp;IF(AND(AK37&lt;&gt;"",OR(AK37&gt;5,AK37&lt;1)),"Incorrect DQR value (High);","")&amp;IF(AND(AA37&lt;&gt;"",OR(AA37&gt;1,AA37&lt;0)),"Incorrect scrap rate (High);",IF(AND(AA37&lt;&gt;"",AA37&gt;0.2),"High scrap rate (Medium);",IF(AND($A37&lt;&gt;"",AA37=0),"No scrap rate (No impact);","")))&amp;""</f>
        <v/>
      </c>
      <c r="AP37" s="9" t="n"/>
    </row>
    <row r="38">
      <c r="A38" s="3" t="n"/>
      <c r="B38" s="3" t="n"/>
      <c r="C38" s="3" t="n"/>
      <c r="D38" s="3" t="n"/>
      <c r="E38" s="3" t="n"/>
      <c r="F38" s="3" t="n"/>
      <c r="G38" s="4" t="n"/>
      <c r="H38" s="4" t="n"/>
      <c r="I38" s="3" t="inlineStr">
        <is>
          <t>kg</t>
        </is>
      </c>
      <c r="J38" s="4" t="n"/>
      <c r="K38" s="3" t="inlineStr">
        <is>
          <t>kg</t>
        </is>
      </c>
      <c r="L38" s="3" t="n"/>
      <c r="M38" s="5" t="n"/>
      <c r="N38" s="6" t="n"/>
      <c r="O38" s="3" t="inlineStr">
        <is>
          <t>kgCO2e/product</t>
        </is>
      </c>
      <c r="P38" s="7" t="n"/>
      <c r="Q38" s="4" t="n"/>
      <c r="R38" s="8" t="n"/>
      <c r="S38" s="3" t="inlineStr">
        <is>
          <t>Supplier</t>
        </is>
      </c>
      <c r="T38" s="3" t="inlineStr">
        <is>
          <t>No</t>
        </is>
      </c>
      <c r="U38" s="5" t="n"/>
      <c r="V38" s="3" t="n"/>
      <c r="W38" s="3" t="n"/>
      <c r="X38" s="6" t="n"/>
      <c r="Y38" s="3" t="inlineStr">
        <is>
          <t>kgCO2e/product</t>
        </is>
      </c>
      <c r="Z38" s="3" t="n"/>
      <c r="AA38" s="7" t="n"/>
      <c r="AB38" s="3" t="n"/>
      <c r="AC38" s="3" t="n"/>
      <c r="AD38" s="6" t="n"/>
      <c r="AE38" s="3" t="inlineStr">
        <is>
          <t>kgCO2e/product</t>
        </is>
      </c>
      <c r="AF38" s="3" t="n"/>
      <c r="AG38" s="7" t="n">
        <v>0</v>
      </c>
      <c r="AH38" s="3" t="n"/>
      <c r="AI38" s="3" t="n"/>
      <c r="AJ38" s="3" t="n"/>
      <c r="AK38" s="4">
        <f>IF(COUNT(AH38,AI38,AJ38)=0,"",ROUND(AVERAGE(AH38,AI38,AJ38),3))</f>
        <v/>
      </c>
      <c r="AL38" s="3">
        <f>IF(X38="","",ROUND(X38*IF(H38="",0,H38)*(1+IF(AA38="",0,AA38)),5))</f>
        <v/>
      </c>
      <c r="AM38" s="3" t="inlineStr">
        <is>
          <t>kgCO2e/product</t>
        </is>
      </c>
      <c r="AN38" s="5" t="n"/>
      <c r="AO38" s="9">
        <f>IF(AND($A38&lt;&gt;"",E38=""),"Supplier code empty (High);","")&amp;IF(AND(P38&lt;&gt;"",OR(P38&gt;1,P38&lt;0)),"Incorrect PDS value (High);",IF(AND(P38&lt;&gt;"",P38&gt;0.5),"High PDS value (Medium);",""))&amp;IF(AND(Q38&lt;&gt;"",OR(Q38&gt;5,Q38&lt;1)),"Incorrect DQR value (High);","")&amp;IF(AND(N38&lt;&gt;"",OR(N38&lt;=0,N38&gt;100)),"Unusual PCF value might be wrong (High);","")&amp;IF(AND(AG38&lt;&gt;"",OR(AG38&gt;1,AG38&lt;0)),"Incorrect PDS value (High);",IF(AND(AG38&lt;&gt;"",AG38&gt;0.5),"High PDS value (Medium);",""))&amp;IF(AND(AK38&lt;&gt;"",OR(AK38&gt;5,AK38&lt;1)),"Incorrect DQR value (High);","")&amp;IF(AND(AA38&lt;&gt;"",OR(AA38&gt;1,AA38&lt;0)),"Incorrect scrap rate (High);",IF(AND(AA38&lt;&gt;"",AA38&gt;0.2),"High scrap rate (Medium);",IF(AND($A38&lt;&gt;"",AA38=0),"No scrap rate (No impact);","")))&amp;""</f>
        <v/>
      </c>
      <c r="AP38" s="9" t="n"/>
    </row>
    <row r="39">
      <c r="A39" s="3" t="n"/>
      <c r="B39" s="3" t="n"/>
      <c r="C39" s="3" t="n"/>
      <c r="D39" s="3" t="n"/>
      <c r="E39" s="3" t="n"/>
      <c r="F39" s="3" t="n"/>
      <c r="G39" s="4" t="n"/>
      <c r="H39" s="4" t="n"/>
      <c r="I39" s="3" t="inlineStr">
        <is>
          <t>kg</t>
        </is>
      </c>
      <c r="J39" s="4" t="n"/>
      <c r="K39" s="3" t="inlineStr">
        <is>
          <t>kg</t>
        </is>
      </c>
      <c r="L39" s="3" t="n"/>
      <c r="M39" s="5" t="n"/>
      <c r="N39" s="6" t="n"/>
      <c r="O39" s="3" t="inlineStr">
        <is>
          <t>kgCO2e/product</t>
        </is>
      </c>
      <c r="P39" s="7" t="n"/>
      <c r="Q39" s="4" t="n"/>
      <c r="R39" s="8" t="n"/>
      <c r="S39" s="3" t="inlineStr">
        <is>
          <t>Supplier</t>
        </is>
      </c>
      <c r="T39" s="3" t="inlineStr">
        <is>
          <t>No</t>
        </is>
      </c>
      <c r="U39" s="5" t="n"/>
      <c r="V39" s="3" t="n"/>
      <c r="W39" s="3" t="n"/>
      <c r="X39" s="6" t="n"/>
      <c r="Y39" s="3" t="inlineStr">
        <is>
          <t>kgCO2e/product</t>
        </is>
      </c>
      <c r="Z39" s="3" t="n"/>
      <c r="AA39" s="7" t="n"/>
      <c r="AB39" s="3" t="n"/>
      <c r="AC39" s="3" t="n"/>
      <c r="AD39" s="6" t="n"/>
      <c r="AE39" s="3" t="inlineStr">
        <is>
          <t>kgCO2e/product</t>
        </is>
      </c>
      <c r="AF39" s="3" t="n"/>
      <c r="AG39" s="7" t="n">
        <v>0</v>
      </c>
      <c r="AH39" s="3" t="n"/>
      <c r="AI39" s="3" t="n"/>
      <c r="AJ39" s="3" t="n"/>
      <c r="AK39" s="4">
        <f>IF(COUNT(AH39,AI39,AJ39)=0,"",ROUND(AVERAGE(AH39,AI39,AJ39),3))</f>
        <v/>
      </c>
      <c r="AL39" s="3">
        <f>IF(X39="","",ROUND(X39*IF(H39="",0,H39)*(1+IF(AA39="",0,AA39)),5))</f>
        <v/>
      </c>
      <c r="AM39" s="3" t="inlineStr">
        <is>
          <t>kgCO2e/product</t>
        </is>
      </c>
      <c r="AN39" s="5" t="n"/>
      <c r="AO39" s="9">
        <f>IF(AND($A39&lt;&gt;"",E39=""),"Supplier code empty (High);","")&amp;IF(AND(P39&lt;&gt;"",OR(P39&gt;1,P39&lt;0)),"Incorrect PDS value (High);",IF(AND(P39&lt;&gt;"",P39&gt;0.5),"High PDS value (Medium);",""))&amp;IF(AND(Q39&lt;&gt;"",OR(Q39&gt;5,Q39&lt;1)),"Incorrect DQR value (High);","")&amp;IF(AND(N39&lt;&gt;"",OR(N39&lt;=0,N39&gt;100)),"Unusual PCF value might be wrong (High);","")&amp;IF(AND(AG39&lt;&gt;"",OR(AG39&gt;1,AG39&lt;0)),"Incorrect PDS value (High);",IF(AND(AG39&lt;&gt;"",AG39&gt;0.5),"High PDS value (Medium);",""))&amp;IF(AND(AK39&lt;&gt;"",OR(AK39&gt;5,AK39&lt;1)),"Incorrect DQR value (High);","")&amp;IF(AND(AA39&lt;&gt;"",OR(AA39&gt;1,AA39&lt;0)),"Incorrect scrap rate (High);",IF(AND(AA39&lt;&gt;"",AA39&gt;0.2),"High scrap rate (Medium);",IF(AND($A39&lt;&gt;"",AA39=0),"No scrap rate (No impact);","")))&amp;""</f>
        <v/>
      </c>
      <c r="AP39" s="9" t="n"/>
    </row>
    <row r="40">
      <c r="A40" s="3" t="n"/>
      <c r="B40" s="3" t="n"/>
      <c r="C40" s="3" t="n"/>
      <c r="D40" s="3" t="n"/>
      <c r="E40" s="3" t="n"/>
      <c r="F40" s="3" t="n"/>
      <c r="G40" s="4" t="n"/>
      <c r="H40" s="4" t="n"/>
      <c r="I40" s="3" t="inlineStr">
        <is>
          <t>kg</t>
        </is>
      </c>
      <c r="J40" s="4" t="n"/>
      <c r="K40" s="3" t="inlineStr">
        <is>
          <t>kg</t>
        </is>
      </c>
      <c r="L40" s="3" t="n"/>
      <c r="M40" s="5" t="n"/>
      <c r="N40" s="6" t="n"/>
      <c r="O40" s="3" t="inlineStr">
        <is>
          <t>kgCO2e/product</t>
        </is>
      </c>
      <c r="P40" s="7" t="n"/>
      <c r="Q40" s="4" t="n"/>
      <c r="R40" s="8" t="n"/>
      <c r="S40" s="3" t="inlineStr">
        <is>
          <t>Supplier</t>
        </is>
      </c>
      <c r="T40" s="3" t="inlineStr">
        <is>
          <t>No</t>
        </is>
      </c>
      <c r="U40" s="5" t="n"/>
      <c r="V40" s="3" t="n"/>
      <c r="W40" s="3" t="n"/>
      <c r="X40" s="6" t="n"/>
      <c r="Y40" s="3" t="inlineStr">
        <is>
          <t>kgCO2e/product</t>
        </is>
      </c>
      <c r="Z40" s="3" t="n"/>
      <c r="AA40" s="7" t="n"/>
      <c r="AB40" s="3" t="n"/>
      <c r="AC40" s="3" t="n"/>
      <c r="AD40" s="6" t="n"/>
      <c r="AE40" s="3" t="inlineStr">
        <is>
          <t>kgCO2e/product</t>
        </is>
      </c>
      <c r="AF40" s="3" t="n"/>
      <c r="AG40" s="7" t="n">
        <v>0</v>
      </c>
      <c r="AH40" s="3" t="n"/>
      <c r="AI40" s="3" t="n"/>
      <c r="AJ40" s="3" t="n"/>
      <c r="AK40" s="4">
        <f>IF(COUNT(AH40,AI40,AJ40)=0,"",ROUND(AVERAGE(AH40,AI40,AJ40),3))</f>
        <v/>
      </c>
      <c r="AL40" s="3">
        <f>IF(X40="","",ROUND(X40*IF(H40="",0,H40)*(1+IF(AA40="",0,AA40)),5))</f>
        <v/>
      </c>
      <c r="AM40" s="3" t="inlineStr">
        <is>
          <t>kgCO2e/product</t>
        </is>
      </c>
      <c r="AN40" s="5" t="n"/>
      <c r="AO40" s="9">
        <f>IF(AND($A40&lt;&gt;"",E40=""),"Supplier code empty (High);","")&amp;IF(AND(P40&lt;&gt;"",OR(P40&gt;1,P40&lt;0)),"Incorrect PDS value (High);",IF(AND(P40&lt;&gt;"",P40&gt;0.5),"High PDS value (Medium);",""))&amp;IF(AND(Q40&lt;&gt;"",OR(Q40&gt;5,Q40&lt;1)),"Incorrect DQR value (High);","")&amp;IF(AND(N40&lt;&gt;"",OR(N40&lt;=0,N40&gt;100)),"Unusual PCF value might be wrong (High);","")&amp;IF(AND(AG40&lt;&gt;"",OR(AG40&gt;1,AG40&lt;0)),"Incorrect PDS value (High);",IF(AND(AG40&lt;&gt;"",AG40&gt;0.5),"High PDS value (Medium);",""))&amp;IF(AND(AK40&lt;&gt;"",OR(AK40&gt;5,AK40&lt;1)),"Incorrect DQR value (High);","")&amp;IF(AND(AA40&lt;&gt;"",OR(AA40&gt;1,AA40&lt;0)),"Incorrect scrap rate (High);",IF(AND(AA40&lt;&gt;"",AA40&gt;0.2),"High scrap rate (Medium);",IF(AND($A40&lt;&gt;"",AA40=0),"No scrap rate (No impact);","")))&amp;""</f>
        <v/>
      </c>
      <c r="AP40" s="9" t="n"/>
    </row>
    <row r="41">
      <c r="A41" s="3" t="n"/>
      <c r="B41" s="3" t="n"/>
      <c r="C41" s="3" t="n"/>
      <c r="D41" s="3" t="n"/>
      <c r="E41" s="3" t="n"/>
      <c r="F41" s="3" t="n"/>
      <c r="G41" s="4" t="n"/>
      <c r="H41" s="4" t="n"/>
      <c r="I41" s="3" t="inlineStr">
        <is>
          <t>kg</t>
        </is>
      </c>
      <c r="J41" s="4" t="n"/>
      <c r="K41" s="3" t="inlineStr">
        <is>
          <t>kg</t>
        </is>
      </c>
      <c r="L41" s="3" t="n"/>
      <c r="M41" s="5" t="n"/>
      <c r="N41" s="6" t="n"/>
      <c r="O41" s="3" t="inlineStr">
        <is>
          <t>kgCO2e/product</t>
        </is>
      </c>
      <c r="P41" s="7" t="n"/>
      <c r="Q41" s="4" t="n"/>
      <c r="R41" s="8" t="n"/>
      <c r="S41" s="3" t="inlineStr">
        <is>
          <t>Supplier</t>
        </is>
      </c>
      <c r="T41" s="3" t="inlineStr">
        <is>
          <t>No</t>
        </is>
      </c>
      <c r="U41" s="5" t="n"/>
      <c r="V41" s="3" t="n"/>
      <c r="W41" s="3" t="n"/>
      <c r="X41" s="6" t="n"/>
      <c r="Y41" s="3" t="inlineStr">
        <is>
          <t>kgCO2e/product</t>
        </is>
      </c>
      <c r="Z41" s="3" t="n"/>
      <c r="AA41" s="7" t="n"/>
      <c r="AB41" s="3" t="n"/>
      <c r="AC41" s="3" t="n"/>
      <c r="AD41" s="6" t="n"/>
      <c r="AE41" s="3" t="inlineStr">
        <is>
          <t>kgCO2e/product</t>
        </is>
      </c>
      <c r="AF41" s="3" t="n"/>
      <c r="AG41" s="7" t="n">
        <v>0</v>
      </c>
      <c r="AH41" s="3" t="n"/>
      <c r="AI41" s="3" t="n"/>
      <c r="AJ41" s="3" t="n"/>
      <c r="AK41" s="4">
        <f>IF(COUNT(AH41,AI41,AJ41)=0,"",ROUND(AVERAGE(AH41,AI41,AJ41),3))</f>
        <v/>
      </c>
      <c r="AL41" s="3">
        <f>IF(X41="","",ROUND(X41*IF(H41="",0,H41)*(1+IF(AA41="",0,AA41)),5))</f>
        <v/>
      </c>
      <c r="AM41" s="3" t="inlineStr">
        <is>
          <t>kgCO2e/product</t>
        </is>
      </c>
      <c r="AN41" s="5" t="n"/>
      <c r="AO41" s="9">
        <f>IF(AND($A41&lt;&gt;"",E41=""),"Supplier code empty (High);","")&amp;IF(AND(P41&lt;&gt;"",OR(P41&gt;1,P41&lt;0)),"Incorrect PDS value (High);",IF(AND(P41&lt;&gt;"",P41&gt;0.5),"High PDS value (Medium);",""))&amp;IF(AND(Q41&lt;&gt;"",OR(Q41&gt;5,Q41&lt;1)),"Incorrect DQR value (High);","")&amp;IF(AND(N41&lt;&gt;"",OR(N41&lt;=0,N41&gt;100)),"Unusual PCF value might be wrong (High);","")&amp;IF(AND(AG41&lt;&gt;"",OR(AG41&gt;1,AG41&lt;0)),"Incorrect PDS value (High);",IF(AND(AG41&lt;&gt;"",AG41&gt;0.5),"High PDS value (Medium);",""))&amp;IF(AND(AK41&lt;&gt;"",OR(AK41&gt;5,AK41&lt;1)),"Incorrect DQR value (High);","")&amp;IF(AND(AA41&lt;&gt;"",OR(AA41&gt;1,AA41&lt;0)),"Incorrect scrap rate (High);",IF(AND(AA41&lt;&gt;"",AA41&gt;0.2),"High scrap rate (Medium);",IF(AND($A41&lt;&gt;"",AA41=0),"No scrap rate (No impact);","")))&amp;""</f>
        <v/>
      </c>
      <c r="AP41" s="9" t="n"/>
    </row>
    <row r="42">
      <c r="A42" s="3" t="n"/>
      <c r="B42" s="3" t="n"/>
      <c r="C42" s="3" t="n"/>
      <c r="D42" s="3" t="n"/>
      <c r="E42" s="3" t="n"/>
      <c r="F42" s="3" t="n"/>
      <c r="G42" s="4" t="n"/>
      <c r="H42" s="4" t="n"/>
      <c r="I42" s="3" t="inlineStr">
        <is>
          <t>kg</t>
        </is>
      </c>
      <c r="J42" s="4" t="n"/>
      <c r="K42" s="3" t="inlineStr">
        <is>
          <t>kg</t>
        </is>
      </c>
      <c r="L42" s="3" t="n"/>
      <c r="M42" s="5" t="n"/>
      <c r="N42" s="6" t="n"/>
      <c r="O42" s="3" t="inlineStr">
        <is>
          <t>kgCO2e/product</t>
        </is>
      </c>
      <c r="P42" s="7" t="n"/>
      <c r="Q42" s="4" t="n"/>
      <c r="R42" s="8" t="n"/>
      <c r="S42" s="3" t="inlineStr">
        <is>
          <t>Supplier</t>
        </is>
      </c>
      <c r="T42" s="3" t="inlineStr">
        <is>
          <t>No</t>
        </is>
      </c>
      <c r="U42" s="5" t="n"/>
      <c r="V42" s="3" t="n"/>
      <c r="W42" s="3" t="n"/>
      <c r="X42" s="6" t="n"/>
      <c r="Y42" s="3" t="inlineStr">
        <is>
          <t>kgCO2e/product</t>
        </is>
      </c>
      <c r="Z42" s="3" t="n"/>
      <c r="AA42" s="7" t="n"/>
      <c r="AB42" s="3" t="n"/>
      <c r="AC42" s="3" t="n"/>
      <c r="AD42" s="6" t="n"/>
      <c r="AE42" s="3" t="inlineStr">
        <is>
          <t>kgCO2e/product</t>
        </is>
      </c>
      <c r="AF42" s="3" t="n"/>
      <c r="AG42" s="7" t="n">
        <v>0</v>
      </c>
      <c r="AH42" s="3" t="n"/>
      <c r="AI42" s="3" t="n"/>
      <c r="AJ42" s="3" t="n"/>
      <c r="AK42" s="4">
        <f>IF(COUNT(AH42,AI42,AJ42)=0,"",ROUND(AVERAGE(AH42,AI42,AJ42),3))</f>
        <v/>
      </c>
      <c r="AL42" s="3">
        <f>IF(X42="","",ROUND(X42*IF(H42="",0,H42)*(1+IF(AA42="",0,AA42)),5))</f>
        <v/>
      </c>
      <c r="AM42" s="3" t="inlineStr">
        <is>
          <t>kgCO2e/product</t>
        </is>
      </c>
      <c r="AN42" s="5" t="n"/>
      <c r="AO42" s="9">
        <f>IF(AND($A42&lt;&gt;"",E42=""),"Supplier code empty (High);","")&amp;IF(AND(P42&lt;&gt;"",OR(P42&gt;1,P42&lt;0)),"Incorrect PDS value (High);",IF(AND(P42&lt;&gt;"",P42&gt;0.5),"High PDS value (Medium);",""))&amp;IF(AND(Q42&lt;&gt;"",OR(Q42&gt;5,Q42&lt;1)),"Incorrect DQR value (High);","")&amp;IF(AND(N42&lt;&gt;"",OR(N42&lt;=0,N42&gt;100)),"Unusual PCF value might be wrong (High);","")&amp;IF(AND(AG42&lt;&gt;"",OR(AG42&gt;1,AG42&lt;0)),"Incorrect PDS value (High);",IF(AND(AG42&lt;&gt;"",AG42&gt;0.5),"High PDS value (Medium);",""))&amp;IF(AND(AK42&lt;&gt;"",OR(AK42&gt;5,AK42&lt;1)),"Incorrect DQR value (High);","")&amp;IF(AND(AA42&lt;&gt;"",OR(AA42&gt;1,AA42&lt;0)),"Incorrect scrap rate (High);",IF(AND(AA42&lt;&gt;"",AA42&gt;0.2),"High scrap rate (Medium);",IF(AND($A42&lt;&gt;"",AA42=0),"No scrap rate (No impact);","")))&amp;""</f>
        <v/>
      </c>
      <c r="AP42" s="9" t="n"/>
    </row>
    <row r="43">
      <c r="A43" s="3" t="n"/>
      <c r="B43" s="3" t="n"/>
      <c r="C43" s="3" t="n"/>
      <c r="D43" s="3" t="n"/>
      <c r="E43" s="3" t="n"/>
      <c r="F43" s="3" t="n"/>
      <c r="G43" s="4" t="n"/>
      <c r="H43" s="4" t="n"/>
      <c r="I43" s="3" t="inlineStr">
        <is>
          <t>kg</t>
        </is>
      </c>
      <c r="J43" s="4" t="n"/>
      <c r="K43" s="3" t="inlineStr">
        <is>
          <t>kg</t>
        </is>
      </c>
      <c r="L43" s="3" t="n"/>
      <c r="M43" s="5" t="n"/>
      <c r="N43" s="6" t="n"/>
      <c r="O43" s="3" t="inlineStr">
        <is>
          <t>kgCO2e/product</t>
        </is>
      </c>
      <c r="P43" s="7" t="n"/>
      <c r="Q43" s="4" t="n"/>
      <c r="R43" s="8" t="n"/>
      <c r="S43" s="3" t="inlineStr">
        <is>
          <t>Supplier</t>
        </is>
      </c>
      <c r="T43" s="3" t="inlineStr">
        <is>
          <t>No</t>
        </is>
      </c>
      <c r="U43" s="5" t="n"/>
      <c r="V43" s="3" t="n"/>
      <c r="W43" s="3" t="n"/>
      <c r="X43" s="6" t="n"/>
      <c r="Y43" s="3" t="inlineStr">
        <is>
          <t>kgCO2e/product</t>
        </is>
      </c>
      <c r="Z43" s="3" t="n"/>
      <c r="AA43" s="7" t="n"/>
      <c r="AB43" s="3" t="n"/>
      <c r="AC43" s="3" t="n"/>
      <c r="AD43" s="6" t="n"/>
      <c r="AE43" s="3" t="inlineStr">
        <is>
          <t>kgCO2e/product</t>
        </is>
      </c>
      <c r="AF43" s="3" t="n"/>
      <c r="AG43" s="7" t="n">
        <v>0</v>
      </c>
      <c r="AH43" s="3" t="n"/>
      <c r="AI43" s="3" t="n"/>
      <c r="AJ43" s="3" t="n"/>
      <c r="AK43" s="4">
        <f>IF(COUNT(AH43,AI43,AJ43)=0,"",ROUND(AVERAGE(AH43,AI43,AJ43),3))</f>
        <v/>
      </c>
      <c r="AL43" s="3">
        <f>IF(X43="","",ROUND(X43*IF(H43="",0,H43)*(1+IF(AA43="",0,AA43)),5))</f>
        <v/>
      </c>
      <c r="AM43" s="3" t="inlineStr">
        <is>
          <t>kgCO2e/product</t>
        </is>
      </c>
      <c r="AN43" s="5" t="n"/>
      <c r="AO43" s="9">
        <f>IF(AND($A43&lt;&gt;"",E43=""),"Supplier code empty (High);","")&amp;IF(AND(P43&lt;&gt;"",OR(P43&gt;1,P43&lt;0)),"Incorrect PDS value (High);",IF(AND(P43&lt;&gt;"",P43&gt;0.5),"High PDS value (Medium);",""))&amp;IF(AND(Q43&lt;&gt;"",OR(Q43&gt;5,Q43&lt;1)),"Incorrect DQR value (High);","")&amp;IF(AND(N43&lt;&gt;"",OR(N43&lt;=0,N43&gt;100)),"Unusual PCF value might be wrong (High);","")&amp;IF(AND(AG43&lt;&gt;"",OR(AG43&gt;1,AG43&lt;0)),"Incorrect PDS value (High);",IF(AND(AG43&lt;&gt;"",AG43&gt;0.5),"High PDS value (Medium);",""))&amp;IF(AND(AK43&lt;&gt;"",OR(AK43&gt;5,AK43&lt;1)),"Incorrect DQR value (High);","")&amp;IF(AND(AA43&lt;&gt;"",OR(AA43&gt;1,AA43&lt;0)),"Incorrect scrap rate (High);",IF(AND(AA43&lt;&gt;"",AA43&gt;0.2),"High scrap rate (Medium);",IF(AND($A43&lt;&gt;"",AA43=0),"No scrap rate (No impact);","")))&amp;""</f>
        <v/>
      </c>
      <c r="AP43" s="9" t="n"/>
    </row>
    <row r="44">
      <c r="A44" s="3" t="n"/>
      <c r="B44" s="3" t="n"/>
      <c r="C44" s="3" t="n"/>
      <c r="D44" s="3" t="n"/>
      <c r="E44" s="3" t="n"/>
      <c r="F44" s="3" t="n"/>
      <c r="G44" s="4" t="n"/>
      <c r="H44" s="4" t="n"/>
      <c r="I44" s="3" t="inlineStr">
        <is>
          <t>kg</t>
        </is>
      </c>
      <c r="J44" s="4" t="n"/>
      <c r="K44" s="3" t="inlineStr">
        <is>
          <t>kg</t>
        </is>
      </c>
      <c r="L44" s="3" t="n"/>
      <c r="M44" s="5" t="n"/>
      <c r="N44" s="6" t="n"/>
      <c r="O44" s="3" t="inlineStr">
        <is>
          <t>kgCO2e/product</t>
        </is>
      </c>
      <c r="P44" s="7" t="n"/>
      <c r="Q44" s="4" t="n"/>
      <c r="R44" s="8" t="n"/>
      <c r="S44" s="3" t="inlineStr">
        <is>
          <t>Supplier</t>
        </is>
      </c>
      <c r="T44" s="3" t="inlineStr">
        <is>
          <t>No</t>
        </is>
      </c>
      <c r="U44" s="5" t="n"/>
      <c r="V44" s="3" t="n"/>
      <c r="W44" s="3" t="n"/>
      <c r="X44" s="6" t="n"/>
      <c r="Y44" s="3" t="inlineStr">
        <is>
          <t>kgCO2e/product</t>
        </is>
      </c>
      <c r="Z44" s="3" t="n"/>
      <c r="AA44" s="7" t="n"/>
      <c r="AB44" s="3" t="n"/>
      <c r="AC44" s="3" t="n"/>
      <c r="AD44" s="6" t="n"/>
      <c r="AE44" s="3" t="inlineStr">
        <is>
          <t>kgCO2e/product</t>
        </is>
      </c>
      <c r="AF44" s="3" t="n"/>
      <c r="AG44" s="7" t="n">
        <v>0</v>
      </c>
      <c r="AH44" s="3" t="n"/>
      <c r="AI44" s="3" t="n"/>
      <c r="AJ44" s="3" t="n"/>
      <c r="AK44" s="4">
        <f>IF(COUNT(AH44,AI44,AJ44)=0,"",ROUND(AVERAGE(AH44,AI44,AJ44),3))</f>
        <v/>
      </c>
      <c r="AL44" s="3">
        <f>IF(X44="","",ROUND(X44*IF(H44="",0,H44)*(1+IF(AA44="",0,AA44)),5))</f>
        <v/>
      </c>
      <c r="AM44" s="3" t="inlineStr">
        <is>
          <t>kgCO2e/product</t>
        </is>
      </c>
      <c r="AN44" s="5" t="n"/>
      <c r="AO44" s="9">
        <f>IF(AND($A44&lt;&gt;"",E44=""),"Supplier code empty (High);","")&amp;IF(AND(P44&lt;&gt;"",OR(P44&gt;1,P44&lt;0)),"Incorrect PDS value (High);",IF(AND(P44&lt;&gt;"",P44&gt;0.5),"High PDS value (Medium);",""))&amp;IF(AND(Q44&lt;&gt;"",OR(Q44&gt;5,Q44&lt;1)),"Incorrect DQR value (High);","")&amp;IF(AND(N44&lt;&gt;"",OR(N44&lt;=0,N44&gt;100)),"Unusual PCF value might be wrong (High);","")&amp;IF(AND(AG44&lt;&gt;"",OR(AG44&gt;1,AG44&lt;0)),"Incorrect PDS value (High);",IF(AND(AG44&lt;&gt;"",AG44&gt;0.5),"High PDS value (Medium);",""))&amp;IF(AND(AK44&lt;&gt;"",OR(AK44&gt;5,AK44&lt;1)),"Incorrect DQR value (High);","")&amp;IF(AND(AA44&lt;&gt;"",OR(AA44&gt;1,AA44&lt;0)),"Incorrect scrap rate (High);",IF(AND(AA44&lt;&gt;"",AA44&gt;0.2),"High scrap rate (Medium);",IF(AND($A44&lt;&gt;"",AA44=0),"No scrap rate (No impact);","")))&amp;""</f>
        <v/>
      </c>
      <c r="AP44" s="9" t="n"/>
    </row>
    <row r="45">
      <c r="A45" s="3" t="n"/>
      <c r="B45" s="3" t="n"/>
      <c r="C45" s="3" t="n"/>
      <c r="D45" s="3" t="n"/>
      <c r="E45" s="3" t="n"/>
      <c r="F45" s="3" t="n"/>
      <c r="G45" s="4" t="n"/>
      <c r="H45" s="4" t="n"/>
      <c r="I45" s="3" t="inlineStr">
        <is>
          <t>kg</t>
        </is>
      </c>
      <c r="J45" s="4" t="n"/>
      <c r="K45" s="3" t="inlineStr">
        <is>
          <t>kg</t>
        </is>
      </c>
      <c r="L45" s="3" t="n"/>
      <c r="M45" s="5" t="n"/>
      <c r="N45" s="6" t="n"/>
      <c r="O45" s="3" t="inlineStr">
        <is>
          <t>kgCO2e/product</t>
        </is>
      </c>
      <c r="P45" s="7" t="n"/>
      <c r="Q45" s="4" t="n"/>
      <c r="R45" s="8" t="n"/>
      <c r="S45" s="3" t="inlineStr">
        <is>
          <t>Supplier</t>
        </is>
      </c>
      <c r="T45" s="3" t="inlineStr">
        <is>
          <t>No</t>
        </is>
      </c>
      <c r="U45" s="5" t="n"/>
      <c r="V45" s="3" t="n"/>
      <c r="W45" s="3" t="n"/>
      <c r="X45" s="6" t="n"/>
      <c r="Y45" s="3" t="inlineStr">
        <is>
          <t>kgCO2e/product</t>
        </is>
      </c>
      <c r="Z45" s="3" t="n"/>
      <c r="AA45" s="7" t="n"/>
      <c r="AB45" s="3" t="n"/>
      <c r="AC45" s="3" t="n"/>
      <c r="AD45" s="6" t="n"/>
      <c r="AE45" s="3" t="inlineStr">
        <is>
          <t>kgCO2e/product</t>
        </is>
      </c>
      <c r="AF45" s="3" t="n"/>
      <c r="AG45" s="7" t="n">
        <v>0</v>
      </c>
      <c r="AH45" s="3" t="n"/>
      <c r="AI45" s="3" t="n"/>
      <c r="AJ45" s="3" t="n"/>
      <c r="AK45" s="4">
        <f>IF(COUNT(AH45,AI45,AJ45)=0,"",ROUND(AVERAGE(AH45,AI45,AJ45),3))</f>
        <v/>
      </c>
      <c r="AL45" s="3">
        <f>IF(X45="","",ROUND(X45*IF(H45="",0,H45)*(1+IF(AA45="",0,AA45)),5))</f>
        <v/>
      </c>
      <c r="AM45" s="3" t="inlineStr">
        <is>
          <t>kgCO2e/product</t>
        </is>
      </c>
      <c r="AN45" s="5" t="n"/>
      <c r="AO45" s="9">
        <f>IF(AND($A45&lt;&gt;"",E45=""),"Supplier code empty (High);","")&amp;IF(AND(P45&lt;&gt;"",OR(P45&gt;1,P45&lt;0)),"Incorrect PDS value (High);",IF(AND(P45&lt;&gt;"",P45&gt;0.5),"High PDS value (Medium);",""))&amp;IF(AND(Q45&lt;&gt;"",OR(Q45&gt;5,Q45&lt;1)),"Incorrect DQR value (High);","")&amp;IF(AND(N45&lt;&gt;"",OR(N45&lt;=0,N45&gt;100)),"Unusual PCF value might be wrong (High);","")&amp;IF(AND(AG45&lt;&gt;"",OR(AG45&gt;1,AG45&lt;0)),"Incorrect PDS value (High);",IF(AND(AG45&lt;&gt;"",AG45&gt;0.5),"High PDS value (Medium);",""))&amp;IF(AND(AK45&lt;&gt;"",OR(AK45&gt;5,AK45&lt;1)),"Incorrect DQR value (High);","")&amp;IF(AND(AA45&lt;&gt;"",OR(AA45&gt;1,AA45&lt;0)),"Incorrect scrap rate (High);",IF(AND(AA45&lt;&gt;"",AA45&gt;0.2),"High scrap rate (Medium);",IF(AND($A45&lt;&gt;"",AA45=0),"No scrap rate (No impact);","")))&amp;""</f>
        <v/>
      </c>
      <c r="AP45" s="9" t="n"/>
    </row>
    <row r="46">
      <c r="A46" s="3" t="n"/>
      <c r="B46" s="3" t="n"/>
      <c r="C46" s="3" t="n"/>
      <c r="D46" s="3" t="n"/>
      <c r="E46" s="3" t="n"/>
      <c r="F46" s="3" t="n"/>
      <c r="G46" s="4" t="n"/>
      <c r="H46" s="4" t="n"/>
      <c r="I46" s="3" t="inlineStr">
        <is>
          <t>kg</t>
        </is>
      </c>
      <c r="J46" s="4" t="n"/>
      <c r="K46" s="3" t="inlineStr">
        <is>
          <t>kg</t>
        </is>
      </c>
      <c r="L46" s="3" t="n"/>
      <c r="M46" s="5" t="n"/>
      <c r="N46" s="6" t="n"/>
      <c r="O46" s="3" t="inlineStr">
        <is>
          <t>kgCO2e/product</t>
        </is>
      </c>
      <c r="P46" s="7" t="n"/>
      <c r="Q46" s="4" t="n"/>
      <c r="R46" s="8" t="n"/>
      <c r="S46" s="3" t="inlineStr">
        <is>
          <t>Supplier</t>
        </is>
      </c>
      <c r="T46" s="3" t="inlineStr">
        <is>
          <t>No</t>
        </is>
      </c>
      <c r="U46" s="5" t="n"/>
      <c r="V46" s="3" t="n"/>
      <c r="W46" s="3" t="n"/>
      <c r="X46" s="6" t="n"/>
      <c r="Y46" s="3" t="inlineStr">
        <is>
          <t>kgCO2e/product</t>
        </is>
      </c>
      <c r="Z46" s="3" t="n"/>
      <c r="AA46" s="7" t="n"/>
      <c r="AB46" s="3" t="n"/>
      <c r="AC46" s="3" t="n"/>
      <c r="AD46" s="6" t="n"/>
      <c r="AE46" s="3" t="inlineStr">
        <is>
          <t>kgCO2e/product</t>
        </is>
      </c>
      <c r="AF46" s="3" t="n"/>
      <c r="AG46" s="7" t="n">
        <v>0</v>
      </c>
      <c r="AH46" s="3" t="n"/>
      <c r="AI46" s="3" t="n"/>
      <c r="AJ46" s="3" t="n"/>
      <c r="AK46" s="4">
        <f>IF(COUNT(AH46,AI46,AJ46)=0,"",ROUND(AVERAGE(AH46,AI46,AJ46),3))</f>
        <v/>
      </c>
      <c r="AL46" s="3">
        <f>IF(X46="","",ROUND(X46*IF(H46="",0,H46)*(1+IF(AA46="",0,AA46)),5))</f>
        <v/>
      </c>
      <c r="AM46" s="3" t="inlineStr">
        <is>
          <t>kgCO2e/product</t>
        </is>
      </c>
      <c r="AN46" s="5" t="n"/>
      <c r="AO46" s="9">
        <f>IF(AND($A46&lt;&gt;"",E46=""),"Supplier code empty (High);","")&amp;IF(AND(P46&lt;&gt;"",OR(P46&gt;1,P46&lt;0)),"Incorrect PDS value (High);",IF(AND(P46&lt;&gt;"",P46&gt;0.5),"High PDS value (Medium);",""))&amp;IF(AND(Q46&lt;&gt;"",OR(Q46&gt;5,Q46&lt;1)),"Incorrect DQR value (High);","")&amp;IF(AND(N46&lt;&gt;"",OR(N46&lt;=0,N46&gt;100)),"Unusual PCF value might be wrong (High);","")&amp;IF(AND(AG46&lt;&gt;"",OR(AG46&gt;1,AG46&lt;0)),"Incorrect PDS value (High);",IF(AND(AG46&lt;&gt;"",AG46&gt;0.5),"High PDS value (Medium);",""))&amp;IF(AND(AK46&lt;&gt;"",OR(AK46&gt;5,AK46&lt;1)),"Incorrect DQR value (High);","")&amp;IF(AND(AA46&lt;&gt;"",OR(AA46&gt;1,AA46&lt;0)),"Incorrect scrap rate (High);",IF(AND(AA46&lt;&gt;"",AA46&gt;0.2),"High scrap rate (Medium);",IF(AND($A46&lt;&gt;"",AA46=0),"No scrap rate (No impact);","")))&amp;""</f>
        <v/>
      </c>
      <c r="AP46" s="9" t="n"/>
    </row>
    <row r="47">
      <c r="A47" s="3" t="n"/>
      <c r="B47" s="3" t="n"/>
      <c r="C47" s="3" t="n"/>
      <c r="D47" s="3" t="n"/>
      <c r="E47" s="3" t="n"/>
      <c r="F47" s="3" t="n"/>
      <c r="G47" s="4" t="n"/>
      <c r="H47" s="4" t="n"/>
      <c r="I47" s="3" t="inlineStr">
        <is>
          <t>kg</t>
        </is>
      </c>
      <c r="J47" s="4" t="n"/>
      <c r="K47" s="3" t="inlineStr">
        <is>
          <t>kg</t>
        </is>
      </c>
      <c r="L47" s="3" t="n"/>
      <c r="M47" s="5" t="n"/>
      <c r="N47" s="6" t="n"/>
      <c r="O47" s="3" t="inlineStr">
        <is>
          <t>kgCO2e/product</t>
        </is>
      </c>
      <c r="P47" s="7" t="n"/>
      <c r="Q47" s="4" t="n"/>
      <c r="R47" s="8" t="n"/>
      <c r="S47" s="3" t="inlineStr">
        <is>
          <t>Supplier</t>
        </is>
      </c>
      <c r="T47" s="3" t="inlineStr">
        <is>
          <t>No</t>
        </is>
      </c>
      <c r="U47" s="5" t="n"/>
      <c r="V47" s="3" t="n"/>
      <c r="W47" s="3" t="n"/>
      <c r="X47" s="6" t="n"/>
      <c r="Y47" s="3" t="inlineStr">
        <is>
          <t>kgCO2e/product</t>
        </is>
      </c>
      <c r="Z47" s="3" t="n"/>
      <c r="AA47" s="7" t="n"/>
      <c r="AB47" s="3" t="n"/>
      <c r="AC47" s="3" t="n"/>
      <c r="AD47" s="6" t="n"/>
      <c r="AE47" s="3" t="inlineStr">
        <is>
          <t>kgCO2e/product</t>
        </is>
      </c>
      <c r="AF47" s="3" t="n"/>
      <c r="AG47" s="7" t="n">
        <v>0</v>
      </c>
      <c r="AH47" s="3" t="n"/>
      <c r="AI47" s="3" t="n"/>
      <c r="AJ47" s="3" t="n"/>
      <c r="AK47" s="4">
        <f>IF(COUNT(AH47,AI47,AJ47)=0,"",ROUND(AVERAGE(AH47,AI47,AJ47),3))</f>
        <v/>
      </c>
      <c r="AL47" s="3">
        <f>IF(X47="","",ROUND(X47*IF(H47="",0,H47)*(1+IF(AA47="",0,AA47)),5))</f>
        <v/>
      </c>
      <c r="AM47" s="3" t="inlineStr">
        <is>
          <t>kgCO2e/product</t>
        </is>
      </c>
      <c r="AN47" s="5" t="n"/>
      <c r="AO47" s="9">
        <f>IF(AND($A47&lt;&gt;"",E47=""),"Supplier code empty (High);","")&amp;IF(AND(P47&lt;&gt;"",OR(P47&gt;1,P47&lt;0)),"Incorrect PDS value (High);",IF(AND(P47&lt;&gt;"",P47&gt;0.5),"High PDS value (Medium);",""))&amp;IF(AND(Q47&lt;&gt;"",OR(Q47&gt;5,Q47&lt;1)),"Incorrect DQR value (High);","")&amp;IF(AND(N47&lt;&gt;"",OR(N47&lt;=0,N47&gt;100)),"Unusual PCF value might be wrong (High);","")&amp;IF(AND(AG47&lt;&gt;"",OR(AG47&gt;1,AG47&lt;0)),"Incorrect PDS value (High);",IF(AND(AG47&lt;&gt;"",AG47&gt;0.5),"High PDS value (Medium);",""))&amp;IF(AND(AK47&lt;&gt;"",OR(AK47&gt;5,AK47&lt;1)),"Incorrect DQR value (High);","")&amp;IF(AND(AA47&lt;&gt;"",OR(AA47&gt;1,AA47&lt;0)),"Incorrect scrap rate (High);",IF(AND(AA47&lt;&gt;"",AA47&gt;0.2),"High scrap rate (Medium);",IF(AND($A47&lt;&gt;"",AA47=0),"No scrap rate (No impact);","")))&amp;""</f>
        <v/>
      </c>
      <c r="AP47" s="9" t="n"/>
    </row>
    <row r="48">
      <c r="A48" s="3" t="n"/>
      <c r="B48" s="3" t="n"/>
      <c r="C48" s="3" t="n"/>
      <c r="D48" s="3" t="n"/>
      <c r="E48" s="3" t="n"/>
      <c r="F48" s="3" t="n"/>
      <c r="G48" s="4" t="n"/>
      <c r="H48" s="4" t="n"/>
      <c r="I48" s="3" t="inlineStr">
        <is>
          <t>kg</t>
        </is>
      </c>
      <c r="J48" s="4" t="n"/>
      <c r="K48" s="3" t="inlineStr">
        <is>
          <t>kg</t>
        </is>
      </c>
      <c r="L48" s="3" t="n"/>
      <c r="M48" s="5" t="n"/>
      <c r="N48" s="6" t="n"/>
      <c r="O48" s="3" t="inlineStr">
        <is>
          <t>kgCO2e/product</t>
        </is>
      </c>
      <c r="P48" s="7" t="n"/>
      <c r="Q48" s="4" t="n"/>
      <c r="R48" s="8" t="n"/>
      <c r="S48" s="3" t="inlineStr">
        <is>
          <t>Supplier</t>
        </is>
      </c>
      <c r="T48" s="3" t="inlineStr">
        <is>
          <t>No</t>
        </is>
      </c>
      <c r="U48" s="5" t="n"/>
      <c r="V48" s="3" t="n"/>
      <c r="W48" s="3" t="n"/>
      <c r="X48" s="6" t="n"/>
      <c r="Y48" s="3" t="inlineStr">
        <is>
          <t>kgCO2e/product</t>
        </is>
      </c>
      <c r="Z48" s="3" t="n"/>
      <c r="AA48" s="7" t="n"/>
      <c r="AB48" s="3" t="n"/>
      <c r="AC48" s="3" t="n"/>
      <c r="AD48" s="6" t="n"/>
      <c r="AE48" s="3" t="inlineStr">
        <is>
          <t>kgCO2e/product</t>
        </is>
      </c>
      <c r="AF48" s="3" t="n"/>
      <c r="AG48" s="7" t="n">
        <v>0</v>
      </c>
      <c r="AH48" s="3" t="n"/>
      <c r="AI48" s="3" t="n"/>
      <c r="AJ48" s="3" t="n"/>
      <c r="AK48" s="4">
        <f>IF(COUNT(AH48,AI48,AJ48)=0,"",ROUND(AVERAGE(AH48,AI48,AJ48),3))</f>
        <v/>
      </c>
      <c r="AL48" s="3">
        <f>IF(X48="","",ROUND(X48*IF(H48="",0,H48)*(1+IF(AA48="",0,AA48)),5))</f>
        <v/>
      </c>
      <c r="AM48" s="3" t="inlineStr">
        <is>
          <t>kgCO2e/product</t>
        </is>
      </c>
      <c r="AN48" s="5" t="n"/>
      <c r="AO48" s="9">
        <f>IF(AND($A48&lt;&gt;"",E48=""),"Supplier code empty (High);","")&amp;IF(AND(P48&lt;&gt;"",OR(P48&gt;1,P48&lt;0)),"Incorrect PDS value (High);",IF(AND(P48&lt;&gt;"",P48&gt;0.5),"High PDS value (Medium);",""))&amp;IF(AND(Q48&lt;&gt;"",OR(Q48&gt;5,Q48&lt;1)),"Incorrect DQR value (High);","")&amp;IF(AND(N48&lt;&gt;"",OR(N48&lt;=0,N48&gt;100)),"Unusual PCF value might be wrong (High);","")&amp;IF(AND(AG48&lt;&gt;"",OR(AG48&gt;1,AG48&lt;0)),"Incorrect PDS value (High);",IF(AND(AG48&lt;&gt;"",AG48&gt;0.5),"High PDS value (Medium);",""))&amp;IF(AND(AK48&lt;&gt;"",OR(AK48&gt;5,AK48&lt;1)),"Incorrect DQR value (High);","")&amp;IF(AND(AA48&lt;&gt;"",OR(AA48&gt;1,AA48&lt;0)),"Incorrect scrap rate (High);",IF(AND(AA48&lt;&gt;"",AA48&gt;0.2),"High scrap rate (Medium);",IF(AND($A48&lt;&gt;"",AA48=0),"No scrap rate (No impact);","")))&amp;""</f>
        <v/>
      </c>
      <c r="AP48" s="9" t="n"/>
    </row>
    <row r="49">
      <c r="A49" s="3" t="n"/>
      <c r="B49" s="3" t="n"/>
      <c r="C49" s="3" t="n"/>
      <c r="D49" s="3" t="n"/>
      <c r="E49" s="3" t="n"/>
      <c r="F49" s="3" t="n"/>
      <c r="G49" s="4" t="n"/>
      <c r="H49" s="4" t="n"/>
      <c r="I49" s="3" t="inlineStr">
        <is>
          <t>kg</t>
        </is>
      </c>
      <c r="J49" s="4" t="n"/>
      <c r="K49" s="3" t="inlineStr">
        <is>
          <t>kg</t>
        </is>
      </c>
      <c r="L49" s="3" t="n"/>
      <c r="M49" s="5" t="n"/>
      <c r="N49" s="6" t="n"/>
      <c r="O49" s="3" t="inlineStr">
        <is>
          <t>kgCO2e/product</t>
        </is>
      </c>
      <c r="P49" s="7" t="n"/>
      <c r="Q49" s="4" t="n"/>
      <c r="R49" s="8" t="n"/>
      <c r="S49" s="3" t="inlineStr">
        <is>
          <t>Supplier</t>
        </is>
      </c>
      <c r="T49" s="3" t="inlineStr">
        <is>
          <t>No</t>
        </is>
      </c>
      <c r="U49" s="5" t="n"/>
      <c r="V49" s="3" t="n"/>
      <c r="W49" s="3" t="n"/>
      <c r="X49" s="6" t="n"/>
      <c r="Y49" s="3" t="inlineStr">
        <is>
          <t>kgCO2e/product</t>
        </is>
      </c>
      <c r="Z49" s="3" t="n"/>
      <c r="AA49" s="7" t="n"/>
      <c r="AB49" s="3" t="n"/>
      <c r="AC49" s="3" t="n"/>
      <c r="AD49" s="6" t="n"/>
      <c r="AE49" s="3" t="inlineStr">
        <is>
          <t>kgCO2e/product</t>
        </is>
      </c>
      <c r="AF49" s="3" t="n"/>
      <c r="AG49" s="7" t="n">
        <v>0</v>
      </c>
      <c r="AH49" s="3" t="n"/>
      <c r="AI49" s="3" t="n"/>
      <c r="AJ49" s="3" t="n"/>
      <c r="AK49" s="4">
        <f>IF(COUNT(AH49,AI49,AJ49)=0,"",ROUND(AVERAGE(AH49,AI49,AJ49),3))</f>
        <v/>
      </c>
      <c r="AL49" s="3">
        <f>IF(X49="","",ROUND(X49*IF(H49="",0,H49)*(1+IF(AA49="",0,AA49)),5))</f>
        <v/>
      </c>
      <c r="AM49" s="3" t="inlineStr">
        <is>
          <t>kgCO2e/product</t>
        </is>
      </c>
      <c r="AN49" s="5" t="n"/>
      <c r="AO49" s="9">
        <f>IF(AND($A49&lt;&gt;"",E49=""),"Supplier code empty (High);","")&amp;IF(AND(P49&lt;&gt;"",OR(P49&gt;1,P49&lt;0)),"Incorrect PDS value (High);",IF(AND(P49&lt;&gt;"",P49&gt;0.5),"High PDS value (Medium);",""))&amp;IF(AND(Q49&lt;&gt;"",OR(Q49&gt;5,Q49&lt;1)),"Incorrect DQR value (High);","")&amp;IF(AND(N49&lt;&gt;"",OR(N49&lt;=0,N49&gt;100)),"Unusual PCF value might be wrong (High);","")&amp;IF(AND(AG49&lt;&gt;"",OR(AG49&gt;1,AG49&lt;0)),"Incorrect PDS value (High);",IF(AND(AG49&lt;&gt;"",AG49&gt;0.5),"High PDS value (Medium);",""))&amp;IF(AND(AK49&lt;&gt;"",OR(AK49&gt;5,AK49&lt;1)),"Incorrect DQR value (High);","")&amp;IF(AND(AA49&lt;&gt;"",OR(AA49&gt;1,AA49&lt;0)),"Incorrect scrap rate (High);",IF(AND(AA49&lt;&gt;"",AA49&gt;0.2),"High scrap rate (Medium);",IF(AND($A49&lt;&gt;"",AA49=0),"No scrap rate (No impact);","")))&amp;""</f>
        <v/>
      </c>
      <c r="AP49" s="9" t="n"/>
    </row>
    <row r="50">
      <c r="A50" s="3" t="n"/>
      <c r="B50" s="3" t="n"/>
      <c r="C50" s="3" t="n"/>
      <c r="D50" s="3" t="n"/>
      <c r="E50" s="3" t="n"/>
      <c r="F50" s="3" t="n"/>
      <c r="G50" s="4" t="n"/>
      <c r="H50" s="4" t="n"/>
      <c r="I50" s="3" t="inlineStr">
        <is>
          <t>kg</t>
        </is>
      </c>
      <c r="J50" s="4" t="n"/>
      <c r="K50" s="3" t="inlineStr">
        <is>
          <t>kg</t>
        </is>
      </c>
      <c r="L50" s="3" t="n"/>
      <c r="M50" s="5" t="n"/>
      <c r="N50" s="6" t="n"/>
      <c r="O50" s="3" t="inlineStr">
        <is>
          <t>kgCO2e/product</t>
        </is>
      </c>
      <c r="P50" s="7" t="n"/>
      <c r="Q50" s="4" t="n"/>
      <c r="R50" s="8" t="n"/>
      <c r="S50" s="3" t="inlineStr">
        <is>
          <t>Supplier</t>
        </is>
      </c>
      <c r="T50" s="3" t="inlineStr">
        <is>
          <t>No</t>
        </is>
      </c>
      <c r="U50" s="5" t="n"/>
      <c r="V50" s="3" t="n"/>
      <c r="W50" s="3" t="n"/>
      <c r="X50" s="6" t="n"/>
      <c r="Y50" s="3" t="inlineStr">
        <is>
          <t>kgCO2e/product</t>
        </is>
      </c>
      <c r="Z50" s="3" t="n"/>
      <c r="AA50" s="7" t="n"/>
      <c r="AB50" s="3" t="n"/>
      <c r="AC50" s="3" t="n"/>
      <c r="AD50" s="6" t="n"/>
      <c r="AE50" s="3" t="inlineStr">
        <is>
          <t>kgCO2e/product</t>
        </is>
      </c>
      <c r="AF50" s="3" t="n"/>
      <c r="AG50" s="7" t="n">
        <v>0</v>
      </c>
      <c r="AH50" s="3" t="n"/>
      <c r="AI50" s="3" t="n"/>
      <c r="AJ50" s="3" t="n"/>
      <c r="AK50" s="4">
        <f>IF(COUNT(AH50,AI50,AJ50)=0,"",ROUND(AVERAGE(AH50,AI50,AJ50),3))</f>
        <v/>
      </c>
      <c r="AL50" s="3">
        <f>IF(X50="","",ROUND(X50*IF(H50="",0,H50)*(1+IF(AA50="",0,AA50)),5))</f>
        <v/>
      </c>
      <c r="AM50" s="3" t="inlineStr">
        <is>
          <t>kgCO2e/product</t>
        </is>
      </c>
      <c r="AN50" s="5" t="n"/>
      <c r="AO50" s="9">
        <f>IF(AND($A50&lt;&gt;"",E50=""),"Supplier code empty (High);","")&amp;IF(AND(P50&lt;&gt;"",OR(P50&gt;1,P50&lt;0)),"Incorrect PDS value (High);",IF(AND(P50&lt;&gt;"",P50&gt;0.5),"High PDS value (Medium);",""))&amp;IF(AND(Q50&lt;&gt;"",OR(Q50&gt;5,Q50&lt;1)),"Incorrect DQR value (High);","")&amp;IF(AND(N50&lt;&gt;"",OR(N50&lt;=0,N50&gt;100)),"Unusual PCF value might be wrong (High);","")&amp;IF(AND(AG50&lt;&gt;"",OR(AG50&gt;1,AG50&lt;0)),"Incorrect PDS value (High);",IF(AND(AG50&lt;&gt;"",AG50&gt;0.5),"High PDS value (Medium);",""))&amp;IF(AND(AK50&lt;&gt;"",OR(AK50&gt;5,AK50&lt;1)),"Incorrect DQR value (High);","")&amp;IF(AND(AA50&lt;&gt;"",OR(AA50&gt;1,AA50&lt;0)),"Incorrect scrap rate (High);",IF(AND(AA50&lt;&gt;"",AA50&gt;0.2),"High scrap rate (Medium);",IF(AND($A50&lt;&gt;"",AA50=0),"No scrap rate (No impact);","")))&amp;""</f>
        <v/>
      </c>
      <c r="AP50" s="9" t="n"/>
    </row>
    <row r="51">
      <c r="A51" s="3" t="n"/>
      <c r="B51" s="3" t="n"/>
      <c r="C51" s="3" t="n"/>
      <c r="D51" s="3" t="n"/>
      <c r="E51" s="3" t="n"/>
      <c r="F51" s="3" t="n"/>
      <c r="G51" s="4" t="n"/>
      <c r="H51" s="4" t="n"/>
      <c r="I51" s="3" t="inlineStr">
        <is>
          <t>kg</t>
        </is>
      </c>
      <c r="J51" s="4" t="n"/>
      <c r="K51" s="3" t="inlineStr">
        <is>
          <t>kg</t>
        </is>
      </c>
      <c r="L51" s="3" t="n"/>
      <c r="M51" s="5" t="n"/>
      <c r="N51" s="6" t="n"/>
      <c r="O51" s="3" t="inlineStr">
        <is>
          <t>kgCO2e/product</t>
        </is>
      </c>
      <c r="P51" s="7" t="n"/>
      <c r="Q51" s="4" t="n"/>
      <c r="R51" s="8" t="n"/>
      <c r="S51" s="3" t="inlineStr">
        <is>
          <t>Supplier</t>
        </is>
      </c>
      <c r="T51" s="3" t="inlineStr">
        <is>
          <t>No</t>
        </is>
      </c>
      <c r="U51" s="5" t="n"/>
      <c r="V51" s="3" t="n"/>
      <c r="W51" s="3" t="n"/>
      <c r="X51" s="6" t="n"/>
      <c r="Y51" s="3" t="inlineStr">
        <is>
          <t>kgCO2e/product</t>
        </is>
      </c>
      <c r="Z51" s="3" t="n"/>
      <c r="AA51" s="7" t="n"/>
      <c r="AB51" s="3" t="n"/>
      <c r="AC51" s="3" t="n"/>
      <c r="AD51" s="6" t="n"/>
      <c r="AE51" s="3" t="inlineStr">
        <is>
          <t>kgCO2e/product</t>
        </is>
      </c>
      <c r="AF51" s="3" t="n"/>
      <c r="AG51" s="7" t="n">
        <v>0</v>
      </c>
      <c r="AH51" s="3" t="n"/>
      <c r="AI51" s="3" t="n"/>
      <c r="AJ51" s="3" t="n"/>
      <c r="AK51" s="4">
        <f>IF(COUNT(AH51,AI51,AJ51)=0,"",ROUND(AVERAGE(AH51,AI51,AJ51),3))</f>
        <v/>
      </c>
      <c r="AL51" s="3">
        <f>IF(X51="","",ROUND(X51*IF(H51="",0,H51)*(1+IF(AA51="",0,AA51)),5))</f>
        <v/>
      </c>
      <c r="AM51" s="3" t="inlineStr">
        <is>
          <t>kgCO2e/product</t>
        </is>
      </c>
      <c r="AN51" s="5" t="n"/>
      <c r="AO51" s="9">
        <f>IF(AND($A51&lt;&gt;"",E51=""),"Supplier code empty (High);","")&amp;IF(AND(P51&lt;&gt;"",OR(P51&gt;1,P51&lt;0)),"Incorrect PDS value (High);",IF(AND(P51&lt;&gt;"",P51&gt;0.5),"High PDS value (Medium);",""))&amp;IF(AND(Q51&lt;&gt;"",OR(Q51&gt;5,Q51&lt;1)),"Incorrect DQR value (High);","")&amp;IF(AND(N51&lt;&gt;"",OR(N51&lt;=0,N51&gt;100)),"Unusual PCF value might be wrong (High);","")&amp;IF(AND(AG51&lt;&gt;"",OR(AG51&gt;1,AG51&lt;0)),"Incorrect PDS value (High);",IF(AND(AG51&lt;&gt;"",AG51&gt;0.5),"High PDS value (Medium);",""))&amp;IF(AND(AK51&lt;&gt;"",OR(AK51&gt;5,AK51&lt;1)),"Incorrect DQR value (High);","")&amp;IF(AND(AA51&lt;&gt;"",OR(AA51&gt;1,AA51&lt;0)),"Incorrect scrap rate (High);",IF(AND(AA51&lt;&gt;"",AA51&gt;0.2),"High scrap rate (Medium);",IF(AND($A51&lt;&gt;"",AA51=0),"No scrap rate (No impact);","")))&amp;""</f>
        <v/>
      </c>
      <c r="AP51" s="9" t="n"/>
    </row>
    <row r="52">
      <c r="A52" s="3" t="n"/>
      <c r="B52" s="3" t="n"/>
      <c r="C52" s="3" t="n"/>
      <c r="D52" s="3" t="n"/>
      <c r="E52" s="3" t="n"/>
      <c r="F52" s="3" t="n"/>
      <c r="G52" s="4" t="n"/>
      <c r="H52" s="4" t="n"/>
      <c r="I52" s="3" t="inlineStr">
        <is>
          <t>kg</t>
        </is>
      </c>
      <c r="J52" s="4" t="n"/>
      <c r="K52" s="3" t="inlineStr">
        <is>
          <t>kg</t>
        </is>
      </c>
      <c r="L52" s="3" t="n"/>
      <c r="M52" s="5" t="n"/>
      <c r="N52" s="6" t="n"/>
      <c r="O52" s="3" t="inlineStr">
        <is>
          <t>kgCO2e/product</t>
        </is>
      </c>
      <c r="P52" s="7" t="n"/>
      <c r="Q52" s="4" t="n"/>
      <c r="R52" s="8" t="n"/>
      <c r="S52" s="3" t="inlineStr">
        <is>
          <t>Supplier</t>
        </is>
      </c>
      <c r="T52" s="3" t="inlineStr">
        <is>
          <t>No</t>
        </is>
      </c>
      <c r="U52" s="5" t="n"/>
      <c r="V52" s="3" t="n"/>
      <c r="W52" s="3" t="n"/>
      <c r="X52" s="6" t="n"/>
      <c r="Y52" s="3" t="inlineStr">
        <is>
          <t>kgCO2e/product</t>
        </is>
      </c>
      <c r="Z52" s="3" t="n"/>
      <c r="AA52" s="7" t="n"/>
      <c r="AB52" s="3" t="n"/>
      <c r="AC52" s="3" t="n"/>
      <c r="AD52" s="6" t="n"/>
      <c r="AE52" s="3" t="inlineStr">
        <is>
          <t>kgCO2e/product</t>
        </is>
      </c>
      <c r="AF52" s="3" t="n"/>
      <c r="AG52" s="7" t="n">
        <v>0</v>
      </c>
      <c r="AH52" s="3" t="n"/>
      <c r="AI52" s="3" t="n"/>
      <c r="AJ52" s="3" t="n"/>
      <c r="AK52" s="4">
        <f>IF(COUNT(AH52,AI52,AJ52)=0,"",ROUND(AVERAGE(AH52,AI52,AJ52),3))</f>
        <v/>
      </c>
      <c r="AL52" s="3">
        <f>IF(X52="","",ROUND(X52*IF(H52="",0,H52)*(1+IF(AA52="",0,AA52)),5))</f>
        <v/>
      </c>
      <c r="AM52" s="3" t="inlineStr">
        <is>
          <t>kgCO2e/product</t>
        </is>
      </c>
      <c r="AN52" s="5" t="n"/>
      <c r="AO52" s="9">
        <f>IF(AND($A52&lt;&gt;"",E52=""),"Supplier code empty (High);","")&amp;IF(AND(P52&lt;&gt;"",OR(P52&gt;1,P52&lt;0)),"Incorrect PDS value (High);",IF(AND(P52&lt;&gt;"",P52&gt;0.5),"High PDS value (Medium);",""))&amp;IF(AND(Q52&lt;&gt;"",OR(Q52&gt;5,Q52&lt;1)),"Incorrect DQR value (High);","")&amp;IF(AND(N52&lt;&gt;"",OR(N52&lt;=0,N52&gt;100)),"Unusual PCF value might be wrong (High);","")&amp;IF(AND(AG52&lt;&gt;"",OR(AG52&gt;1,AG52&lt;0)),"Incorrect PDS value (High);",IF(AND(AG52&lt;&gt;"",AG52&gt;0.5),"High PDS value (Medium);",""))&amp;IF(AND(AK52&lt;&gt;"",OR(AK52&gt;5,AK52&lt;1)),"Incorrect DQR value (High);","")&amp;IF(AND(AA52&lt;&gt;"",OR(AA52&gt;1,AA52&lt;0)),"Incorrect scrap rate (High);",IF(AND(AA52&lt;&gt;"",AA52&gt;0.2),"High scrap rate (Medium);",IF(AND($A52&lt;&gt;"",AA52=0),"No scrap rate (No impact);","")))&amp;""</f>
        <v/>
      </c>
      <c r="AP52" s="9" t="n"/>
    </row>
    <row r="53">
      <c r="A53" s="3" t="n"/>
      <c r="B53" s="3" t="n"/>
      <c r="C53" s="3" t="n"/>
      <c r="D53" s="3" t="n"/>
      <c r="E53" s="3" t="n"/>
      <c r="F53" s="3" t="n"/>
      <c r="G53" s="4" t="n"/>
      <c r="H53" s="4" t="n"/>
      <c r="I53" s="3" t="inlineStr">
        <is>
          <t>kg</t>
        </is>
      </c>
      <c r="J53" s="4" t="n"/>
      <c r="K53" s="3" t="inlineStr">
        <is>
          <t>kg</t>
        </is>
      </c>
      <c r="L53" s="3" t="n"/>
      <c r="M53" s="5" t="n"/>
      <c r="N53" s="6" t="n"/>
      <c r="O53" s="3" t="inlineStr">
        <is>
          <t>kgCO2e/product</t>
        </is>
      </c>
      <c r="P53" s="7" t="n"/>
      <c r="Q53" s="4" t="n"/>
      <c r="R53" s="8" t="n"/>
      <c r="S53" s="3" t="inlineStr">
        <is>
          <t>Supplier</t>
        </is>
      </c>
      <c r="T53" s="3" t="inlineStr">
        <is>
          <t>No</t>
        </is>
      </c>
      <c r="U53" s="5" t="n"/>
      <c r="V53" s="3" t="n"/>
      <c r="W53" s="3" t="n"/>
      <c r="X53" s="6" t="n"/>
      <c r="Y53" s="3" t="inlineStr">
        <is>
          <t>kgCO2e/product</t>
        </is>
      </c>
      <c r="Z53" s="3" t="n"/>
      <c r="AA53" s="7" t="n"/>
      <c r="AB53" s="3" t="n"/>
      <c r="AC53" s="3" t="n"/>
      <c r="AD53" s="6" t="n"/>
      <c r="AE53" s="3" t="inlineStr">
        <is>
          <t>kgCO2e/product</t>
        </is>
      </c>
      <c r="AF53" s="3" t="n"/>
      <c r="AG53" s="7" t="n">
        <v>0</v>
      </c>
      <c r="AH53" s="3" t="n"/>
      <c r="AI53" s="3" t="n"/>
      <c r="AJ53" s="3" t="n"/>
      <c r="AK53" s="4">
        <f>IF(COUNT(AH53,AI53,AJ53)=0,"",ROUND(AVERAGE(AH53,AI53,AJ53),3))</f>
        <v/>
      </c>
      <c r="AL53" s="3">
        <f>IF(X53="","",ROUND(X53*IF(H53="",0,H53)*(1+IF(AA53="",0,AA53)),5))</f>
        <v/>
      </c>
      <c r="AM53" s="3" t="inlineStr">
        <is>
          <t>kgCO2e/product</t>
        </is>
      </c>
      <c r="AN53" s="5" t="n"/>
      <c r="AO53" s="9">
        <f>IF(AND($A53&lt;&gt;"",E53=""),"Supplier code empty (High);","")&amp;IF(AND(P53&lt;&gt;"",OR(P53&gt;1,P53&lt;0)),"Incorrect PDS value (High);",IF(AND(P53&lt;&gt;"",P53&gt;0.5),"High PDS value (Medium);",""))&amp;IF(AND(Q53&lt;&gt;"",OR(Q53&gt;5,Q53&lt;1)),"Incorrect DQR value (High);","")&amp;IF(AND(N53&lt;&gt;"",OR(N53&lt;=0,N53&gt;100)),"Unusual PCF value might be wrong (High);","")&amp;IF(AND(AG53&lt;&gt;"",OR(AG53&gt;1,AG53&lt;0)),"Incorrect PDS value (High);",IF(AND(AG53&lt;&gt;"",AG53&gt;0.5),"High PDS value (Medium);",""))&amp;IF(AND(AK53&lt;&gt;"",OR(AK53&gt;5,AK53&lt;1)),"Incorrect DQR value (High);","")&amp;IF(AND(AA53&lt;&gt;"",OR(AA53&gt;1,AA53&lt;0)),"Incorrect scrap rate (High);",IF(AND(AA53&lt;&gt;"",AA53&gt;0.2),"High scrap rate (Medium);",IF(AND($A53&lt;&gt;"",AA53=0),"No scrap rate (No impact);","")))&amp;""</f>
        <v/>
      </c>
      <c r="AP53" s="9" t="n"/>
    </row>
    <row r="54">
      <c r="A54" s="3" t="n"/>
      <c r="B54" s="3" t="n"/>
      <c r="C54" s="3" t="n"/>
      <c r="D54" s="3" t="n"/>
      <c r="E54" s="3" t="n"/>
      <c r="F54" s="3" t="n"/>
      <c r="G54" s="4" t="n"/>
      <c r="H54" s="4" t="n"/>
      <c r="I54" s="3" t="inlineStr">
        <is>
          <t>kg</t>
        </is>
      </c>
      <c r="J54" s="4" t="n"/>
      <c r="K54" s="3" t="inlineStr">
        <is>
          <t>kg</t>
        </is>
      </c>
      <c r="L54" s="3" t="n"/>
      <c r="M54" s="5" t="n"/>
      <c r="N54" s="6" t="n"/>
      <c r="O54" s="3" t="inlineStr">
        <is>
          <t>kgCO2e/product</t>
        </is>
      </c>
      <c r="P54" s="7" t="n"/>
      <c r="Q54" s="4" t="n"/>
      <c r="R54" s="8" t="n"/>
      <c r="S54" s="3" t="inlineStr">
        <is>
          <t>Supplier</t>
        </is>
      </c>
      <c r="T54" s="3" t="inlineStr">
        <is>
          <t>No</t>
        </is>
      </c>
      <c r="U54" s="5" t="n"/>
      <c r="V54" s="3" t="n"/>
      <c r="W54" s="3" t="n"/>
      <c r="X54" s="6" t="n"/>
      <c r="Y54" s="3" t="inlineStr">
        <is>
          <t>kgCO2e/product</t>
        </is>
      </c>
      <c r="Z54" s="3" t="n"/>
      <c r="AA54" s="7" t="n"/>
      <c r="AB54" s="3" t="n"/>
      <c r="AC54" s="3" t="n"/>
      <c r="AD54" s="6" t="n"/>
      <c r="AE54" s="3" t="inlineStr">
        <is>
          <t>kgCO2e/product</t>
        </is>
      </c>
      <c r="AF54" s="3" t="n"/>
      <c r="AG54" s="7" t="n">
        <v>0</v>
      </c>
      <c r="AH54" s="3" t="n"/>
      <c r="AI54" s="3" t="n"/>
      <c r="AJ54" s="3" t="n"/>
      <c r="AK54" s="4">
        <f>IF(COUNT(AH54,AI54,AJ54)=0,"",ROUND(AVERAGE(AH54,AI54,AJ54),3))</f>
        <v/>
      </c>
      <c r="AL54" s="3">
        <f>IF(X54="","",ROUND(X54*IF(H54="",0,H54)*(1+IF(AA54="",0,AA54)),5))</f>
        <v/>
      </c>
      <c r="AM54" s="3" t="inlineStr">
        <is>
          <t>kgCO2e/product</t>
        </is>
      </c>
      <c r="AN54" s="5" t="n"/>
      <c r="AO54" s="9">
        <f>IF(AND($A54&lt;&gt;"",E54=""),"Supplier code empty (High);","")&amp;IF(AND(P54&lt;&gt;"",OR(P54&gt;1,P54&lt;0)),"Incorrect PDS value (High);",IF(AND(P54&lt;&gt;"",P54&gt;0.5),"High PDS value (Medium);",""))&amp;IF(AND(Q54&lt;&gt;"",OR(Q54&gt;5,Q54&lt;1)),"Incorrect DQR value (High);","")&amp;IF(AND(N54&lt;&gt;"",OR(N54&lt;=0,N54&gt;100)),"Unusual PCF value might be wrong (High);","")&amp;IF(AND(AG54&lt;&gt;"",OR(AG54&gt;1,AG54&lt;0)),"Incorrect PDS value (High);",IF(AND(AG54&lt;&gt;"",AG54&gt;0.5),"High PDS value (Medium);",""))&amp;IF(AND(AK54&lt;&gt;"",OR(AK54&gt;5,AK54&lt;1)),"Incorrect DQR value (High);","")&amp;IF(AND(AA54&lt;&gt;"",OR(AA54&gt;1,AA54&lt;0)),"Incorrect scrap rate (High);",IF(AND(AA54&lt;&gt;"",AA54&gt;0.2),"High scrap rate (Medium);",IF(AND($A54&lt;&gt;"",AA54=0),"No scrap rate (No impact);","")))&amp;""</f>
        <v/>
      </c>
      <c r="AP54" s="9" t="n"/>
    </row>
    <row r="55">
      <c r="A55" s="3" t="n"/>
      <c r="B55" s="3" t="n"/>
      <c r="C55" s="3" t="n"/>
      <c r="D55" s="3" t="n"/>
      <c r="E55" s="3" t="n"/>
      <c r="F55" s="3" t="n"/>
      <c r="G55" s="4" t="n"/>
      <c r="H55" s="4" t="n"/>
      <c r="I55" s="3" t="inlineStr">
        <is>
          <t>kg</t>
        </is>
      </c>
      <c r="J55" s="4" t="n"/>
      <c r="K55" s="3" t="inlineStr">
        <is>
          <t>kg</t>
        </is>
      </c>
      <c r="L55" s="3" t="n"/>
      <c r="M55" s="5" t="n"/>
      <c r="N55" s="6" t="n"/>
      <c r="O55" s="3" t="inlineStr">
        <is>
          <t>kgCO2e/product</t>
        </is>
      </c>
      <c r="P55" s="7" t="n"/>
      <c r="Q55" s="4" t="n"/>
      <c r="R55" s="8" t="n"/>
      <c r="S55" s="3" t="inlineStr">
        <is>
          <t>Supplier</t>
        </is>
      </c>
      <c r="T55" s="3" t="inlineStr">
        <is>
          <t>No</t>
        </is>
      </c>
      <c r="U55" s="5" t="n"/>
      <c r="V55" s="3" t="n"/>
      <c r="W55" s="3" t="n"/>
      <c r="X55" s="6" t="n"/>
      <c r="Y55" s="3" t="inlineStr">
        <is>
          <t>kgCO2e/product</t>
        </is>
      </c>
      <c r="Z55" s="3" t="n"/>
      <c r="AA55" s="7" t="n"/>
      <c r="AB55" s="3" t="n"/>
      <c r="AC55" s="3" t="n"/>
      <c r="AD55" s="6" t="n"/>
      <c r="AE55" s="3" t="inlineStr">
        <is>
          <t>kgCO2e/product</t>
        </is>
      </c>
      <c r="AF55" s="3" t="n"/>
      <c r="AG55" s="7" t="n">
        <v>0</v>
      </c>
      <c r="AH55" s="3" t="n"/>
      <c r="AI55" s="3" t="n"/>
      <c r="AJ55" s="3" t="n"/>
      <c r="AK55" s="4">
        <f>IF(COUNT(AH55,AI55,AJ55)=0,"",ROUND(AVERAGE(AH55,AI55,AJ55),3))</f>
        <v/>
      </c>
      <c r="AL55" s="3">
        <f>IF(X55="","",ROUND(X55*IF(H55="",0,H55)*(1+IF(AA55="",0,AA55)),5))</f>
        <v/>
      </c>
      <c r="AM55" s="3" t="inlineStr">
        <is>
          <t>kgCO2e/product</t>
        </is>
      </c>
      <c r="AN55" s="5" t="n"/>
      <c r="AO55" s="9">
        <f>IF(AND($A55&lt;&gt;"",E55=""),"Supplier code empty (High);","")&amp;IF(AND(P55&lt;&gt;"",OR(P55&gt;1,P55&lt;0)),"Incorrect PDS value (High);",IF(AND(P55&lt;&gt;"",P55&gt;0.5),"High PDS value (Medium);",""))&amp;IF(AND(Q55&lt;&gt;"",OR(Q55&gt;5,Q55&lt;1)),"Incorrect DQR value (High);","")&amp;IF(AND(N55&lt;&gt;"",OR(N55&lt;=0,N55&gt;100)),"Unusual PCF value might be wrong (High);","")&amp;IF(AND(AG55&lt;&gt;"",OR(AG55&gt;1,AG55&lt;0)),"Incorrect PDS value (High);",IF(AND(AG55&lt;&gt;"",AG55&gt;0.5),"High PDS value (Medium);",""))&amp;IF(AND(AK55&lt;&gt;"",OR(AK55&gt;5,AK55&lt;1)),"Incorrect DQR value (High);","")&amp;IF(AND(AA55&lt;&gt;"",OR(AA55&gt;1,AA55&lt;0)),"Incorrect scrap rate (High);",IF(AND(AA55&lt;&gt;"",AA55&gt;0.2),"High scrap rate (Medium);",IF(AND($A55&lt;&gt;"",AA55=0),"No scrap rate (No impact);","")))&amp;""</f>
        <v/>
      </c>
      <c r="AP55" s="9" t="n"/>
    </row>
    <row r="56">
      <c r="A56" s="3" t="n"/>
      <c r="B56" s="3" t="n"/>
      <c r="C56" s="3" t="n"/>
      <c r="D56" s="3" t="n"/>
      <c r="E56" s="3" t="n"/>
      <c r="F56" s="3" t="n"/>
      <c r="G56" s="4" t="n"/>
      <c r="H56" s="4" t="n"/>
      <c r="I56" s="3" t="inlineStr">
        <is>
          <t>kg</t>
        </is>
      </c>
      <c r="J56" s="4" t="n"/>
      <c r="K56" s="3" t="inlineStr">
        <is>
          <t>kg</t>
        </is>
      </c>
      <c r="L56" s="3" t="n"/>
      <c r="M56" s="5" t="n"/>
      <c r="N56" s="6" t="n"/>
      <c r="O56" s="3" t="inlineStr">
        <is>
          <t>kgCO2e/product</t>
        </is>
      </c>
      <c r="P56" s="7" t="n"/>
      <c r="Q56" s="4" t="n"/>
      <c r="R56" s="8" t="n"/>
      <c r="S56" s="3" t="inlineStr">
        <is>
          <t>Supplier</t>
        </is>
      </c>
      <c r="T56" s="3" t="inlineStr">
        <is>
          <t>No</t>
        </is>
      </c>
      <c r="U56" s="5" t="n"/>
      <c r="V56" s="3" t="n"/>
      <c r="W56" s="3" t="n"/>
      <c r="X56" s="6" t="n"/>
      <c r="Y56" s="3" t="inlineStr">
        <is>
          <t>kgCO2e/product</t>
        </is>
      </c>
      <c r="Z56" s="3" t="n"/>
      <c r="AA56" s="7" t="n"/>
      <c r="AB56" s="3" t="n"/>
      <c r="AC56" s="3" t="n"/>
      <c r="AD56" s="6" t="n"/>
      <c r="AE56" s="3" t="inlineStr">
        <is>
          <t>kgCO2e/product</t>
        </is>
      </c>
      <c r="AF56" s="3" t="n"/>
      <c r="AG56" s="7" t="n">
        <v>0</v>
      </c>
      <c r="AH56" s="3" t="n"/>
      <c r="AI56" s="3" t="n"/>
      <c r="AJ56" s="3" t="n"/>
      <c r="AK56" s="4">
        <f>IF(COUNT(AH56,AI56,AJ56)=0,"",ROUND(AVERAGE(AH56,AI56,AJ56),3))</f>
        <v/>
      </c>
      <c r="AL56" s="3">
        <f>IF(X56="","",ROUND(X56*IF(H56="",0,H56)*(1+IF(AA56="",0,AA56)),5))</f>
        <v/>
      </c>
      <c r="AM56" s="3" t="inlineStr">
        <is>
          <t>kgCO2e/product</t>
        </is>
      </c>
      <c r="AN56" s="5" t="n"/>
      <c r="AO56" s="9">
        <f>IF(AND($A56&lt;&gt;"",E56=""),"Supplier code empty (High);","")&amp;IF(AND(P56&lt;&gt;"",OR(P56&gt;1,P56&lt;0)),"Incorrect PDS value (High);",IF(AND(P56&lt;&gt;"",P56&gt;0.5),"High PDS value (Medium);",""))&amp;IF(AND(Q56&lt;&gt;"",OR(Q56&gt;5,Q56&lt;1)),"Incorrect DQR value (High);","")&amp;IF(AND(N56&lt;&gt;"",OR(N56&lt;=0,N56&gt;100)),"Unusual PCF value might be wrong (High);","")&amp;IF(AND(AG56&lt;&gt;"",OR(AG56&gt;1,AG56&lt;0)),"Incorrect PDS value (High);",IF(AND(AG56&lt;&gt;"",AG56&gt;0.5),"High PDS value (Medium);",""))&amp;IF(AND(AK56&lt;&gt;"",OR(AK56&gt;5,AK56&lt;1)),"Incorrect DQR value (High);","")&amp;IF(AND(AA56&lt;&gt;"",OR(AA56&gt;1,AA56&lt;0)),"Incorrect scrap rate (High);",IF(AND(AA56&lt;&gt;"",AA56&gt;0.2),"High scrap rate (Medium);",IF(AND($A56&lt;&gt;"",AA56=0),"No scrap rate (No impact);","")))&amp;""</f>
        <v/>
      </c>
      <c r="AP56" s="9" t="n"/>
    </row>
    <row r="57">
      <c r="A57" s="3" t="n"/>
      <c r="B57" s="3" t="n"/>
      <c r="C57" s="3" t="n"/>
      <c r="D57" s="3" t="n"/>
      <c r="E57" s="3" t="n"/>
      <c r="F57" s="3" t="n"/>
      <c r="G57" s="4" t="n"/>
      <c r="H57" s="4" t="n"/>
      <c r="I57" s="3" t="inlineStr">
        <is>
          <t>kg</t>
        </is>
      </c>
      <c r="J57" s="4" t="n"/>
      <c r="K57" s="3" t="inlineStr">
        <is>
          <t>kg</t>
        </is>
      </c>
      <c r="L57" s="3" t="n"/>
      <c r="M57" s="5" t="n"/>
      <c r="N57" s="6" t="n"/>
      <c r="O57" s="3" t="inlineStr">
        <is>
          <t>kgCO2e/product</t>
        </is>
      </c>
      <c r="P57" s="7" t="n"/>
      <c r="Q57" s="4" t="n"/>
      <c r="R57" s="8" t="n"/>
      <c r="S57" s="3" t="inlineStr">
        <is>
          <t>Supplier</t>
        </is>
      </c>
      <c r="T57" s="3" t="inlineStr">
        <is>
          <t>No</t>
        </is>
      </c>
      <c r="U57" s="5" t="n"/>
      <c r="V57" s="3" t="n"/>
      <c r="W57" s="3" t="n"/>
      <c r="X57" s="6" t="n"/>
      <c r="Y57" s="3" t="inlineStr">
        <is>
          <t>kgCO2e/product</t>
        </is>
      </c>
      <c r="Z57" s="3" t="n"/>
      <c r="AA57" s="7" t="n"/>
      <c r="AB57" s="3" t="n"/>
      <c r="AC57" s="3" t="n"/>
      <c r="AD57" s="6" t="n"/>
      <c r="AE57" s="3" t="inlineStr">
        <is>
          <t>kgCO2e/product</t>
        </is>
      </c>
      <c r="AF57" s="3" t="n"/>
      <c r="AG57" s="7" t="n">
        <v>0</v>
      </c>
      <c r="AH57" s="3" t="n"/>
      <c r="AI57" s="3" t="n"/>
      <c r="AJ57" s="3" t="n"/>
      <c r="AK57" s="4">
        <f>IF(COUNT(AH57,AI57,AJ57)=0,"",ROUND(AVERAGE(AH57,AI57,AJ57),3))</f>
        <v/>
      </c>
      <c r="AL57" s="3">
        <f>IF(X57="","",ROUND(X57*IF(H57="",0,H57)*(1+IF(AA57="",0,AA57)),5))</f>
        <v/>
      </c>
      <c r="AM57" s="3" t="inlineStr">
        <is>
          <t>kgCO2e/product</t>
        </is>
      </c>
      <c r="AN57" s="5" t="n"/>
      <c r="AO57" s="9">
        <f>IF(AND($A57&lt;&gt;"",E57=""),"Supplier code empty (High);","")&amp;IF(AND(P57&lt;&gt;"",OR(P57&gt;1,P57&lt;0)),"Incorrect PDS value (High);",IF(AND(P57&lt;&gt;"",P57&gt;0.5),"High PDS value (Medium);",""))&amp;IF(AND(Q57&lt;&gt;"",OR(Q57&gt;5,Q57&lt;1)),"Incorrect DQR value (High);","")&amp;IF(AND(N57&lt;&gt;"",OR(N57&lt;=0,N57&gt;100)),"Unusual PCF value might be wrong (High);","")&amp;IF(AND(AG57&lt;&gt;"",OR(AG57&gt;1,AG57&lt;0)),"Incorrect PDS value (High);",IF(AND(AG57&lt;&gt;"",AG57&gt;0.5),"High PDS value (Medium);",""))&amp;IF(AND(AK57&lt;&gt;"",OR(AK57&gt;5,AK57&lt;1)),"Incorrect DQR value (High);","")&amp;IF(AND(AA57&lt;&gt;"",OR(AA57&gt;1,AA57&lt;0)),"Incorrect scrap rate (High);",IF(AND(AA57&lt;&gt;"",AA57&gt;0.2),"High scrap rate (Medium);",IF(AND($A57&lt;&gt;"",AA57=0),"No scrap rate (No impact);","")))&amp;""</f>
        <v/>
      </c>
      <c r="AP57" s="9" t="n"/>
    </row>
    <row r="58">
      <c r="A58" s="3" t="n"/>
      <c r="B58" s="3" t="n"/>
      <c r="C58" s="3" t="n"/>
      <c r="D58" s="3" t="n"/>
      <c r="E58" s="3" t="n"/>
      <c r="F58" s="3" t="n"/>
      <c r="G58" s="4" t="n"/>
      <c r="H58" s="4" t="n"/>
      <c r="I58" s="3" t="inlineStr">
        <is>
          <t>kg</t>
        </is>
      </c>
      <c r="J58" s="4" t="n"/>
      <c r="K58" s="3" t="inlineStr">
        <is>
          <t>kg</t>
        </is>
      </c>
      <c r="L58" s="3" t="n"/>
      <c r="M58" s="5" t="n"/>
      <c r="N58" s="6" t="n"/>
      <c r="O58" s="3" t="inlineStr">
        <is>
          <t>kgCO2e/product</t>
        </is>
      </c>
      <c r="P58" s="7" t="n"/>
      <c r="Q58" s="4" t="n"/>
      <c r="R58" s="8" t="n"/>
      <c r="S58" s="3" t="inlineStr">
        <is>
          <t>Supplier</t>
        </is>
      </c>
      <c r="T58" s="3" t="inlineStr">
        <is>
          <t>No</t>
        </is>
      </c>
      <c r="U58" s="5" t="n"/>
      <c r="V58" s="3" t="n"/>
      <c r="W58" s="3" t="n"/>
      <c r="X58" s="6" t="n"/>
      <c r="Y58" s="3" t="inlineStr">
        <is>
          <t>kgCO2e/product</t>
        </is>
      </c>
      <c r="Z58" s="3" t="n"/>
      <c r="AA58" s="7" t="n"/>
      <c r="AB58" s="3" t="n"/>
      <c r="AC58" s="3" t="n"/>
      <c r="AD58" s="6" t="n"/>
      <c r="AE58" s="3" t="inlineStr">
        <is>
          <t>kgCO2e/product</t>
        </is>
      </c>
      <c r="AF58" s="3" t="n"/>
      <c r="AG58" s="7" t="n">
        <v>0</v>
      </c>
      <c r="AH58" s="3" t="n"/>
      <c r="AI58" s="3" t="n"/>
      <c r="AJ58" s="3" t="n"/>
      <c r="AK58" s="4">
        <f>IF(COUNT(AH58,AI58,AJ58)=0,"",ROUND(AVERAGE(AH58,AI58,AJ58),3))</f>
        <v/>
      </c>
      <c r="AL58" s="3">
        <f>IF(X58="","",ROUND(X58*IF(H58="",0,H58)*(1+IF(AA58="",0,AA58)),5))</f>
        <v/>
      </c>
      <c r="AM58" s="3" t="inlineStr">
        <is>
          <t>kgCO2e/product</t>
        </is>
      </c>
      <c r="AN58" s="5" t="n"/>
      <c r="AO58" s="9">
        <f>IF(AND($A58&lt;&gt;"",E58=""),"Supplier code empty (High);","")&amp;IF(AND(P58&lt;&gt;"",OR(P58&gt;1,P58&lt;0)),"Incorrect PDS value (High);",IF(AND(P58&lt;&gt;"",P58&gt;0.5),"High PDS value (Medium);",""))&amp;IF(AND(Q58&lt;&gt;"",OR(Q58&gt;5,Q58&lt;1)),"Incorrect DQR value (High);","")&amp;IF(AND(N58&lt;&gt;"",OR(N58&lt;=0,N58&gt;100)),"Unusual PCF value might be wrong (High);","")&amp;IF(AND(AG58&lt;&gt;"",OR(AG58&gt;1,AG58&lt;0)),"Incorrect PDS value (High);",IF(AND(AG58&lt;&gt;"",AG58&gt;0.5),"High PDS value (Medium);",""))&amp;IF(AND(AK58&lt;&gt;"",OR(AK58&gt;5,AK58&lt;1)),"Incorrect DQR value (High);","")&amp;IF(AND(AA58&lt;&gt;"",OR(AA58&gt;1,AA58&lt;0)),"Incorrect scrap rate (High);",IF(AND(AA58&lt;&gt;"",AA58&gt;0.2),"High scrap rate (Medium);",IF(AND($A58&lt;&gt;"",AA58=0),"No scrap rate (No impact);","")))&amp;""</f>
        <v/>
      </c>
      <c r="AP58" s="9" t="n"/>
    </row>
    <row r="59">
      <c r="A59" s="3" t="n"/>
      <c r="B59" s="3" t="n"/>
      <c r="C59" s="3" t="n"/>
      <c r="D59" s="3" t="n"/>
      <c r="E59" s="3" t="n"/>
      <c r="F59" s="3" t="n"/>
      <c r="G59" s="4" t="n"/>
      <c r="H59" s="4" t="n"/>
      <c r="I59" s="3" t="inlineStr">
        <is>
          <t>kg</t>
        </is>
      </c>
      <c r="J59" s="4" t="n"/>
      <c r="K59" s="3" t="inlineStr">
        <is>
          <t>kg</t>
        </is>
      </c>
      <c r="L59" s="3" t="n"/>
      <c r="M59" s="5" t="n"/>
      <c r="N59" s="6" t="n"/>
      <c r="O59" s="3" t="inlineStr">
        <is>
          <t>kgCO2e/product</t>
        </is>
      </c>
      <c r="P59" s="7" t="n"/>
      <c r="Q59" s="4" t="n"/>
      <c r="R59" s="8" t="n"/>
      <c r="S59" s="3" t="inlineStr">
        <is>
          <t>Supplier</t>
        </is>
      </c>
      <c r="T59" s="3" t="inlineStr">
        <is>
          <t>No</t>
        </is>
      </c>
      <c r="U59" s="5" t="n"/>
      <c r="V59" s="3" t="n"/>
      <c r="W59" s="3" t="n"/>
      <c r="X59" s="6" t="n"/>
      <c r="Y59" s="3" t="inlineStr">
        <is>
          <t>kgCO2e/product</t>
        </is>
      </c>
      <c r="Z59" s="3" t="n"/>
      <c r="AA59" s="7" t="n"/>
      <c r="AB59" s="3" t="n"/>
      <c r="AC59" s="3" t="n"/>
      <c r="AD59" s="6" t="n"/>
      <c r="AE59" s="3" t="inlineStr">
        <is>
          <t>kgCO2e/product</t>
        </is>
      </c>
      <c r="AF59" s="3" t="n"/>
      <c r="AG59" s="7" t="n">
        <v>0</v>
      </c>
      <c r="AH59" s="3" t="n"/>
      <c r="AI59" s="3" t="n"/>
      <c r="AJ59" s="3" t="n"/>
      <c r="AK59" s="4">
        <f>IF(COUNT(AH59,AI59,AJ59)=0,"",ROUND(AVERAGE(AH59,AI59,AJ59),3))</f>
        <v/>
      </c>
      <c r="AL59" s="3">
        <f>IF(X59="","",ROUND(X59*IF(H59="",0,H59)*(1+IF(AA59="",0,AA59)),5))</f>
        <v/>
      </c>
      <c r="AM59" s="3" t="inlineStr">
        <is>
          <t>kgCO2e/product</t>
        </is>
      </c>
      <c r="AN59" s="5" t="n"/>
      <c r="AO59" s="9">
        <f>IF(AND($A59&lt;&gt;"",E59=""),"Supplier code empty (High);","")&amp;IF(AND(P59&lt;&gt;"",OR(P59&gt;1,P59&lt;0)),"Incorrect PDS value (High);",IF(AND(P59&lt;&gt;"",P59&gt;0.5),"High PDS value (Medium);",""))&amp;IF(AND(Q59&lt;&gt;"",OR(Q59&gt;5,Q59&lt;1)),"Incorrect DQR value (High);","")&amp;IF(AND(N59&lt;&gt;"",OR(N59&lt;=0,N59&gt;100)),"Unusual PCF value might be wrong (High);","")&amp;IF(AND(AG59&lt;&gt;"",OR(AG59&gt;1,AG59&lt;0)),"Incorrect PDS value (High);",IF(AND(AG59&lt;&gt;"",AG59&gt;0.5),"High PDS value (Medium);",""))&amp;IF(AND(AK59&lt;&gt;"",OR(AK59&gt;5,AK59&lt;1)),"Incorrect DQR value (High);","")&amp;IF(AND(AA59&lt;&gt;"",OR(AA59&gt;1,AA59&lt;0)),"Incorrect scrap rate (High);",IF(AND(AA59&lt;&gt;"",AA59&gt;0.2),"High scrap rate (Medium);",IF(AND($A59&lt;&gt;"",AA59=0),"No scrap rate (No impact);","")))&amp;""</f>
        <v/>
      </c>
      <c r="AP59" s="9" t="n"/>
    </row>
    <row r="60">
      <c r="A60" s="3" t="n"/>
      <c r="B60" s="3" t="n"/>
      <c r="C60" s="3" t="n"/>
      <c r="D60" s="3" t="n"/>
      <c r="E60" s="3" t="n"/>
      <c r="F60" s="3" t="n"/>
      <c r="G60" s="4" t="n"/>
      <c r="H60" s="4" t="n"/>
      <c r="I60" s="3" t="inlineStr">
        <is>
          <t>kg</t>
        </is>
      </c>
      <c r="J60" s="4" t="n"/>
      <c r="K60" s="3" t="inlineStr">
        <is>
          <t>kg</t>
        </is>
      </c>
      <c r="L60" s="3" t="n"/>
      <c r="M60" s="5" t="n"/>
      <c r="N60" s="6" t="n"/>
      <c r="O60" s="3" t="inlineStr">
        <is>
          <t>kgCO2e/product</t>
        </is>
      </c>
      <c r="P60" s="7" t="n"/>
      <c r="Q60" s="4" t="n"/>
      <c r="R60" s="8" t="n"/>
      <c r="S60" s="3" t="inlineStr">
        <is>
          <t>Supplier</t>
        </is>
      </c>
      <c r="T60" s="3" t="inlineStr">
        <is>
          <t>No</t>
        </is>
      </c>
      <c r="U60" s="5" t="n"/>
      <c r="V60" s="3" t="n"/>
      <c r="W60" s="3" t="n"/>
      <c r="X60" s="6" t="n"/>
      <c r="Y60" s="3" t="inlineStr">
        <is>
          <t>kgCO2e/product</t>
        </is>
      </c>
      <c r="Z60" s="3" t="n"/>
      <c r="AA60" s="7" t="n"/>
      <c r="AB60" s="3" t="n"/>
      <c r="AC60" s="3" t="n"/>
      <c r="AD60" s="6" t="n"/>
      <c r="AE60" s="3" t="inlineStr">
        <is>
          <t>kgCO2e/product</t>
        </is>
      </c>
      <c r="AF60" s="3" t="n"/>
      <c r="AG60" s="7" t="n">
        <v>0</v>
      </c>
      <c r="AH60" s="3" t="n"/>
      <c r="AI60" s="3" t="n"/>
      <c r="AJ60" s="3" t="n"/>
      <c r="AK60" s="4">
        <f>IF(COUNT(AH60,AI60,AJ60)=0,"",ROUND(AVERAGE(AH60,AI60,AJ60),3))</f>
        <v/>
      </c>
      <c r="AL60" s="3">
        <f>IF(X60="","",ROUND(X60*IF(H60="",0,H60)*(1+IF(AA60="",0,AA60)),5))</f>
        <v/>
      </c>
      <c r="AM60" s="3" t="inlineStr">
        <is>
          <t>kgCO2e/product</t>
        </is>
      </c>
      <c r="AN60" s="5" t="n"/>
      <c r="AO60" s="9">
        <f>IF(AND($A60&lt;&gt;"",E60=""),"Supplier code empty (High);","")&amp;IF(AND(P60&lt;&gt;"",OR(P60&gt;1,P60&lt;0)),"Incorrect PDS value (High);",IF(AND(P60&lt;&gt;"",P60&gt;0.5),"High PDS value (Medium);",""))&amp;IF(AND(Q60&lt;&gt;"",OR(Q60&gt;5,Q60&lt;1)),"Incorrect DQR value (High);","")&amp;IF(AND(N60&lt;&gt;"",OR(N60&lt;=0,N60&gt;100)),"Unusual PCF value might be wrong (High);","")&amp;IF(AND(AG60&lt;&gt;"",OR(AG60&gt;1,AG60&lt;0)),"Incorrect PDS value (High);",IF(AND(AG60&lt;&gt;"",AG60&gt;0.5),"High PDS value (Medium);",""))&amp;IF(AND(AK60&lt;&gt;"",OR(AK60&gt;5,AK60&lt;1)),"Incorrect DQR value (High);","")&amp;IF(AND(AA60&lt;&gt;"",OR(AA60&gt;1,AA60&lt;0)),"Incorrect scrap rate (High);",IF(AND(AA60&lt;&gt;"",AA60&gt;0.2),"High scrap rate (Medium);",IF(AND($A60&lt;&gt;"",AA60=0),"No scrap rate (No impact);","")))&amp;""</f>
        <v/>
      </c>
      <c r="AP60" s="9" t="n"/>
    </row>
    <row r="61">
      <c r="A61" s="3" t="n"/>
      <c r="B61" s="3" t="n"/>
      <c r="C61" s="3" t="n"/>
      <c r="D61" s="3" t="n"/>
      <c r="E61" s="3" t="n"/>
      <c r="F61" s="3" t="n"/>
      <c r="G61" s="4" t="n"/>
      <c r="H61" s="4" t="n"/>
      <c r="I61" s="3" t="inlineStr">
        <is>
          <t>kg</t>
        </is>
      </c>
      <c r="J61" s="4" t="n"/>
      <c r="K61" s="3" t="inlineStr">
        <is>
          <t>kg</t>
        </is>
      </c>
      <c r="L61" s="3" t="n"/>
      <c r="M61" s="5" t="n"/>
      <c r="N61" s="6" t="n"/>
      <c r="O61" s="3" t="inlineStr">
        <is>
          <t>kgCO2e/product</t>
        </is>
      </c>
      <c r="P61" s="7" t="n"/>
      <c r="Q61" s="4" t="n"/>
      <c r="R61" s="8" t="n"/>
      <c r="S61" s="3" t="inlineStr">
        <is>
          <t>Supplier</t>
        </is>
      </c>
      <c r="T61" s="3" t="inlineStr">
        <is>
          <t>No</t>
        </is>
      </c>
      <c r="U61" s="5" t="n"/>
      <c r="V61" s="3" t="n"/>
      <c r="W61" s="3" t="n"/>
      <c r="X61" s="6" t="n"/>
      <c r="Y61" s="3" t="inlineStr">
        <is>
          <t>kgCO2e/product</t>
        </is>
      </c>
      <c r="Z61" s="3" t="n"/>
      <c r="AA61" s="7" t="n"/>
      <c r="AB61" s="3" t="n"/>
      <c r="AC61" s="3" t="n"/>
      <c r="AD61" s="6" t="n"/>
      <c r="AE61" s="3" t="inlineStr">
        <is>
          <t>kgCO2e/product</t>
        </is>
      </c>
      <c r="AF61" s="3" t="n"/>
      <c r="AG61" s="7" t="n">
        <v>0</v>
      </c>
      <c r="AH61" s="3" t="n"/>
      <c r="AI61" s="3" t="n"/>
      <c r="AJ61" s="3" t="n"/>
      <c r="AK61" s="4">
        <f>IF(COUNT(AH61,AI61,AJ61)=0,"",ROUND(AVERAGE(AH61,AI61,AJ61),3))</f>
        <v/>
      </c>
      <c r="AL61" s="3">
        <f>IF(X61="","",ROUND(X61*IF(H61="",0,H61)*(1+IF(AA61="",0,AA61)),5))</f>
        <v/>
      </c>
      <c r="AM61" s="3" t="inlineStr">
        <is>
          <t>kgCO2e/product</t>
        </is>
      </c>
      <c r="AN61" s="5" t="n"/>
      <c r="AO61" s="9">
        <f>IF(AND($A61&lt;&gt;"",E61=""),"Supplier code empty (High);","")&amp;IF(AND(P61&lt;&gt;"",OR(P61&gt;1,P61&lt;0)),"Incorrect PDS value (High);",IF(AND(P61&lt;&gt;"",P61&gt;0.5),"High PDS value (Medium);",""))&amp;IF(AND(Q61&lt;&gt;"",OR(Q61&gt;5,Q61&lt;1)),"Incorrect DQR value (High);","")&amp;IF(AND(N61&lt;&gt;"",OR(N61&lt;=0,N61&gt;100)),"Unusual PCF value might be wrong (High);","")&amp;IF(AND(AG61&lt;&gt;"",OR(AG61&gt;1,AG61&lt;0)),"Incorrect PDS value (High);",IF(AND(AG61&lt;&gt;"",AG61&gt;0.5),"High PDS value (Medium);",""))&amp;IF(AND(AK61&lt;&gt;"",OR(AK61&gt;5,AK61&lt;1)),"Incorrect DQR value (High);","")&amp;IF(AND(AA61&lt;&gt;"",OR(AA61&gt;1,AA61&lt;0)),"Incorrect scrap rate (High);",IF(AND(AA61&lt;&gt;"",AA61&gt;0.2),"High scrap rate (Medium);",IF(AND($A61&lt;&gt;"",AA61=0),"No scrap rate (No impact);","")))&amp;""</f>
        <v/>
      </c>
      <c r="AP61" s="9" t="n"/>
    </row>
    <row r="62">
      <c r="A62" s="3" t="n"/>
      <c r="B62" s="3" t="n"/>
      <c r="C62" s="3" t="n"/>
      <c r="D62" s="3" t="n"/>
      <c r="E62" s="3" t="n"/>
      <c r="F62" s="3" t="n"/>
      <c r="G62" s="4" t="n"/>
      <c r="H62" s="4" t="n"/>
      <c r="I62" s="3" t="inlineStr">
        <is>
          <t>kg</t>
        </is>
      </c>
      <c r="J62" s="4" t="n"/>
      <c r="K62" s="3" t="inlineStr">
        <is>
          <t>kg</t>
        </is>
      </c>
      <c r="L62" s="3" t="n"/>
      <c r="M62" s="5" t="n"/>
      <c r="N62" s="6" t="n"/>
      <c r="O62" s="3" t="inlineStr">
        <is>
          <t>kgCO2e/product</t>
        </is>
      </c>
      <c r="P62" s="7" t="n"/>
      <c r="Q62" s="4" t="n"/>
      <c r="R62" s="8" t="n"/>
      <c r="S62" s="3" t="inlineStr">
        <is>
          <t>Supplier</t>
        </is>
      </c>
      <c r="T62" s="3" t="inlineStr">
        <is>
          <t>No</t>
        </is>
      </c>
      <c r="U62" s="5" t="n"/>
      <c r="V62" s="3" t="n"/>
      <c r="W62" s="3" t="n"/>
      <c r="X62" s="6" t="n"/>
      <c r="Y62" s="3" t="inlineStr">
        <is>
          <t>kgCO2e/product</t>
        </is>
      </c>
      <c r="Z62" s="3" t="n"/>
      <c r="AA62" s="7" t="n"/>
      <c r="AB62" s="3" t="n"/>
      <c r="AC62" s="3" t="n"/>
      <c r="AD62" s="6" t="n"/>
      <c r="AE62" s="3" t="inlineStr">
        <is>
          <t>kgCO2e/product</t>
        </is>
      </c>
      <c r="AF62" s="3" t="n"/>
      <c r="AG62" s="7" t="n">
        <v>0</v>
      </c>
      <c r="AH62" s="3" t="n"/>
      <c r="AI62" s="3" t="n"/>
      <c r="AJ62" s="3" t="n"/>
      <c r="AK62" s="4">
        <f>IF(COUNT(AH62,AI62,AJ62)=0,"",ROUND(AVERAGE(AH62,AI62,AJ62),3))</f>
        <v/>
      </c>
      <c r="AL62" s="3">
        <f>IF(X62="","",ROUND(X62*IF(H62="",0,H62)*(1+IF(AA62="",0,AA62)),5))</f>
        <v/>
      </c>
      <c r="AM62" s="3" t="inlineStr">
        <is>
          <t>kgCO2e/product</t>
        </is>
      </c>
      <c r="AN62" s="5" t="n"/>
      <c r="AO62" s="9">
        <f>IF(AND($A62&lt;&gt;"",E62=""),"Supplier code empty (High);","")&amp;IF(AND(P62&lt;&gt;"",OR(P62&gt;1,P62&lt;0)),"Incorrect PDS value (High);",IF(AND(P62&lt;&gt;"",P62&gt;0.5),"High PDS value (Medium);",""))&amp;IF(AND(Q62&lt;&gt;"",OR(Q62&gt;5,Q62&lt;1)),"Incorrect DQR value (High);","")&amp;IF(AND(N62&lt;&gt;"",OR(N62&lt;=0,N62&gt;100)),"Unusual PCF value might be wrong (High);","")&amp;IF(AND(AG62&lt;&gt;"",OR(AG62&gt;1,AG62&lt;0)),"Incorrect PDS value (High);",IF(AND(AG62&lt;&gt;"",AG62&gt;0.5),"High PDS value (Medium);",""))&amp;IF(AND(AK62&lt;&gt;"",OR(AK62&gt;5,AK62&lt;1)),"Incorrect DQR value (High);","")&amp;IF(AND(AA62&lt;&gt;"",OR(AA62&gt;1,AA62&lt;0)),"Incorrect scrap rate (High);",IF(AND(AA62&lt;&gt;"",AA62&gt;0.2),"High scrap rate (Medium);",IF(AND($A62&lt;&gt;"",AA62=0),"No scrap rate (No impact);","")))&amp;""</f>
        <v/>
      </c>
      <c r="AP62" s="9" t="n"/>
    </row>
    <row r="63">
      <c r="A63" s="3" t="n"/>
      <c r="B63" s="3" t="n"/>
      <c r="C63" s="3" t="n"/>
      <c r="D63" s="3" t="n"/>
      <c r="E63" s="3" t="n"/>
      <c r="F63" s="3" t="n"/>
      <c r="G63" s="4" t="n"/>
      <c r="H63" s="4" t="n"/>
      <c r="I63" s="3" t="inlineStr">
        <is>
          <t>kg</t>
        </is>
      </c>
      <c r="J63" s="4" t="n"/>
      <c r="K63" s="3" t="inlineStr">
        <is>
          <t>kg</t>
        </is>
      </c>
      <c r="L63" s="3" t="n"/>
      <c r="M63" s="5" t="n"/>
      <c r="N63" s="6" t="n"/>
      <c r="O63" s="3" t="inlineStr">
        <is>
          <t>kgCO2e/product</t>
        </is>
      </c>
      <c r="P63" s="7" t="n"/>
      <c r="Q63" s="4" t="n"/>
      <c r="R63" s="8" t="n"/>
      <c r="S63" s="3" t="inlineStr">
        <is>
          <t>Supplier</t>
        </is>
      </c>
      <c r="T63" s="3" t="inlineStr">
        <is>
          <t>No</t>
        </is>
      </c>
      <c r="U63" s="5" t="n"/>
      <c r="V63" s="3" t="n"/>
      <c r="W63" s="3" t="n"/>
      <c r="X63" s="6" t="n"/>
      <c r="Y63" s="3" t="inlineStr">
        <is>
          <t>kgCO2e/product</t>
        </is>
      </c>
      <c r="Z63" s="3" t="n"/>
      <c r="AA63" s="7" t="n"/>
      <c r="AB63" s="3" t="n"/>
      <c r="AC63" s="3" t="n"/>
      <c r="AD63" s="6" t="n"/>
      <c r="AE63" s="3" t="inlineStr">
        <is>
          <t>kgCO2e/product</t>
        </is>
      </c>
      <c r="AF63" s="3" t="n"/>
      <c r="AG63" s="7" t="n">
        <v>0</v>
      </c>
      <c r="AH63" s="3" t="n"/>
      <c r="AI63" s="3" t="n"/>
      <c r="AJ63" s="3" t="n"/>
      <c r="AK63" s="4">
        <f>IF(COUNT(AH63,AI63,AJ63)=0,"",ROUND(AVERAGE(AH63,AI63,AJ63),3))</f>
        <v/>
      </c>
      <c r="AL63" s="3">
        <f>IF(X63="","",ROUND(X63*IF(H63="",0,H63)*(1+IF(AA63="",0,AA63)),5))</f>
        <v/>
      </c>
      <c r="AM63" s="3" t="inlineStr">
        <is>
          <t>kgCO2e/product</t>
        </is>
      </c>
      <c r="AN63" s="5" t="n"/>
      <c r="AO63" s="9">
        <f>IF(AND($A63&lt;&gt;"",E63=""),"Supplier code empty (High);","")&amp;IF(AND(P63&lt;&gt;"",OR(P63&gt;1,P63&lt;0)),"Incorrect PDS value (High);",IF(AND(P63&lt;&gt;"",P63&gt;0.5),"High PDS value (Medium);",""))&amp;IF(AND(Q63&lt;&gt;"",OR(Q63&gt;5,Q63&lt;1)),"Incorrect DQR value (High);","")&amp;IF(AND(N63&lt;&gt;"",OR(N63&lt;=0,N63&gt;100)),"Unusual PCF value might be wrong (High);","")&amp;IF(AND(AG63&lt;&gt;"",OR(AG63&gt;1,AG63&lt;0)),"Incorrect PDS value (High);",IF(AND(AG63&lt;&gt;"",AG63&gt;0.5),"High PDS value (Medium);",""))&amp;IF(AND(AK63&lt;&gt;"",OR(AK63&gt;5,AK63&lt;1)),"Incorrect DQR value (High);","")&amp;IF(AND(AA63&lt;&gt;"",OR(AA63&gt;1,AA63&lt;0)),"Incorrect scrap rate (High);",IF(AND(AA63&lt;&gt;"",AA63&gt;0.2),"High scrap rate (Medium);",IF(AND($A63&lt;&gt;"",AA63=0),"No scrap rate (No impact);","")))&amp;""</f>
        <v/>
      </c>
      <c r="AP63" s="9" t="n"/>
    </row>
    <row r="64">
      <c r="A64" s="3" t="n"/>
      <c r="B64" s="3" t="n"/>
      <c r="C64" s="3" t="n"/>
      <c r="D64" s="3" t="n"/>
      <c r="E64" s="3" t="n"/>
      <c r="F64" s="3" t="n"/>
      <c r="G64" s="4" t="n"/>
      <c r="H64" s="4" t="n"/>
      <c r="I64" s="3" t="inlineStr">
        <is>
          <t>kg</t>
        </is>
      </c>
      <c r="J64" s="4" t="n"/>
      <c r="K64" s="3" t="inlineStr">
        <is>
          <t>kg</t>
        </is>
      </c>
      <c r="L64" s="3" t="n"/>
      <c r="M64" s="5" t="n"/>
      <c r="N64" s="6" t="n"/>
      <c r="O64" s="3" t="inlineStr">
        <is>
          <t>kgCO2e/product</t>
        </is>
      </c>
      <c r="P64" s="7" t="n"/>
      <c r="Q64" s="4" t="n"/>
      <c r="R64" s="8" t="n"/>
      <c r="S64" s="3" t="inlineStr">
        <is>
          <t>Supplier</t>
        </is>
      </c>
      <c r="T64" s="3" t="inlineStr">
        <is>
          <t>No</t>
        </is>
      </c>
      <c r="U64" s="5" t="n"/>
      <c r="V64" s="3" t="n"/>
      <c r="W64" s="3" t="n"/>
      <c r="X64" s="6" t="n"/>
      <c r="Y64" s="3" t="inlineStr">
        <is>
          <t>kgCO2e/product</t>
        </is>
      </c>
      <c r="Z64" s="3" t="n"/>
      <c r="AA64" s="7" t="n"/>
      <c r="AB64" s="3" t="n"/>
      <c r="AC64" s="3" t="n"/>
      <c r="AD64" s="6" t="n"/>
      <c r="AE64" s="3" t="inlineStr">
        <is>
          <t>kgCO2e/product</t>
        </is>
      </c>
      <c r="AF64" s="3" t="n"/>
      <c r="AG64" s="7" t="n">
        <v>0</v>
      </c>
      <c r="AH64" s="3" t="n"/>
      <c r="AI64" s="3" t="n"/>
      <c r="AJ64" s="3" t="n"/>
      <c r="AK64" s="4">
        <f>IF(COUNT(AH64,AI64,AJ64)=0,"",ROUND(AVERAGE(AH64,AI64,AJ64),3))</f>
        <v/>
      </c>
      <c r="AL64" s="3">
        <f>IF(X64="","",ROUND(X64*IF(H64="",0,H64)*(1+IF(AA64="",0,AA64)),5))</f>
        <v/>
      </c>
      <c r="AM64" s="3" t="inlineStr">
        <is>
          <t>kgCO2e/product</t>
        </is>
      </c>
      <c r="AN64" s="5" t="n"/>
      <c r="AO64" s="9">
        <f>IF(AND($A64&lt;&gt;"",E64=""),"Supplier code empty (High);","")&amp;IF(AND(P64&lt;&gt;"",OR(P64&gt;1,P64&lt;0)),"Incorrect PDS value (High);",IF(AND(P64&lt;&gt;"",P64&gt;0.5),"High PDS value (Medium);",""))&amp;IF(AND(Q64&lt;&gt;"",OR(Q64&gt;5,Q64&lt;1)),"Incorrect DQR value (High);","")&amp;IF(AND(N64&lt;&gt;"",OR(N64&lt;=0,N64&gt;100)),"Unusual PCF value might be wrong (High);","")&amp;IF(AND(AG64&lt;&gt;"",OR(AG64&gt;1,AG64&lt;0)),"Incorrect PDS value (High);",IF(AND(AG64&lt;&gt;"",AG64&gt;0.5),"High PDS value (Medium);",""))&amp;IF(AND(AK64&lt;&gt;"",OR(AK64&gt;5,AK64&lt;1)),"Incorrect DQR value (High);","")&amp;IF(AND(AA64&lt;&gt;"",OR(AA64&gt;1,AA64&lt;0)),"Incorrect scrap rate (High);",IF(AND(AA64&lt;&gt;"",AA64&gt;0.2),"High scrap rate (Medium);",IF(AND($A64&lt;&gt;"",AA64=0),"No scrap rate (No impact);","")))&amp;""</f>
        <v/>
      </c>
      <c r="AP64" s="9" t="n"/>
    </row>
    <row r="65">
      <c r="A65" s="3" t="n"/>
      <c r="B65" s="3" t="n"/>
      <c r="C65" s="3" t="n"/>
      <c r="D65" s="3" t="n"/>
      <c r="E65" s="3" t="n"/>
      <c r="F65" s="3" t="n"/>
      <c r="G65" s="4" t="n"/>
      <c r="H65" s="4" t="n"/>
      <c r="I65" s="3" t="inlineStr">
        <is>
          <t>kg</t>
        </is>
      </c>
      <c r="J65" s="4" t="n"/>
      <c r="K65" s="3" t="inlineStr">
        <is>
          <t>kg</t>
        </is>
      </c>
      <c r="L65" s="3" t="n"/>
      <c r="M65" s="5" t="n"/>
      <c r="N65" s="6" t="n"/>
      <c r="O65" s="3" t="inlineStr">
        <is>
          <t>kgCO2e/product</t>
        </is>
      </c>
      <c r="P65" s="7" t="n"/>
      <c r="Q65" s="4" t="n"/>
      <c r="R65" s="8" t="n"/>
      <c r="S65" s="3" t="inlineStr">
        <is>
          <t>Supplier</t>
        </is>
      </c>
      <c r="T65" s="3" t="inlineStr">
        <is>
          <t>No</t>
        </is>
      </c>
      <c r="U65" s="5" t="n"/>
      <c r="V65" s="3" t="n"/>
      <c r="W65" s="3" t="n"/>
      <c r="X65" s="6" t="n"/>
      <c r="Y65" s="3" t="inlineStr">
        <is>
          <t>kgCO2e/product</t>
        </is>
      </c>
      <c r="Z65" s="3" t="n"/>
      <c r="AA65" s="7" t="n"/>
      <c r="AB65" s="3" t="n"/>
      <c r="AC65" s="3" t="n"/>
      <c r="AD65" s="6" t="n"/>
      <c r="AE65" s="3" t="inlineStr">
        <is>
          <t>kgCO2e/product</t>
        </is>
      </c>
      <c r="AF65" s="3" t="n"/>
      <c r="AG65" s="7" t="n">
        <v>0</v>
      </c>
      <c r="AH65" s="3" t="n"/>
      <c r="AI65" s="3" t="n"/>
      <c r="AJ65" s="3" t="n"/>
      <c r="AK65" s="4">
        <f>IF(COUNT(AH65,AI65,AJ65)=0,"",ROUND(AVERAGE(AH65,AI65,AJ65),3))</f>
        <v/>
      </c>
      <c r="AL65" s="3">
        <f>IF(X65="","",ROUND(X65*IF(H65="",0,H65)*(1+IF(AA65="",0,AA65)),5))</f>
        <v/>
      </c>
      <c r="AM65" s="3" t="inlineStr">
        <is>
          <t>kgCO2e/product</t>
        </is>
      </c>
      <c r="AN65" s="5" t="n"/>
      <c r="AO65" s="9">
        <f>IF(AND($A65&lt;&gt;"",E65=""),"Supplier code empty (High);","")&amp;IF(AND(P65&lt;&gt;"",OR(P65&gt;1,P65&lt;0)),"Incorrect PDS value (High);",IF(AND(P65&lt;&gt;"",P65&gt;0.5),"High PDS value (Medium);",""))&amp;IF(AND(Q65&lt;&gt;"",OR(Q65&gt;5,Q65&lt;1)),"Incorrect DQR value (High);","")&amp;IF(AND(N65&lt;&gt;"",OR(N65&lt;=0,N65&gt;100)),"Unusual PCF value might be wrong (High);","")&amp;IF(AND(AG65&lt;&gt;"",OR(AG65&gt;1,AG65&lt;0)),"Incorrect PDS value (High);",IF(AND(AG65&lt;&gt;"",AG65&gt;0.5),"High PDS value (Medium);",""))&amp;IF(AND(AK65&lt;&gt;"",OR(AK65&gt;5,AK65&lt;1)),"Incorrect DQR value (High);","")&amp;IF(AND(AA65&lt;&gt;"",OR(AA65&gt;1,AA65&lt;0)),"Incorrect scrap rate (High);",IF(AND(AA65&lt;&gt;"",AA65&gt;0.2),"High scrap rate (Medium);",IF(AND($A65&lt;&gt;"",AA65=0),"No scrap rate (No impact);","")))&amp;""</f>
        <v/>
      </c>
      <c r="AP65" s="9" t="n"/>
    </row>
    <row r="66">
      <c r="A66" s="3" t="n"/>
      <c r="B66" s="3" t="n"/>
      <c r="C66" s="3" t="n"/>
      <c r="D66" s="3" t="n"/>
      <c r="E66" s="3" t="n"/>
      <c r="F66" s="3" t="n"/>
      <c r="G66" s="4" t="n"/>
      <c r="H66" s="4" t="n"/>
      <c r="I66" s="3" t="inlineStr">
        <is>
          <t>kg</t>
        </is>
      </c>
      <c r="J66" s="4" t="n"/>
      <c r="K66" s="3" t="inlineStr">
        <is>
          <t>kg</t>
        </is>
      </c>
      <c r="L66" s="3" t="n"/>
      <c r="M66" s="5" t="n"/>
      <c r="N66" s="6" t="n"/>
      <c r="O66" s="3" t="inlineStr">
        <is>
          <t>kgCO2e/product</t>
        </is>
      </c>
      <c r="P66" s="7" t="n"/>
      <c r="Q66" s="4" t="n"/>
      <c r="R66" s="8" t="n"/>
      <c r="S66" s="3" t="inlineStr">
        <is>
          <t>Supplier</t>
        </is>
      </c>
      <c r="T66" s="3" t="inlineStr">
        <is>
          <t>No</t>
        </is>
      </c>
      <c r="U66" s="5" t="n"/>
      <c r="V66" s="3" t="n"/>
      <c r="W66" s="3" t="n"/>
      <c r="X66" s="6" t="n"/>
      <c r="Y66" s="3" t="inlineStr">
        <is>
          <t>kgCO2e/product</t>
        </is>
      </c>
      <c r="Z66" s="3" t="n"/>
      <c r="AA66" s="7" t="n"/>
      <c r="AB66" s="3" t="n"/>
      <c r="AC66" s="3" t="n"/>
      <c r="AD66" s="6" t="n"/>
      <c r="AE66" s="3" t="inlineStr">
        <is>
          <t>kgCO2e/product</t>
        </is>
      </c>
      <c r="AF66" s="3" t="n"/>
      <c r="AG66" s="7" t="n">
        <v>0</v>
      </c>
      <c r="AH66" s="3" t="n"/>
      <c r="AI66" s="3" t="n"/>
      <c r="AJ66" s="3" t="n"/>
      <c r="AK66" s="4">
        <f>IF(COUNT(AH66,AI66,AJ66)=0,"",ROUND(AVERAGE(AH66,AI66,AJ66),3))</f>
        <v/>
      </c>
      <c r="AL66" s="3">
        <f>IF(X66="","",ROUND(X66*IF(H66="",0,H66)*(1+IF(AA66="",0,AA66)),5))</f>
        <v/>
      </c>
      <c r="AM66" s="3" t="inlineStr">
        <is>
          <t>kgCO2e/product</t>
        </is>
      </c>
      <c r="AN66" s="5" t="n"/>
      <c r="AO66" s="9">
        <f>IF(AND($A66&lt;&gt;"",E66=""),"Supplier code empty (High);","")&amp;IF(AND(P66&lt;&gt;"",OR(P66&gt;1,P66&lt;0)),"Incorrect PDS value (High);",IF(AND(P66&lt;&gt;"",P66&gt;0.5),"High PDS value (Medium);",""))&amp;IF(AND(Q66&lt;&gt;"",OR(Q66&gt;5,Q66&lt;1)),"Incorrect DQR value (High);","")&amp;IF(AND(N66&lt;&gt;"",OR(N66&lt;=0,N66&gt;100)),"Unusual PCF value might be wrong (High);","")&amp;IF(AND(AG66&lt;&gt;"",OR(AG66&gt;1,AG66&lt;0)),"Incorrect PDS value (High);",IF(AND(AG66&lt;&gt;"",AG66&gt;0.5),"High PDS value (Medium);",""))&amp;IF(AND(AK66&lt;&gt;"",OR(AK66&gt;5,AK66&lt;1)),"Incorrect DQR value (High);","")&amp;IF(AND(AA66&lt;&gt;"",OR(AA66&gt;1,AA66&lt;0)),"Incorrect scrap rate (High);",IF(AND(AA66&lt;&gt;"",AA66&gt;0.2),"High scrap rate (Medium);",IF(AND($A66&lt;&gt;"",AA66=0),"No scrap rate (No impact);","")))&amp;""</f>
        <v/>
      </c>
      <c r="AP66" s="9" t="n"/>
    </row>
    <row r="67">
      <c r="A67" s="3" t="n"/>
      <c r="B67" s="3" t="n"/>
      <c r="C67" s="3" t="n"/>
      <c r="D67" s="3" t="n"/>
      <c r="E67" s="3" t="n"/>
      <c r="F67" s="3" t="n"/>
      <c r="G67" s="4" t="n"/>
      <c r="H67" s="4" t="n"/>
      <c r="I67" s="3" t="inlineStr">
        <is>
          <t>kg</t>
        </is>
      </c>
      <c r="J67" s="4" t="n"/>
      <c r="K67" s="3" t="inlineStr">
        <is>
          <t>kg</t>
        </is>
      </c>
      <c r="L67" s="3" t="n"/>
      <c r="M67" s="5" t="n"/>
      <c r="N67" s="6" t="n"/>
      <c r="O67" s="3" t="inlineStr">
        <is>
          <t>kgCO2e/product</t>
        </is>
      </c>
      <c r="P67" s="7" t="n"/>
      <c r="Q67" s="4" t="n"/>
      <c r="R67" s="8" t="n"/>
      <c r="S67" s="3" t="inlineStr">
        <is>
          <t>Supplier</t>
        </is>
      </c>
      <c r="T67" s="3" t="inlineStr">
        <is>
          <t>No</t>
        </is>
      </c>
      <c r="U67" s="5" t="n"/>
      <c r="V67" s="3" t="n"/>
      <c r="W67" s="3" t="n"/>
      <c r="X67" s="6" t="n"/>
      <c r="Y67" s="3" t="inlineStr">
        <is>
          <t>kgCO2e/product</t>
        </is>
      </c>
      <c r="Z67" s="3" t="n"/>
      <c r="AA67" s="7" t="n"/>
      <c r="AB67" s="3" t="n"/>
      <c r="AC67" s="3" t="n"/>
      <c r="AD67" s="6" t="n"/>
      <c r="AE67" s="3" t="inlineStr">
        <is>
          <t>kgCO2e/product</t>
        </is>
      </c>
      <c r="AF67" s="3" t="n"/>
      <c r="AG67" s="7" t="n">
        <v>0</v>
      </c>
      <c r="AH67" s="3" t="n"/>
      <c r="AI67" s="3" t="n"/>
      <c r="AJ67" s="3" t="n"/>
      <c r="AK67" s="4">
        <f>IF(COUNT(AH67,AI67,AJ67)=0,"",ROUND(AVERAGE(AH67,AI67,AJ67),3))</f>
        <v/>
      </c>
      <c r="AL67" s="3">
        <f>IF(X67="","",ROUND(X67*IF(H67="",0,H67)*(1+IF(AA67="",0,AA67)),5))</f>
        <v/>
      </c>
      <c r="AM67" s="3" t="inlineStr">
        <is>
          <t>kgCO2e/product</t>
        </is>
      </c>
      <c r="AN67" s="5" t="n"/>
      <c r="AO67" s="9">
        <f>IF(AND($A67&lt;&gt;"",E67=""),"Supplier code empty (High);","")&amp;IF(AND(P67&lt;&gt;"",OR(P67&gt;1,P67&lt;0)),"Incorrect PDS value (High);",IF(AND(P67&lt;&gt;"",P67&gt;0.5),"High PDS value (Medium);",""))&amp;IF(AND(Q67&lt;&gt;"",OR(Q67&gt;5,Q67&lt;1)),"Incorrect DQR value (High);","")&amp;IF(AND(N67&lt;&gt;"",OR(N67&lt;=0,N67&gt;100)),"Unusual PCF value might be wrong (High);","")&amp;IF(AND(AG67&lt;&gt;"",OR(AG67&gt;1,AG67&lt;0)),"Incorrect PDS value (High);",IF(AND(AG67&lt;&gt;"",AG67&gt;0.5),"High PDS value (Medium);",""))&amp;IF(AND(AK67&lt;&gt;"",OR(AK67&gt;5,AK67&lt;1)),"Incorrect DQR value (High);","")&amp;IF(AND(AA67&lt;&gt;"",OR(AA67&gt;1,AA67&lt;0)),"Incorrect scrap rate (High);",IF(AND(AA67&lt;&gt;"",AA67&gt;0.2),"High scrap rate (Medium);",IF(AND($A67&lt;&gt;"",AA67=0),"No scrap rate (No impact);","")))&amp;""</f>
        <v/>
      </c>
      <c r="AP67" s="9" t="n"/>
    </row>
    <row r="68">
      <c r="A68" s="3" t="n"/>
      <c r="B68" s="3" t="n"/>
      <c r="C68" s="3" t="n"/>
      <c r="D68" s="3" t="n"/>
      <c r="E68" s="3" t="n"/>
      <c r="F68" s="3" t="n"/>
      <c r="G68" s="4" t="n"/>
      <c r="H68" s="4" t="n"/>
      <c r="I68" s="3" t="inlineStr">
        <is>
          <t>kg</t>
        </is>
      </c>
      <c r="J68" s="4" t="n"/>
      <c r="K68" s="3" t="inlineStr">
        <is>
          <t>kg</t>
        </is>
      </c>
      <c r="L68" s="3" t="n"/>
      <c r="M68" s="5" t="n"/>
      <c r="N68" s="6" t="n"/>
      <c r="O68" s="3" t="inlineStr">
        <is>
          <t>kgCO2e/product</t>
        </is>
      </c>
      <c r="P68" s="7" t="n"/>
      <c r="Q68" s="4" t="n"/>
      <c r="R68" s="8" t="n"/>
      <c r="S68" s="3" t="inlineStr">
        <is>
          <t>Supplier</t>
        </is>
      </c>
      <c r="T68" s="3" t="inlineStr">
        <is>
          <t>No</t>
        </is>
      </c>
      <c r="U68" s="5" t="n"/>
      <c r="V68" s="3" t="n"/>
      <c r="W68" s="3" t="n"/>
      <c r="X68" s="6" t="n"/>
      <c r="Y68" s="3" t="inlineStr">
        <is>
          <t>kgCO2e/product</t>
        </is>
      </c>
      <c r="Z68" s="3" t="n"/>
      <c r="AA68" s="7" t="n"/>
      <c r="AB68" s="3" t="n"/>
      <c r="AC68" s="3" t="n"/>
      <c r="AD68" s="6" t="n"/>
      <c r="AE68" s="3" t="inlineStr">
        <is>
          <t>kgCO2e/product</t>
        </is>
      </c>
      <c r="AF68" s="3" t="n"/>
      <c r="AG68" s="7" t="n">
        <v>0</v>
      </c>
      <c r="AH68" s="3" t="n"/>
      <c r="AI68" s="3" t="n"/>
      <c r="AJ68" s="3" t="n"/>
      <c r="AK68" s="4">
        <f>IF(COUNT(AH68,AI68,AJ68)=0,"",ROUND(AVERAGE(AH68,AI68,AJ68),3))</f>
        <v/>
      </c>
      <c r="AL68" s="3">
        <f>IF(X68="","",ROUND(X68*IF(H68="",0,H68)*(1+IF(AA68="",0,AA68)),5))</f>
        <v/>
      </c>
      <c r="AM68" s="3" t="inlineStr">
        <is>
          <t>kgCO2e/product</t>
        </is>
      </c>
      <c r="AN68" s="5" t="n"/>
      <c r="AO68" s="9">
        <f>IF(AND($A68&lt;&gt;"",E68=""),"Supplier code empty (High);","")&amp;IF(AND(P68&lt;&gt;"",OR(P68&gt;1,P68&lt;0)),"Incorrect PDS value (High);",IF(AND(P68&lt;&gt;"",P68&gt;0.5),"High PDS value (Medium);",""))&amp;IF(AND(Q68&lt;&gt;"",OR(Q68&gt;5,Q68&lt;1)),"Incorrect DQR value (High);","")&amp;IF(AND(N68&lt;&gt;"",OR(N68&lt;=0,N68&gt;100)),"Unusual PCF value might be wrong (High);","")&amp;IF(AND(AG68&lt;&gt;"",OR(AG68&gt;1,AG68&lt;0)),"Incorrect PDS value (High);",IF(AND(AG68&lt;&gt;"",AG68&gt;0.5),"High PDS value (Medium);",""))&amp;IF(AND(AK68&lt;&gt;"",OR(AK68&gt;5,AK68&lt;1)),"Incorrect DQR value (High);","")&amp;IF(AND(AA68&lt;&gt;"",OR(AA68&gt;1,AA68&lt;0)),"Incorrect scrap rate (High);",IF(AND(AA68&lt;&gt;"",AA68&gt;0.2),"High scrap rate (Medium);",IF(AND($A68&lt;&gt;"",AA68=0),"No scrap rate (No impact);","")))&amp;""</f>
        <v/>
      </c>
      <c r="AP68" s="9" t="n"/>
    </row>
    <row r="69">
      <c r="A69" s="3" t="n"/>
      <c r="B69" s="3" t="n"/>
      <c r="C69" s="3" t="n"/>
      <c r="D69" s="3" t="n"/>
      <c r="E69" s="3" t="n"/>
      <c r="F69" s="3" t="n"/>
      <c r="G69" s="4" t="n"/>
      <c r="H69" s="4" t="n"/>
      <c r="I69" s="3" t="inlineStr">
        <is>
          <t>kg</t>
        </is>
      </c>
      <c r="J69" s="4" t="n"/>
      <c r="K69" s="3" t="inlineStr">
        <is>
          <t>kg</t>
        </is>
      </c>
      <c r="L69" s="3" t="n"/>
      <c r="M69" s="5" t="n"/>
      <c r="N69" s="6" t="n"/>
      <c r="O69" s="3" t="inlineStr">
        <is>
          <t>kgCO2e/product</t>
        </is>
      </c>
      <c r="P69" s="7" t="n"/>
      <c r="Q69" s="4" t="n"/>
      <c r="R69" s="8" t="n"/>
      <c r="S69" s="3" t="inlineStr">
        <is>
          <t>Supplier</t>
        </is>
      </c>
      <c r="T69" s="3" t="inlineStr">
        <is>
          <t>No</t>
        </is>
      </c>
      <c r="U69" s="5" t="n"/>
      <c r="V69" s="3" t="n"/>
      <c r="W69" s="3" t="n"/>
      <c r="X69" s="6" t="n"/>
      <c r="Y69" s="3" t="inlineStr">
        <is>
          <t>kgCO2e/product</t>
        </is>
      </c>
      <c r="Z69" s="3" t="n"/>
      <c r="AA69" s="7" t="n"/>
      <c r="AB69" s="3" t="n"/>
      <c r="AC69" s="3" t="n"/>
      <c r="AD69" s="6" t="n"/>
      <c r="AE69" s="3" t="inlineStr">
        <is>
          <t>kgCO2e/product</t>
        </is>
      </c>
      <c r="AF69" s="3" t="n"/>
      <c r="AG69" s="7" t="n">
        <v>0</v>
      </c>
      <c r="AH69" s="3" t="n"/>
      <c r="AI69" s="3" t="n"/>
      <c r="AJ69" s="3" t="n"/>
      <c r="AK69" s="4">
        <f>IF(COUNT(AH69,AI69,AJ69)=0,"",ROUND(AVERAGE(AH69,AI69,AJ69),3))</f>
        <v/>
      </c>
      <c r="AL69" s="3">
        <f>IF(X69="","",ROUND(X69*IF(H69="",0,H69)*(1+IF(AA69="",0,AA69)),5))</f>
        <v/>
      </c>
      <c r="AM69" s="3" t="inlineStr">
        <is>
          <t>kgCO2e/product</t>
        </is>
      </c>
      <c r="AN69" s="5" t="n"/>
      <c r="AO69" s="9">
        <f>IF(AND($A69&lt;&gt;"",E69=""),"Supplier code empty (High);","")&amp;IF(AND(P69&lt;&gt;"",OR(P69&gt;1,P69&lt;0)),"Incorrect PDS value (High);",IF(AND(P69&lt;&gt;"",P69&gt;0.5),"High PDS value (Medium);",""))&amp;IF(AND(Q69&lt;&gt;"",OR(Q69&gt;5,Q69&lt;1)),"Incorrect DQR value (High);","")&amp;IF(AND(N69&lt;&gt;"",OR(N69&lt;=0,N69&gt;100)),"Unusual PCF value might be wrong (High);","")&amp;IF(AND(AG69&lt;&gt;"",OR(AG69&gt;1,AG69&lt;0)),"Incorrect PDS value (High);",IF(AND(AG69&lt;&gt;"",AG69&gt;0.5),"High PDS value (Medium);",""))&amp;IF(AND(AK69&lt;&gt;"",OR(AK69&gt;5,AK69&lt;1)),"Incorrect DQR value (High);","")&amp;IF(AND(AA69&lt;&gt;"",OR(AA69&gt;1,AA69&lt;0)),"Incorrect scrap rate (High);",IF(AND(AA69&lt;&gt;"",AA69&gt;0.2),"High scrap rate (Medium);",IF(AND($A69&lt;&gt;"",AA69=0),"No scrap rate (No impact);","")))&amp;""</f>
        <v/>
      </c>
      <c r="AP69" s="9" t="n"/>
    </row>
    <row r="70">
      <c r="A70" s="3" t="n"/>
      <c r="B70" s="3" t="n"/>
      <c r="C70" s="3" t="n"/>
      <c r="D70" s="3" t="n"/>
      <c r="E70" s="3" t="n"/>
      <c r="F70" s="3" t="n"/>
      <c r="G70" s="4" t="n"/>
      <c r="H70" s="4" t="n"/>
      <c r="I70" s="3" t="inlineStr">
        <is>
          <t>kg</t>
        </is>
      </c>
      <c r="J70" s="4" t="n"/>
      <c r="K70" s="3" t="inlineStr">
        <is>
          <t>kg</t>
        </is>
      </c>
      <c r="L70" s="3" t="n"/>
      <c r="M70" s="5" t="n"/>
      <c r="N70" s="6" t="n"/>
      <c r="O70" s="3" t="inlineStr">
        <is>
          <t>kgCO2e/product</t>
        </is>
      </c>
      <c r="P70" s="7" t="n"/>
      <c r="Q70" s="4" t="n"/>
      <c r="R70" s="8" t="n"/>
      <c r="S70" s="3" t="inlineStr">
        <is>
          <t>Supplier</t>
        </is>
      </c>
      <c r="T70" s="3" t="inlineStr">
        <is>
          <t>No</t>
        </is>
      </c>
      <c r="U70" s="5" t="n"/>
      <c r="V70" s="3" t="n"/>
      <c r="W70" s="3" t="n"/>
      <c r="X70" s="6" t="n"/>
      <c r="Y70" s="3" t="inlineStr">
        <is>
          <t>kgCO2e/product</t>
        </is>
      </c>
      <c r="Z70" s="3" t="n"/>
      <c r="AA70" s="7" t="n"/>
      <c r="AB70" s="3" t="n"/>
      <c r="AC70" s="3" t="n"/>
      <c r="AD70" s="6" t="n"/>
      <c r="AE70" s="3" t="inlineStr">
        <is>
          <t>kgCO2e/product</t>
        </is>
      </c>
      <c r="AF70" s="3" t="n"/>
      <c r="AG70" s="7" t="n">
        <v>0</v>
      </c>
      <c r="AH70" s="3" t="n"/>
      <c r="AI70" s="3" t="n"/>
      <c r="AJ70" s="3" t="n"/>
      <c r="AK70" s="4">
        <f>IF(COUNT(AH70,AI70,AJ70)=0,"",ROUND(AVERAGE(AH70,AI70,AJ70),3))</f>
        <v/>
      </c>
      <c r="AL70" s="3">
        <f>IF(X70="","",ROUND(X70*IF(H70="",0,H70)*(1+IF(AA70="",0,AA70)),5))</f>
        <v/>
      </c>
      <c r="AM70" s="3" t="inlineStr">
        <is>
          <t>kgCO2e/product</t>
        </is>
      </c>
      <c r="AN70" s="5" t="n"/>
      <c r="AO70" s="9">
        <f>IF(AND($A70&lt;&gt;"",E70=""),"Supplier code empty (High);","")&amp;IF(AND(P70&lt;&gt;"",OR(P70&gt;1,P70&lt;0)),"Incorrect PDS value (High);",IF(AND(P70&lt;&gt;"",P70&gt;0.5),"High PDS value (Medium);",""))&amp;IF(AND(Q70&lt;&gt;"",OR(Q70&gt;5,Q70&lt;1)),"Incorrect DQR value (High);","")&amp;IF(AND(N70&lt;&gt;"",OR(N70&lt;=0,N70&gt;100)),"Unusual PCF value might be wrong (High);","")&amp;IF(AND(AG70&lt;&gt;"",OR(AG70&gt;1,AG70&lt;0)),"Incorrect PDS value (High);",IF(AND(AG70&lt;&gt;"",AG70&gt;0.5),"High PDS value (Medium);",""))&amp;IF(AND(AK70&lt;&gt;"",OR(AK70&gt;5,AK70&lt;1)),"Incorrect DQR value (High);","")&amp;IF(AND(AA70&lt;&gt;"",OR(AA70&gt;1,AA70&lt;0)),"Incorrect scrap rate (High);",IF(AND(AA70&lt;&gt;"",AA70&gt;0.2),"High scrap rate (Medium);",IF(AND($A70&lt;&gt;"",AA70=0),"No scrap rate (No impact);","")))&amp;""</f>
        <v/>
      </c>
      <c r="AP70" s="9" t="n"/>
    </row>
    <row r="71">
      <c r="A71" s="3" t="n"/>
      <c r="B71" s="3" t="n"/>
      <c r="C71" s="3" t="n"/>
      <c r="D71" s="3" t="n"/>
      <c r="E71" s="3" t="n"/>
      <c r="F71" s="3" t="n"/>
      <c r="G71" s="4" t="n"/>
      <c r="H71" s="4" t="n"/>
      <c r="I71" s="3" t="inlineStr">
        <is>
          <t>kg</t>
        </is>
      </c>
      <c r="J71" s="4" t="n"/>
      <c r="K71" s="3" t="inlineStr">
        <is>
          <t>kg</t>
        </is>
      </c>
      <c r="L71" s="3" t="n"/>
      <c r="M71" s="5" t="n"/>
      <c r="N71" s="6" t="n"/>
      <c r="O71" s="3" t="inlineStr">
        <is>
          <t>kgCO2e/product</t>
        </is>
      </c>
      <c r="P71" s="7" t="n"/>
      <c r="Q71" s="4" t="n"/>
      <c r="R71" s="8" t="n"/>
      <c r="S71" s="3" t="inlineStr">
        <is>
          <t>Supplier</t>
        </is>
      </c>
      <c r="T71" s="3" t="inlineStr">
        <is>
          <t>No</t>
        </is>
      </c>
      <c r="U71" s="5" t="n"/>
      <c r="V71" s="3" t="n"/>
      <c r="W71" s="3" t="n"/>
      <c r="X71" s="6" t="n"/>
      <c r="Y71" s="3" t="inlineStr">
        <is>
          <t>kgCO2e/product</t>
        </is>
      </c>
      <c r="Z71" s="3" t="n"/>
      <c r="AA71" s="7" t="n"/>
      <c r="AB71" s="3" t="n"/>
      <c r="AC71" s="3" t="n"/>
      <c r="AD71" s="6" t="n"/>
      <c r="AE71" s="3" t="inlineStr">
        <is>
          <t>kgCO2e/product</t>
        </is>
      </c>
      <c r="AF71" s="3" t="n"/>
      <c r="AG71" s="7" t="n">
        <v>0</v>
      </c>
      <c r="AH71" s="3" t="n"/>
      <c r="AI71" s="3" t="n"/>
      <c r="AJ71" s="3" t="n"/>
      <c r="AK71" s="4">
        <f>IF(COUNT(AH71,AI71,AJ71)=0,"",ROUND(AVERAGE(AH71,AI71,AJ71),3))</f>
        <v/>
      </c>
      <c r="AL71" s="3">
        <f>IF(X71="","",ROUND(X71*IF(H71="",0,H71)*(1+IF(AA71="",0,AA71)),5))</f>
        <v/>
      </c>
      <c r="AM71" s="3" t="inlineStr">
        <is>
          <t>kgCO2e/product</t>
        </is>
      </c>
      <c r="AN71" s="5" t="n"/>
      <c r="AO71" s="9">
        <f>IF(AND($A71&lt;&gt;"",E71=""),"Supplier code empty (High);","")&amp;IF(AND(P71&lt;&gt;"",OR(P71&gt;1,P71&lt;0)),"Incorrect PDS value (High);",IF(AND(P71&lt;&gt;"",P71&gt;0.5),"High PDS value (Medium);",""))&amp;IF(AND(Q71&lt;&gt;"",OR(Q71&gt;5,Q71&lt;1)),"Incorrect DQR value (High);","")&amp;IF(AND(N71&lt;&gt;"",OR(N71&lt;=0,N71&gt;100)),"Unusual PCF value might be wrong (High);","")&amp;IF(AND(AG71&lt;&gt;"",OR(AG71&gt;1,AG71&lt;0)),"Incorrect PDS value (High);",IF(AND(AG71&lt;&gt;"",AG71&gt;0.5),"High PDS value (Medium);",""))&amp;IF(AND(AK71&lt;&gt;"",OR(AK71&gt;5,AK71&lt;1)),"Incorrect DQR value (High);","")&amp;IF(AND(AA71&lt;&gt;"",OR(AA71&gt;1,AA71&lt;0)),"Incorrect scrap rate (High);",IF(AND(AA71&lt;&gt;"",AA71&gt;0.2),"High scrap rate (Medium);",IF(AND($A71&lt;&gt;"",AA71=0),"No scrap rate (No impact);","")))&amp;""</f>
        <v/>
      </c>
      <c r="AP71" s="9" t="n"/>
    </row>
    <row r="72">
      <c r="A72" s="3" t="n"/>
      <c r="B72" s="3" t="n"/>
      <c r="C72" s="3" t="n"/>
      <c r="D72" s="3" t="n"/>
      <c r="E72" s="3" t="n"/>
      <c r="F72" s="3" t="n"/>
      <c r="G72" s="4" t="n"/>
      <c r="H72" s="4" t="n"/>
      <c r="I72" s="3" t="inlineStr">
        <is>
          <t>kg</t>
        </is>
      </c>
      <c r="J72" s="4" t="n"/>
      <c r="K72" s="3" t="inlineStr">
        <is>
          <t>kg</t>
        </is>
      </c>
      <c r="L72" s="3" t="n"/>
      <c r="M72" s="5" t="n"/>
      <c r="N72" s="6" t="n"/>
      <c r="O72" s="3" t="inlineStr">
        <is>
          <t>kgCO2e/product</t>
        </is>
      </c>
      <c r="P72" s="7" t="n"/>
      <c r="Q72" s="4" t="n"/>
      <c r="R72" s="8" t="n"/>
      <c r="S72" s="3" t="inlineStr">
        <is>
          <t>Supplier</t>
        </is>
      </c>
      <c r="T72" s="3" t="inlineStr">
        <is>
          <t>No</t>
        </is>
      </c>
      <c r="U72" s="5" t="n"/>
      <c r="V72" s="3" t="n"/>
      <c r="W72" s="3" t="n"/>
      <c r="X72" s="6" t="n"/>
      <c r="Y72" s="3" t="inlineStr">
        <is>
          <t>kgCO2e/product</t>
        </is>
      </c>
      <c r="Z72" s="3" t="n"/>
      <c r="AA72" s="7" t="n"/>
      <c r="AB72" s="3" t="n"/>
      <c r="AC72" s="3" t="n"/>
      <c r="AD72" s="6" t="n"/>
      <c r="AE72" s="3" t="inlineStr">
        <is>
          <t>kgCO2e/product</t>
        </is>
      </c>
      <c r="AF72" s="3" t="n"/>
      <c r="AG72" s="7" t="n">
        <v>0</v>
      </c>
      <c r="AH72" s="3" t="n"/>
      <c r="AI72" s="3" t="n"/>
      <c r="AJ72" s="3" t="n"/>
      <c r="AK72" s="4">
        <f>IF(COUNT(AH72,AI72,AJ72)=0,"",ROUND(AVERAGE(AH72,AI72,AJ72),3))</f>
        <v/>
      </c>
      <c r="AL72" s="3">
        <f>IF(X72="","",ROUND(X72*IF(H72="",0,H72)*(1+IF(AA72="",0,AA72)),5))</f>
        <v/>
      </c>
      <c r="AM72" s="3" t="inlineStr">
        <is>
          <t>kgCO2e/product</t>
        </is>
      </c>
      <c r="AN72" s="5" t="n"/>
      <c r="AO72" s="9">
        <f>IF(AND($A72&lt;&gt;"",E72=""),"Supplier code empty (High);","")&amp;IF(AND(P72&lt;&gt;"",OR(P72&gt;1,P72&lt;0)),"Incorrect PDS value (High);",IF(AND(P72&lt;&gt;"",P72&gt;0.5),"High PDS value (Medium);",""))&amp;IF(AND(Q72&lt;&gt;"",OR(Q72&gt;5,Q72&lt;1)),"Incorrect DQR value (High);","")&amp;IF(AND(N72&lt;&gt;"",OR(N72&lt;=0,N72&gt;100)),"Unusual PCF value might be wrong (High);","")&amp;IF(AND(AG72&lt;&gt;"",OR(AG72&gt;1,AG72&lt;0)),"Incorrect PDS value (High);",IF(AND(AG72&lt;&gt;"",AG72&gt;0.5),"High PDS value (Medium);",""))&amp;IF(AND(AK72&lt;&gt;"",OR(AK72&gt;5,AK72&lt;1)),"Incorrect DQR value (High);","")&amp;IF(AND(AA72&lt;&gt;"",OR(AA72&gt;1,AA72&lt;0)),"Incorrect scrap rate (High);",IF(AND(AA72&lt;&gt;"",AA72&gt;0.2),"High scrap rate (Medium);",IF(AND($A72&lt;&gt;"",AA72=0),"No scrap rate (No impact);","")))&amp;""</f>
        <v/>
      </c>
      <c r="AP72" s="9" t="n"/>
    </row>
    <row r="73">
      <c r="A73" s="3" t="n"/>
      <c r="B73" s="3" t="n"/>
      <c r="C73" s="3" t="n"/>
      <c r="D73" s="3" t="n"/>
      <c r="E73" s="3" t="n"/>
      <c r="F73" s="3" t="n"/>
      <c r="G73" s="4" t="n"/>
      <c r="H73" s="4" t="n"/>
      <c r="I73" s="3" t="inlineStr">
        <is>
          <t>kg</t>
        </is>
      </c>
      <c r="J73" s="4" t="n"/>
      <c r="K73" s="3" t="inlineStr">
        <is>
          <t>kg</t>
        </is>
      </c>
      <c r="L73" s="3" t="n"/>
      <c r="M73" s="5" t="n"/>
      <c r="N73" s="6" t="n"/>
      <c r="O73" s="3" t="inlineStr">
        <is>
          <t>kgCO2e/product</t>
        </is>
      </c>
      <c r="P73" s="7" t="n"/>
      <c r="Q73" s="4" t="n"/>
      <c r="R73" s="8" t="n"/>
      <c r="S73" s="3" t="inlineStr">
        <is>
          <t>Supplier</t>
        </is>
      </c>
      <c r="T73" s="3" t="inlineStr">
        <is>
          <t>No</t>
        </is>
      </c>
      <c r="U73" s="5" t="n"/>
      <c r="V73" s="3" t="n"/>
      <c r="W73" s="3" t="n"/>
      <c r="X73" s="6" t="n"/>
      <c r="Y73" s="3" t="inlineStr">
        <is>
          <t>kgCO2e/product</t>
        </is>
      </c>
      <c r="Z73" s="3" t="n"/>
      <c r="AA73" s="7" t="n"/>
      <c r="AB73" s="3" t="n"/>
      <c r="AC73" s="3" t="n"/>
      <c r="AD73" s="6" t="n"/>
      <c r="AE73" s="3" t="inlineStr">
        <is>
          <t>kgCO2e/product</t>
        </is>
      </c>
      <c r="AF73" s="3" t="n"/>
      <c r="AG73" s="7" t="n">
        <v>0</v>
      </c>
      <c r="AH73" s="3" t="n"/>
      <c r="AI73" s="3" t="n"/>
      <c r="AJ73" s="3" t="n"/>
      <c r="AK73" s="4">
        <f>IF(COUNT(AH73,AI73,AJ73)=0,"",ROUND(AVERAGE(AH73,AI73,AJ73),3))</f>
        <v/>
      </c>
      <c r="AL73" s="3">
        <f>IF(X73="","",ROUND(X73*IF(H73="",0,H73)*(1+IF(AA73="",0,AA73)),5))</f>
        <v/>
      </c>
      <c r="AM73" s="3" t="inlineStr">
        <is>
          <t>kgCO2e/product</t>
        </is>
      </c>
      <c r="AN73" s="5" t="n"/>
      <c r="AO73" s="9">
        <f>IF(AND($A73&lt;&gt;"",E73=""),"Supplier code empty (High);","")&amp;IF(AND(P73&lt;&gt;"",OR(P73&gt;1,P73&lt;0)),"Incorrect PDS value (High);",IF(AND(P73&lt;&gt;"",P73&gt;0.5),"High PDS value (Medium);",""))&amp;IF(AND(Q73&lt;&gt;"",OR(Q73&gt;5,Q73&lt;1)),"Incorrect DQR value (High);","")&amp;IF(AND(N73&lt;&gt;"",OR(N73&lt;=0,N73&gt;100)),"Unusual PCF value might be wrong (High);","")&amp;IF(AND(AG73&lt;&gt;"",OR(AG73&gt;1,AG73&lt;0)),"Incorrect PDS value (High);",IF(AND(AG73&lt;&gt;"",AG73&gt;0.5),"High PDS value (Medium);",""))&amp;IF(AND(AK73&lt;&gt;"",OR(AK73&gt;5,AK73&lt;1)),"Incorrect DQR value (High);","")&amp;IF(AND(AA73&lt;&gt;"",OR(AA73&gt;1,AA73&lt;0)),"Incorrect scrap rate (High);",IF(AND(AA73&lt;&gt;"",AA73&gt;0.2),"High scrap rate (Medium);",IF(AND($A73&lt;&gt;"",AA73=0),"No scrap rate (No impact);","")))&amp;""</f>
        <v/>
      </c>
      <c r="AP73" s="9" t="n"/>
    </row>
    <row r="74">
      <c r="A74" s="3" t="n"/>
      <c r="B74" s="3" t="n"/>
      <c r="C74" s="3" t="n"/>
      <c r="D74" s="3" t="n"/>
      <c r="E74" s="3" t="n"/>
      <c r="F74" s="3" t="n"/>
      <c r="G74" s="4" t="n"/>
      <c r="H74" s="4" t="n"/>
      <c r="I74" s="3" t="inlineStr">
        <is>
          <t>kg</t>
        </is>
      </c>
      <c r="J74" s="4" t="n"/>
      <c r="K74" s="3" t="inlineStr">
        <is>
          <t>kg</t>
        </is>
      </c>
      <c r="L74" s="3" t="n"/>
      <c r="M74" s="5" t="n"/>
      <c r="N74" s="6" t="n"/>
      <c r="O74" s="3" t="inlineStr">
        <is>
          <t>kgCO2e/product</t>
        </is>
      </c>
      <c r="P74" s="7" t="n"/>
      <c r="Q74" s="4" t="n"/>
      <c r="R74" s="8" t="n"/>
      <c r="S74" s="3" t="inlineStr">
        <is>
          <t>Supplier</t>
        </is>
      </c>
      <c r="T74" s="3" t="inlineStr">
        <is>
          <t>No</t>
        </is>
      </c>
      <c r="U74" s="5" t="n"/>
      <c r="V74" s="3" t="n"/>
      <c r="W74" s="3" t="n"/>
      <c r="X74" s="6" t="n"/>
      <c r="Y74" s="3" t="inlineStr">
        <is>
          <t>kgCO2e/product</t>
        </is>
      </c>
      <c r="Z74" s="3" t="n"/>
      <c r="AA74" s="7" t="n"/>
      <c r="AB74" s="3" t="n"/>
      <c r="AC74" s="3" t="n"/>
      <c r="AD74" s="6" t="n"/>
      <c r="AE74" s="3" t="inlineStr">
        <is>
          <t>kgCO2e/product</t>
        </is>
      </c>
      <c r="AF74" s="3" t="n"/>
      <c r="AG74" s="7" t="n">
        <v>0</v>
      </c>
      <c r="AH74" s="3" t="n"/>
      <c r="AI74" s="3" t="n"/>
      <c r="AJ74" s="3" t="n"/>
      <c r="AK74" s="4">
        <f>IF(COUNT(AH74,AI74,AJ74)=0,"",ROUND(AVERAGE(AH74,AI74,AJ74),3))</f>
        <v/>
      </c>
      <c r="AL74" s="3">
        <f>IF(X74="","",ROUND(X74*IF(H74="",0,H74)*(1+IF(AA74="",0,AA74)),5))</f>
        <v/>
      </c>
      <c r="AM74" s="3" t="inlineStr">
        <is>
          <t>kgCO2e/product</t>
        </is>
      </c>
      <c r="AN74" s="5" t="n"/>
      <c r="AO74" s="9">
        <f>IF(AND($A74&lt;&gt;"",E74=""),"Supplier code empty (High);","")&amp;IF(AND(P74&lt;&gt;"",OR(P74&gt;1,P74&lt;0)),"Incorrect PDS value (High);",IF(AND(P74&lt;&gt;"",P74&gt;0.5),"High PDS value (Medium);",""))&amp;IF(AND(Q74&lt;&gt;"",OR(Q74&gt;5,Q74&lt;1)),"Incorrect DQR value (High);","")&amp;IF(AND(N74&lt;&gt;"",OR(N74&lt;=0,N74&gt;100)),"Unusual PCF value might be wrong (High);","")&amp;IF(AND(AG74&lt;&gt;"",OR(AG74&gt;1,AG74&lt;0)),"Incorrect PDS value (High);",IF(AND(AG74&lt;&gt;"",AG74&gt;0.5),"High PDS value (Medium);",""))&amp;IF(AND(AK74&lt;&gt;"",OR(AK74&gt;5,AK74&lt;1)),"Incorrect DQR value (High);","")&amp;IF(AND(AA74&lt;&gt;"",OR(AA74&gt;1,AA74&lt;0)),"Incorrect scrap rate (High);",IF(AND(AA74&lt;&gt;"",AA74&gt;0.2),"High scrap rate (Medium);",IF(AND($A74&lt;&gt;"",AA74=0),"No scrap rate (No impact);","")))&amp;""</f>
        <v/>
      </c>
      <c r="AP74" s="9" t="n"/>
    </row>
    <row r="75">
      <c r="A75" s="3" t="n"/>
      <c r="B75" s="3" t="n"/>
      <c r="C75" s="3" t="n"/>
      <c r="D75" s="3" t="n"/>
      <c r="E75" s="3" t="n"/>
      <c r="F75" s="3" t="n"/>
      <c r="G75" s="4" t="n"/>
      <c r="H75" s="4" t="n"/>
      <c r="I75" s="3" t="inlineStr">
        <is>
          <t>kg</t>
        </is>
      </c>
      <c r="J75" s="4" t="n"/>
      <c r="K75" s="3" t="inlineStr">
        <is>
          <t>kg</t>
        </is>
      </c>
      <c r="L75" s="3" t="n"/>
      <c r="M75" s="5" t="n"/>
      <c r="N75" s="6" t="n"/>
      <c r="O75" s="3" t="inlineStr">
        <is>
          <t>kgCO2e/product</t>
        </is>
      </c>
      <c r="P75" s="7" t="n"/>
      <c r="Q75" s="4" t="n"/>
      <c r="R75" s="8" t="n"/>
      <c r="S75" s="3" t="inlineStr">
        <is>
          <t>Supplier</t>
        </is>
      </c>
      <c r="T75" s="3" t="inlineStr">
        <is>
          <t>No</t>
        </is>
      </c>
      <c r="U75" s="5" t="n"/>
      <c r="V75" s="3" t="n"/>
      <c r="W75" s="3" t="n"/>
      <c r="X75" s="6" t="n"/>
      <c r="Y75" s="3" t="inlineStr">
        <is>
          <t>kgCO2e/product</t>
        </is>
      </c>
      <c r="Z75" s="3" t="n"/>
      <c r="AA75" s="7" t="n"/>
      <c r="AB75" s="3" t="n"/>
      <c r="AC75" s="3" t="n"/>
      <c r="AD75" s="6" t="n"/>
      <c r="AE75" s="3" t="inlineStr">
        <is>
          <t>kgCO2e/product</t>
        </is>
      </c>
      <c r="AF75" s="3" t="n"/>
      <c r="AG75" s="7" t="n">
        <v>0</v>
      </c>
      <c r="AH75" s="3" t="n"/>
      <c r="AI75" s="3" t="n"/>
      <c r="AJ75" s="3" t="n"/>
      <c r="AK75" s="4">
        <f>IF(COUNT(AH75,AI75,AJ75)=0,"",ROUND(AVERAGE(AH75,AI75,AJ75),3))</f>
        <v/>
      </c>
      <c r="AL75" s="3">
        <f>IF(X75="","",ROUND(X75*IF(H75="",0,H75)*(1+IF(AA75="",0,AA75)),5))</f>
        <v/>
      </c>
      <c r="AM75" s="3" t="inlineStr">
        <is>
          <t>kgCO2e/product</t>
        </is>
      </c>
      <c r="AN75" s="5" t="n"/>
      <c r="AO75" s="9">
        <f>IF(AND($A75&lt;&gt;"",E75=""),"Supplier code empty (High);","")&amp;IF(AND(P75&lt;&gt;"",OR(P75&gt;1,P75&lt;0)),"Incorrect PDS value (High);",IF(AND(P75&lt;&gt;"",P75&gt;0.5),"High PDS value (Medium);",""))&amp;IF(AND(Q75&lt;&gt;"",OR(Q75&gt;5,Q75&lt;1)),"Incorrect DQR value (High);","")&amp;IF(AND(N75&lt;&gt;"",OR(N75&lt;=0,N75&gt;100)),"Unusual PCF value might be wrong (High);","")&amp;IF(AND(AG75&lt;&gt;"",OR(AG75&gt;1,AG75&lt;0)),"Incorrect PDS value (High);",IF(AND(AG75&lt;&gt;"",AG75&gt;0.5),"High PDS value (Medium);",""))&amp;IF(AND(AK75&lt;&gt;"",OR(AK75&gt;5,AK75&lt;1)),"Incorrect DQR value (High);","")&amp;IF(AND(AA75&lt;&gt;"",OR(AA75&gt;1,AA75&lt;0)),"Incorrect scrap rate (High);",IF(AND(AA75&lt;&gt;"",AA75&gt;0.2),"High scrap rate (Medium);",IF(AND($A75&lt;&gt;"",AA75=0),"No scrap rate (No impact);","")))&amp;""</f>
        <v/>
      </c>
      <c r="AP75" s="9" t="n"/>
    </row>
    <row r="76">
      <c r="A76" s="3" t="n"/>
      <c r="B76" s="3" t="n"/>
      <c r="C76" s="3" t="n"/>
      <c r="D76" s="3" t="n"/>
      <c r="E76" s="3" t="n"/>
      <c r="F76" s="3" t="n"/>
      <c r="G76" s="4" t="n"/>
      <c r="H76" s="4" t="n"/>
      <c r="I76" s="3" t="inlineStr">
        <is>
          <t>kg</t>
        </is>
      </c>
      <c r="J76" s="4" t="n"/>
      <c r="K76" s="3" t="inlineStr">
        <is>
          <t>kg</t>
        </is>
      </c>
      <c r="L76" s="3" t="n"/>
      <c r="M76" s="5" t="n"/>
      <c r="N76" s="6" t="n"/>
      <c r="O76" s="3" t="inlineStr">
        <is>
          <t>kgCO2e/product</t>
        </is>
      </c>
      <c r="P76" s="7" t="n"/>
      <c r="Q76" s="4" t="n"/>
      <c r="R76" s="8" t="n"/>
      <c r="S76" s="3" t="inlineStr">
        <is>
          <t>Supplier</t>
        </is>
      </c>
      <c r="T76" s="3" t="inlineStr">
        <is>
          <t>No</t>
        </is>
      </c>
      <c r="U76" s="5" t="n"/>
      <c r="V76" s="3" t="n"/>
      <c r="W76" s="3" t="n"/>
      <c r="X76" s="6" t="n"/>
      <c r="Y76" s="3" t="inlineStr">
        <is>
          <t>kgCO2e/product</t>
        </is>
      </c>
      <c r="Z76" s="3" t="n"/>
      <c r="AA76" s="7" t="n"/>
      <c r="AB76" s="3" t="n"/>
      <c r="AC76" s="3" t="n"/>
      <c r="AD76" s="6" t="n"/>
      <c r="AE76" s="3" t="inlineStr">
        <is>
          <t>kgCO2e/product</t>
        </is>
      </c>
      <c r="AF76" s="3" t="n"/>
      <c r="AG76" s="7" t="n">
        <v>0</v>
      </c>
      <c r="AH76" s="3" t="n"/>
      <c r="AI76" s="3" t="n"/>
      <c r="AJ76" s="3" t="n"/>
      <c r="AK76" s="4">
        <f>IF(COUNT(AH76,AI76,AJ76)=0,"",ROUND(AVERAGE(AH76,AI76,AJ76),3))</f>
        <v/>
      </c>
      <c r="AL76" s="3">
        <f>IF(X76="","",ROUND(X76*IF(H76="",0,H76)*(1+IF(AA76="",0,AA76)),5))</f>
        <v/>
      </c>
      <c r="AM76" s="3" t="inlineStr">
        <is>
          <t>kgCO2e/product</t>
        </is>
      </c>
      <c r="AN76" s="5" t="n"/>
      <c r="AO76" s="9">
        <f>IF(AND($A76&lt;&gt;"",E76=""),"Supplier code empty (High);","")&amp;IF(AND(P76&lt;&gt;"",OR(P76&gt;1,P76&lt;0)),"Incorrect PDS value (High);",IF(AND(P76&lt;&gt;"",P76&gt;0.5),"High PDS value (Medium);",""))&amp;IF(AND(Q76&lt;&gt;"",OR(Q76&gt;5,Q76&lt;1)),"Incorrect DQR value (High);","")&amp;IF(AND(N76&lt;&gt;"",OR(N76&lt;=0,N76&gt;100)),"Unusual PCF value might be wrong (High);","")&amp;IF(AND(AG76&lt;&gt;"",OR(AG76&gt;1,AG76&lt;0)),"Incorrect PDS value (High);",IF(AND(AG76&lt;&gt;"",AG76&gt;0.5),"High PDS value (Medium);",""))&amp;IF(AND(AK76&lt;&gt;"",OR(AK76&gt;5,AK76&lt;1)),"Incorrect DQR value (High);","")&amp;IF(AND(AA76&lt;&gt;"",OR(AA76&gt;1,AA76&lt;0)),"Incorrect scrap rate (High);",IF(AND(AA76&lt;&gt;"",AA76&gt;0.2),"High scrap rate (Medium);",IF(AND($A76&lt;&gt;"",AA76=0),"No scrap rate (No impact);","")))&amp;""</f>
        <v/>
      </c>
      <c r="AP76" s="9" t="n"/>
    </row>
    <row r="77">
      <c r="A77" s="3" t="n"/>
      <c r="B77" s="3" t="n"/>
      <c r="C77" s="3" t="n"/>
      <c r="D77" s="3" t="n"/>
      <c r="E77" s="3" t="n"/>
      <c r="F77" s="3" t="n"/>
      <c r="G77" s="4" t="n"/>
      <c r="H77" s="4" t="n"/>
      <c r="I77" s="3" t="inlineStr">
        <is>
          <t>kg</t>
        </is>
      </c>
      <c r="J77" s="4" t="n"/>
      <c r="K77" s="3" t="inlineStr">
        <is>
          <t>kg</t>
        </is>
      </c>
      <c r="L77" s="3" t="n"/>
      <c r="M77" s="5" t="n"/>
      <c r="N77" s="6" t="n"/>
      <c r="O77" s="3" t="inlineStr">
        <is>
          <t>kgCO2e/product</t>
        </is>
      </c>
      <c r="P77" s="7" t="n"/>
      <c r="Q77" s="4" t="n"/>
      <c r="R77" s="8" t="n"/>
      <c r="S77" s="3" t="inlineStr">
        <is>
          <t>Supplier</t>
        </is>
      </c>
      <c r="T77" s="3" t="inlineStr">
        <is>
          <t>No</t>
        </is>
      </c>
      <c r="U77" s="5" t="n"/>
      <c r="V77" s="3" t="n"/>
      <c r="W77" s="3" t="n"/>
      <c r="X77" s="6" t="n"/>
      <c r="Y77" s="3" t="inlineStr">
        <is>
          <t>kgCO2e/product</t>
        </is>
      </c>
      <c r="Z77" s="3" t="n"/>
      <c r="AA77" s="7" t="n"/>
      <c r="AB77" s="3" t="n"/>
      <c r="AC77" s="3" t="n"/>
      <c r="AD77" s="6" t="n"/>
      <c r="AE77" s="3" t="inlineStr">
        <is>
          <t>kgCO2e/product</t>
        </is>
      </c>
      <c r="AF77" s="3" t="n"/>
      <c r="AG77" s="7" t="n">
        <v>0</v>
      </c>
      <c r="AH77" s="3" t="n"/>
      <c r="AI77" s="3" t="n"/>
      <c r="AJ77" s="3" t="n"/>
      <c r="AK77" s="4">
        <f>IF(COUNT(AH77,AI77,AJ77)=0,"",ROUND(AVERAGE(AH77,AI77,AJ77),3))</f>
        <v/>
      </c>
      <c r="AL77" s="3">
        <f>IF(X77="","",ROUND(X77*IF(H77="",0,H77)*(1+IF(AA77="",0,AA77)),5))</f>
        <v/>
      </c>
      <c r="AM77" s="3" t="inlineStr">
        <is>
          <t>kgCO2e/product</t>
        </is>
      </c>
      <c r="AN77" s="5" t="n"/>
      <c r="AO77" s="9">
        <f>IF(AND($A77&lt;&gt;"",E77=""),"Supplier code empty (High);","")&amp;IF(AND(P77&lt;&gt;"",OR(P77&gt;1,P77&lt;0)),"Incorrect PDS value (High);",IF(AND(P77&lt;&gt;"",P77&gt;0.5),"High PDS value (Medium);",""))&amp;IF(AND(Q77&lt;&gt;"",OR(Q77&gt;5,Q77&lt;1)),"Incorrect DQR value (High);","")&amp;IF(AND(N77&lt;&gt;"",OR(N77&lt;=0,N77&gt;100)),"Unusual PCF value might be wrong (High);","")&amp;IF(AND(AG77&lt;&gt;"",OR(AG77&gt;1,AG77&lt;0)),"Incorrect PDS value (High);",IF(AND(AG77&lt;&gt;"",AG77&gt;0.5),"High PDS value (Medium);",""))&amp;IF(AND(AK77&lt;&gt;"",OR(AK77&gt;5,AK77&lt;1)),"Incorrect DQR value (High);","")&amp;IF(AND(AA77&lt;&gt;"",OR(AA77&gt;1,AA77&lt;0)),"Incorrect scrap rate (High);",IF(AND(AA77&lt;&gt;"",AA77&gt;0.2),"High scrap rate (Medium);",IF(AND($A77&lt;&gt;"",AA77=0),"No scrap rate (No impact);","")))&amp;""</f>
        <v/>
      </c>
      <c r="AP77" s="9" t="n"/>
    </row>
    <row r="78">
      <c r="A78" s="3" t="n"/>
      <c r="B78" s="3" t="n"/>
      <c r="C78" s="3" t="n"/>
      <c r="D78" s="3" t="n"/>
      <c r="E78" s="3" t="n"/>
      <c r="F78" s="3" t="n"/>
      <c r="G78" s="4" t="n"/>
      <c r="H78" s="4" t="n"/>
      <c r="I78" s="3" t="inlineStr">
        <is>
          <t>kg</t>
        </is>
      </c>
      <c r="J78" s="4" t="n"/>
      <c r="K78" s="3" t="inlineStr">
        <is>
          <t>kg</t>
        </is>
      </c>
      <c r="L78" s="3" t="n"/>
      <c r="M78" s="5" t="n"/>
      <c r="N78" s="6" t="n"/>
      <c r="O78" s="3" t="inlineStr">
        <is>
          <t>kgCO2e/product</t>
        </is>
      </c>
      <c r="P78" s="7" t="n"/>
      <c r="Q78" s="4" t="n"/>
      <c r="R78" s="8" t="n"/>
      <c r="S78" s="3" t="inlineStr">
        <is>
          <t>Supplier</t>
        </is>
      </c>
      <c r="T78" s="3" t="inlineStr">
        <is>
          <t>No</t>
        </is>
      </c>
      <c r="U78" s="5" t="n"/>
      <c r="V78" s="3" t="n"/>
      <c r="W78" s="3" t="n"/>
      <c r="X78" s="6" t="n"/>
      <c r="Y78" s="3" t="inlineStr">
        <is>
          <t>kgCO2e/product</t>
        </is>
      </c>
      <c r="Z78" s="3" t="n"/>
      <c r="AA78" s="7" t="n"/>
      <c r="AB78" s="3" t="n"/>
      <c r="AC78" s="3" t="n"/>
      <c r="AD78" s="6" t="n"/>
      <c r="AE78" s="3" t="inlineStr">
        <is>
          <t>kgCO2e/product</t>
        </is>
      </c>
      <c r="AF78" s="3" t="n"/>
      <c r="AG78" s="7" t="n">
        <v>0</v>
      </c>
      <c r="AH78" s="3" t="n"/>
      <c r="AI78" s="3" t="n"/>
      <c r="AJ78" s="3" t="n"/>
      <c r="AK78" s="4">
        <f>IF(COUNT(AH78,AI78,AJ78)=0,"",ROUND(AVERAGE(AH78,AI78,AJ78),3))</f>
        <v/>
      </c>
      <c r="AL78" s="3">
        <f>IF(X78="","",ROUND(X78*IF(H78="",0,H78)*(1+IF(AA78="",0,AA78)),5))</f>
        <v/>
      </c>
      <c r="AM78" s="3" t="inlineStr">
        <is>
          <t>kgCO2e/product</t>
        </is>
      </c>
      <c r="AN78" s="5" t="n"/>
      <c r="AO78" s="9">
        <f>IF(AND($A78&lt;&gt;"",E78=""),"Supplier code empty (High);","")&amp;IF(AND(P78&lt;&gt;"",OR(P78&gt;1,P78&lt;0)),"Incorrect PDS value (High);",IF(AND(P78&lt;&gt;"",P78&gt;0.5),"High PDS value (Medium);",""))&amp;IF(AND(Q78&lt;&gt;"",OR(Q78&gt;5,Q78&lt;1)),"Incorrect DQR value (High);","")&amp;IF(AND(N78&lt;&gt;"",OR(N78&lt;=0,N78&gt;100)),"Unusual PCF value might be wrong (High);","")&amp;IF(AND(AG78&lt;&gt;"",OR(AG78&gt;1,AG78&lt;0)),"Incorrect PDS value (High);",IF(AND(AG78&lt;&gt;"",AG78&gt;0.5),"High PDS value (Medium);",""))&amp;IF(AND(AK78&lt;&gt;"",OR(AK78&gt;5,AK78&lt;1)),"Incorrect DQR value (High);","")&amp;IF(AND(AA78&lt;&gt;"",OR(AA78&gt;1,AA78&lt;0)),"Incorrect scrap rate (High);",IF(AND(AA78&lt;&gt;"",AA78&gt;0.2),"High scrap rate (Medium);",IF(AND($A78&lt;&gt;"",AA78=0),"No scrap rate (No impact);","")))&amp;""</f>
        <v/>
      </c>
      <c r="AP78" s="9" t="n"/>
    </row>
    <row r="79">
      <c r="A79" s="3" t="n"/>
      <c r="B79" s="3" t="n"/>
      <c r="C79" s="3" t="n"/>
      <c r="D79" s="3" t="n"/>
      <c r="E79" s="3" t="n"/>
      <c r="F79" s="3" t="n"/>
      <c r="G79" s="4" t="n"/>
      <c r="H79" s="4" t="n"/>
      <c r="I79" s="3" t="inlineStr">
        <is>
          <t>kg</t>
        </is>
      </c>
      <c r="J79" s="4" t="n"/>
      <c r="K79" s="3" t="inlineStr">
        <is>
          <t>kg</t>
        </is>
      </c>
      <c r="L79" s="3" t="n"/>
      <c r="M79" s="5" t="n"/>
      <c r="N79" s="6" t="n"/>
      <c r="O79" s="3" t="inlineStr">
        <is>
          <t>kgCO2e/product</t>
        </is>
      </c>
      <c r="P79" s="7" t="n"/>
      <c r="Q79" s="4" t="n"/>
      <c r="R79" s="8" t="n"/>
      <c r="S79" s="3" t="inlineStr">
        <is>
          <t>Supplier</t>
        </is>
      </c>
      <c r="T79" s="3" t="inlineStr">
        <is>
          <t>No</t>
        </is>
      </c>
      <c r="U79" s="5" t="n"/>
      <c r="V79" s="3" t="n"/>
      <c r="W79" s="3" t="n"/>
      <c r="X79" s="6" t="n"/>
      <c r="Y79" s="3" t="inlineStr">
        <is>
          <t>kgCO2e/product</t>
        </is>
      </c>
      <c r="Z79" s="3" t="n"/>
      <c r="AA79" s="7" t="n"/>
      <c r="AB79" s="3" t="n"/>
      <c r="AC79" s="3" t="n"/>
      <c r="AD79" s="6" t="n"/>
      <c r="AE79" s="3" t="inlineStr">
        <is>
          <t>kgCO2e/product</t>
        </is>
      </c>
      <c r="AF79" s="3" t="n"/>
      <c r="AG79" s="7" t="n">
        <v>0</v>
      </c>
      <c r="AH79" s="3" t="n"/>
      <c r="AI79" s="3" t="n"/>
      <c r="AJ79" s="3" t="n"/>
      <c r="AK79" s="4">
        <f>IF(COUNT(AH79,AI79,AJ79)=0,"",ROUND(AVERAGE(AH79,AI79,AJ79),3))</f>
        <v/>
      </c>
      <c r="AL79" s="3">
        <f>IF(X79="","",ROUND(X79*IF(H79="",0,H79)*(1+IF(AA79="",0,AA79)),5))</f>
        <v/>
      </c>
      <c r="AM79" s="3" t="inlineStr">
        <is>
          <t>kgCO2e/product</t>
        </is>
      </c>
      <c r="AN79" s="5" t="n"/>
      <c r="AO79" s="9">
        <f>IF(AND($A79&lt;&gt;"",E79=""),"Supplier code empty (High);","")&amp;IF(AND(P79&lt;&gt;"",OR(P79&gt;1,P79&lt;0)),"Incorrect PDS value (High);",IF(AND(P79&lt;&gt;"",P79&gt;0.5),"High PDS value (Medium);",""))&amp;IF(AND(Q79&lt;&gt;"",OR(Q79&gt;5,Q79&lt;1)),"Incorrect DQR value (High);","")&amp;IF(AND(N79&lt;&gt;"",OR(N79&lt;=0,N79&gt;100)),"Unusual PCF value might be wrong (High);","")&amp;IF(AND(AG79&lt;&gt;"",OR(AG79&gt;1,AG79&lt;0)),"Incorrect PDS value (High);",IF(AND(AG79&lt;&gt;"",AG79&gt;0.5),"High PDS value (Medium);",""))&amp;IF(AND(AK79&lt;&gt;"",OR(AK79&gt;5,AK79&lt;1)),"Incorrect DQR value (High);","")&amp;IF(AND(AA79&lt;&gt;"",OR(AA79&gt;1,AA79&lt;0)),"Incorrect scrap rate (High);",IF(AND(AA79&lt;&gt;"",AA79&gt;0.2),"High scrap rate (Medium);",IF(AND($A79&lt;&gt;"",AA79=0),"No scrap rate (No impact);","")))&amp;""</f>
        <v/>
      </c>
      <c r="AP79" s="9" t="n"/>
    </row>
    <row r="80">
      <c r="A80" s="3" t="n"/>
      <c r="B80" s="3" t="n"/>
      <c r="C80" s="3" t="n"/>
      <c r="D80" s="3" t="n"/>
      <c r="E80" s="3" t="n"/>
      <c r="F80" s="3" t="n"/>
      <c r="G80" s="4" t="n"/>
      <c r="H80" s="4" t="n"/>
      <c r="I80" s="3" t="inlineStr">
        <is>
          <t>kg</t>
        </is>
      </c>
      <c r="J80" s="4" t="n"/>
      <c r="K80" s="3" t="inlineStr">
        <is>
          <t>kg</t>
        </is>
      </c>
      <c r="L80" s="3" t="n"/>
      <c r="M80" s="5" t="n"/>
      <c r="N80" s="6" t="n"/>
      <c r="O80" s="3" t="inlineStr">
        <is>
          <t>kgCO2e/product</t>
        </is>
      </c>
      <c r="P80" s="7" t="n"/>
      <c r="Q80" s="4" t="n"/>
      <c r="R80" s="8" t="n"/>
      <c r="S80" s="3" t="inlineStr">
        <is>
          <t>Supplier</t>
        </is>
      </c>
      <c r="T80" s="3" t="inlineStr">
        <is>
          <t>No</t>
        </is>
      </c>
      <c r="U80" s="5" t="n"/>
      <c r="V80" s="3" t="n"/>
      <c r="W80" s="3" t="n"/>
      <c r="X80" s="6" t="n"/>
      <c r="Y80" s="3" t="inlineStr">
        <is>
          <t>kgCO2e/product</t>
        </is>
      </c>
      <c r="Z80" s="3" t="n"/>
      <c r="AA80" s="7" t="n"/>
      <c r="AB80" s="3" t="n"/>
      <c r="AC80" s="3" t="n"/>
      <c r="AD80" s="6" t="n"/>
      <c r="AE80" s="3" t="inlineStr">
        <is>
          <t>kgCO2e/product</t>
        </is>
      </c>
      <c r="AF80" s="3" t="n"/>
      <c r="AG80" s="7" t="n">
        <v>0</v>
      </c>
      <c r="AH80" s="3" t="n"/>
      <c r="AI80" s="3" t="n"/>
      <c r="AJ80" s="3" t="n"/>
      <c r="AK80" s="4">
        <f>IF(COUNT(AH80,AI80,AJ80)=0,"",ROUND(AVERAGE(AH80,AI80,AJ80),3))</f>
        <v/>
      </c>
      <c r="AL80" s="3">
        <f>IF(X80="","",ROUND(X80*IF(H80="",0,H80)*(1+IF(AA80="",0,AA80)),5))</f>
        <v/>
      </c>
      <c r="AM80" s="3" t="inlineStr">
        <is>
          <t>kgCO2e/product</t>
        </is>
      </c>
      <c r="AN80" s="5" t="n"/>
      <c r="AO80" s="9">
        <f>IF(AND($A80&lt;&gt;"",E80=""),"Supplier code empty (High);","")&amp;IF(AND(P80&lt;&gt;"",OR(P80&gt;1,P80&lt;0)),"Incorrect PDS value (High);",IF(AND(P80&lt;&gt;"",P80&gt;0.5),"High PDS value (Medium);",""))&amp;IF(AND(Q80&lt;&gt;"",OR(Q80&gt;5,Q80&lt;1)),"Incorrect DQR value (High);","")&amp;IF(AND(N80&lt;&gt;"",OR(N80&lt;=0,N80&gt;100)),"Unusual PCF value might be wrong (High);","")&amp;IF(AND(AG80&lt;&gt;"",OR(AG80&gt;1,AG80&lt;0)),"Incorrect PDS value (High);",IF(AND(AG80&lt;&gt;"",AG80&gt;0.5),"High PDS value (Medium);",""))&amp;IF(AND(AK80&lt;&gt;"",OR(AK80&gt;5,AK80&lt;1)),"Incorrect DQR value (High);","")&amp;IF(AND(AA80&lt;&gt;"",OR(AA80&gt;1,AA80&lt;0)),"Incorrect scrap rate (High);",IF(AND(AA80&lt;&gt;"",AA80&gt;0.2),"High scrap rate (Medium);",IF(AND($A80&lt;&gt;"",AA80=0),"No scrap rate (No impact);","")))&amp;""</f>
        <v/>
      </c>
      <c r="AP80" s="9" t="n"/>
    </row>
    <row r="81">
      <c r="A81" s="3" t="n"/>
      <c r="B81" s="3" t="n"/>
      <c r="C81" s="3" t="n"/>
      <c r="D81" s="3" t="n"/>
      <c r="E81" s="3" t="n"/>
      <c r="F81" s="3" t="n"/>
      <c r="G81" s="4" t="n"/>
      <c r="H81" s="4" t="n"/>
      <c r="I81" s="3" t="inlineStr">
        <is>
          <t>kg</t>
        </is>
      </c>
      <c r="J81" s="4" t="n"/>
      <c r="K81" s="3" t="inlineStr">
        <is>
          <t>kg</t>
        </is>
      </c>
      <c r="L81" s="3" t="n"/>
      <c r="M81" s="5" t="n"/>
      <c r="N81" s="6" t="n"/>
      <c r="O81" s="3" t="inlineStr">
        <is>
          <t>kgCO2e/product</t>
        </is>
      </c>
      <c r="P81" s="7" t="n"/>
      <c r="Q81" s="4" t="n"/>
      <c r="R81" s="8" t="n"/>
      <c r="S81" s="3" t="inlineStr">
        <is>
          <t>Supplier</t>
        </is>
      </c>
      <c r="T81" s="3" t="inlineStr">
        <is>
          <t>No</t>
        </is>
      </c>
      <c r="U81" s="5" t="n"/>
      <c r="V81" s="3" t="n"/>
      <c r="W81" s="3" t="n"/>
      <c r="X81" s="6" t="n"/>
      <c r="Y81" s="3" t="inlineStr">
        <is>
          <t>kgCO2e/product</t>
        </is>
      </c>
      <c r="Z81" s="3" t="n"/>
      <c r="AA81" s="7" t="n"/>
      <c r="AB81" s="3" t="n"/>
      <c r="AC81" s="3" t="n"/>
      <c r="AD81" s="6" t="n"/>
      <c r="AE81" s="3" t="inlineStr">
        <is>
          <t>kgCO2e/product</t>
        </is>
      </c>
      <c r="AF81" s="3" t="n"/>
      <c r="AG81" s="7" t="n">
        <v>0</v>
      </c>
      <c r="AH81" s="3" t="n"/>
      <c r="AI81" s="3" t="n"/>
      <c r="AJ81" s="3" t="n"/>
      <c r="AK81" s="4">
        <f>IF(COUNT(AH81,AI81,AJ81)=0,"",ROUND(AVERAGE(AH81,AI81,AJ81),3))</f>
        <v/>
      </c>
      <c r="AL81" s="3">
        <f>IF(X81="","",ROUND(X81*IF(H81="",0,H81)*(1+IF(AA81="",0,AA81)),5))</f>
        <v/>
      </c>
      <c r="AM81" s="3" t="inlineStr">
        <is>
          <t>kgCO2e/product</t>
        </is>
      </c>
      <c r="AN81" s="5" t="n"/>
      <c r="AO81" s="9">
        <f>IF(AND($A81&lt;&gt;"",E81=""),"Supplier code empty (High);","")&amp;IF(AND(P81&lt;&gt;"",OR(P81&gt;1,P81&lt;0)),"Incorrect PDS value (High);",IF(AND(P81&lt;&gt;"",P81&gt;0.5),"High PDS value (Medium);",""))&amp;IF(AND(Q81&lt;&gt;"",OR(Q81&gt;5,Q81&lt;1)),"Incorrect DQR value (High);","")&amp;IF(AND(N81&lt;&gt;"",OR(N81&lt;=0,N81&gt;100)),"Unusual PCF value might be wrong (High);","")&amp;IF(AND(AG81&lt;&gt;"",OR(AG81&gt;1,AG81&lt;0)),"Incorrect PDS value (High);",IF(AND(AG81&lt;&gt;"",AG81&gt;0.5),"High PDS value (Medium);",""))&amp;IF(AND(AK81&lt;&gt;"",OR(AK81&gt;5,AK81&lt;1)),"Incorrect DQR value (High);","")&amp;IF(AND(AA81&lt;&gt;"",OR(AA81&gt;1,AA81&lt;0)),"Incorrect scrap rate (High);",IF(AND(AA81&lt;&gt;"",AA81&gt;0.2),"High scrap rate (Medium);",IF(AND($A81&lt;&gt;"",AA81=0),"No scrap rate (No impact);","")))&amp;""</f>
        <v/>
      </c>
      <c r="AP81" s="9" t="n"/>
    </row>
    <row r="82">
      <c r="A82" s="3" t="n"/>
      <c r="B82" s="3" t="n"/>
      <c r="C82" s="3" t="n"/>
      <c r="D82" s="3" t="n"/>
      <c r="E82" s="3" t="n"/>
      <c r="F82" s="3" t="n"/>
      <c r="G82" s="4" t="n"/>
      <c r="H82" s="4" t="n"/>
      <c r="I82" s="3" t="inlineStr">
        <is>
          <t>kg</t>
        </is>
      </c>
      <c r="J82" s="4" t="n"/>
      <c r="K82" s="3" t="inlineStr">
        <is>
          <t>kg</t>
        </is>
      </c>
      <c r="L82" s="3" t="n"/>
      <c r="M82" s="5" t="n"/>
      <c r="N82" s="6" t="n"/>
      <c r="O82" s="3" t="inlineStr">
        <is>
          <t>kgCO2e/product</t>
        </is>
      </c>
      <c r="P82" s="7" t="n"/>
      <c r="Q82" s="4" t="n"/>
      <c r="R82" s="8" t="n"/>
      <c r="S82" s="3" t="inlineStr">
        <is>
          <t>Supplier</t>
        </is>
      </c>
      <c r="T82" s="3" t="inlineStr">
        <is>
          <t>No</t>
        </is>
      </c>
      <c r="U82" s="5" t="n"/>
      <c r="V82" s="3" t="n"/>
      <c r="W82" s="3" t="n"/>
      <c r="X82" s="6" t="n"/>
      <c r="Y82" s="3" t="inlineStr">
        <is>
          <t>kgCO2e/product</t>
        </is>
      </c>
      <c r="Z82" s="3" t="n"/>
      <c r="AA82" s="7" t="n"/>
      <c r="AB82" s="3" t="n"/>
      <c r="AC82" s="3" t="n"/>
      <c r="AD82" s="6" t="n"/>
      <c r="AE82" s="3" t="inlineStr">
        <is>
          <t>kgCO2e/product</t>
        </is>
      </c>
      <c r="AF82" s="3" t="n"/>
      <c r="AG82" s="7" t="n">
        <v>0</v>
      </c>
      <c r="AH82" s="3" t="n"/>
      <c r="AI82" s="3" t="n"/>
      <c r="AJ82" s="3" t="n"/>
      <c r="AK82" s="4">
        <f>IF(COUNT(AH82,AI82,AJ82)=0,"",ROUND(AVERAGE(AH82,AI82,AJ82),3))</f>
        <v/>
      </c>
      <c r="AL82" s="3">
        <f>IF(X82="","",ROUND(X82*IF(H82="",0,H82)*(1+IF(AA82="",0,AA82)),5))</f>
        <v/>
      </c>
      <c r="AM82" s="3" t="inlineStr">
        <is>
          <t>kgCO2e/product</t>
        </is>
      </c>
      <c r="AN82" s="5" t="n"/>
      <c r="AO82" s="9">
        <f>IF(AND($A82&lt;&gt;"",E82=""),"Supplier code empty (High);","")&amp;IF(AND(P82&lt;&gt;"",OR(P82&gt;1,P82&lt;0)),"Incorrect PDS value (High);",IF(AND(P82&lt;&gt;"",P82&gt;0.5),"High PDS value (Medium);",""))&amp;IF(AND(Q82&lt;&gt;"",OR(Q82&gt;5,Q82&lt;1)),"Incorrect DQR value (High);","")&amp;IF(AND(N82&lt;&gt;"",OR(N82&lt;=0,N82&gt;100)),"Unusual PCF value might be wrong (High);","")&amp;IF(AND(AG82&lt;&gt;"",OR(AG82&gt;1,AG82&lt;0)),"Incorrect PDS value (High);",IF(AND(AG82&lt;&gt;"",AG82&gt;0.5),"High PDS value (Medium);",""))&amp;IF(AND(AK82&lt;&gt;"",OR(AK82&gt;5,AK82&lt;1)),"Incorrect DQR value (High);","")&amp;IF(AND(AA82&lt;&gt;"",OR(AA82&gt;1,AA82&lt;0)),"Incorrect scrap rate (High);",IF(AND(AA82&lt;&gt;"",AA82&gt;0.2),"High scrap rate (Medium);",IF(AND($A82&lt;&gt;"",AA82=0),"No scrap rate (No impact);","")))&amp;""</f>
        <v/>
      </c>
      <c r="AP82" s="9" t="n"/>
    </row>
    <row r="83">
      <c r="A83" s="3" t="n"/>
      <c r="B83" s="3" t="n"/>
      <c r="C83" s="3" t="n"/>
      <c r="D83" s="3" t="n"/>
      <c r="E83" s="3" t="n"/>
      <c r="F83" s="3" t="n"/>
      <c r="G83" s="4" t="n"/>
      <c r="H83" s="4" t="n"/>
      <c r="I83" s="3" t="inlineStr">
        <is>
          <t>kg</t>
        </is>
      </c>
      <c r="J83" s="4" t="n"/>
      <c r="K83" s="3" t="inlineStr">
        <is>
          <t>kg</t>
        </is>
      </c>
      <c r="L83" s="3" t="n"/>
      <c r="M83" s="5" t="n"/>
      <c r="N83" s="6" t="n"/>
      <c r="O83" s="3" t="inlineStr">
        <is>
          <t>kgCO2e/product</t>
        </is>
      </c>
      <c r="P83" s="7" t="n"/>
      <c r="Q83" s="4" t="n"/>
      <c r="R83" s="8" t="n"/>
      <c r="S83" s="3" t="inlineStr">
        <is>
          <t>Supplier</t>
        </is>
      </c>
      <c r="T83" s="3" t="inlineStr">
        <is>
          <t>No</t>
        </is>
      </c>
      <c r="U83" s="5" t="n"/>
      <c r="V83" s="3" t="n"/>
      <c r="W83" s="3" t="n"/>
      <c r="X83" s="6" t="n"/>
      <c r="Y83" s="3" t="inlineStr">
        <is>
          <t>kgCO2e/product</t>
        </is>
      </c>
      <c r="Z83" s="3" t="n"/>
      <c r="AA83" s="7" t="n"/>
      <c r="AB83" s="3" t="n"/>
      <c r="AC83" s="3" t="n"/>
      <c r="AD83" s="6" t="n"/>
      <c r="AE83" s="3" t="inlineStr">
        <is>
          <t>kgCO2e/product</t>
        </is>
      </c>
      <c r="AF83" s="3" t="n"/>
      <c r="AG83" s="7" t="n">
        <v>0</v>
      </c>
      <c r="AH83" s="3" t="n"/>
      <c r="AI83" s="3" t="n"/>
      <c r="AJ83" s="3" t="n"/>
      <c r="AK83" s="4">
        <f>IF(COUNT(AH83,AI83,AJ83)=0,"",ROUND(AVERAGE(AH83,AI83,AJ83),3))</f>
        <v/>
      </c>
      <c r="AL83" s="3">
        <f>IF(X83="","",ROUND(X83*IF(H83="",0,H83)*(1+IF(AA83="",0,AA83)),5))</f>
        <v/>
      </c>
      <c r="AM83" s="3" t="inlineStr">
        <is>
          <t>kgCO2e/product</t>
        </is>
      </c>
      <c r="AN83" s="5" t="n"/>
      <c r="AO83" s="9">
        <f>IF(AND($A83&lt;&gt;"",E83=""),"Supplier code empty (High);","")&amp;IF(AND(P83&lt;&gt;"",OR(P83&gt;1,P83&lt;0)),"Incorrect PDS value (High);",IF(AND(P83&lt;&gt;"",P83&gt;0.5),"High PDS value (Medium);",""))&amp;IF(AND(Q83&lt;&gt;"",OR(Q83&gt;5,Q83&lt;1)),"Incorrect DQR value (High);","")&amp;IF(AND(N83&lt;&gt;"",OR(N83&lt;=0,N83&gt;100)),"Unusual PCF value might be wrong (High);","")&amp;IF(AND(AG83&lt;&gt;"",OR(AG83&gt;1,AG83&lt;0)),"Incorrect PDS value (High);",IF(AND(AG83&lt;&gt;"",AG83&gt;0.5),"High PDS value (Medium);",""))&amp;IF(AND(AK83&lt;&gt;"",OR(AK83&gt;5,AK83&lt;1)),"Incorrect DQR value (High);","")&amp;IF(AND(AA83&lt;&gt;"",OR(AA83&gt;1,AA83&lt;0)),"Incorrect scrap rate (High);",IF(AND(AA83&lt;&gt;"",AA83&gt;0.2),"High scrap rate (Medium);",IF(AND($A83&lt;&gt;"",AA83=0),"No scrap rate (No impact);","")))&amp;""</f>
        <v/>
      </c>
      <c r="AP83" s="9" t="n"/>
    </row>
    <row r="84">
      <c r="A84" s="3" t="n"/>
      <c r="B84" s="3" t="n"/>
      <c r="C84" s="3" t="n"/>
      <c r="D84" s="3" t="n"/>
      <c r="E84" s="3" t="n"/>
      <c r="F84" s="3" t="n"/>
      <c r="G84" s="4" t="n"/>
      <c r="H84" s="4" t="n"/>
      <c r="I84" s="3" t="inlineStr">
        <is>
          <t>kg</t>
        </is>
      </c>
      <c r="J84" s="4" t="n"/>
      <c r="K84" s="3" t="inlineStr">
        <is>
          <t>kg</t>
        </is>
      </c>
      <c r="L84" s="3" t="n"/>
      <c r="M84" s="5" t="n"/>
      <c r="N84" s="6" t="n"/>
      <c r="O84" s="3" t="inlineStr">
        <is>
          <t>kgCO2e/product</t>
        </is>
      </c>
      <c r="P84" s="7" t="n"/>
      <c r="Q84" s="4" t="n"/>
      <c r="R84" s="8" t="n"/>
      <c r="S84" s="3" t="inlineStr">
        <is>
          <t>Supplier</t>
        </is>
      </c>
      <c r="T84" s="3" t="inlineStr">
        <is>
          <t>No</t>
        </is>
      </c>
      <c r="U84" s="5" t="n"/>
      <c r="V84" s="3" t="n"/>
      <c r="W84" s="3" t="n"/>
      <c r="X84" s="6" t="n"/>
      <c r="Y84" s="3" t="inlineStr">
        <is>
          <t>kgCO2e/product</t>
        </is>
      </c>
      <c r="Z84" s="3" t="n"/>
      <c r="AA84" s="7" t="n"/>
      <c r="AB84" s="3" t="n"/>
      <c r="AC84" s="3" t="n"/>
      <c r="AD84" s="6" t="n"/>
      <c r="AE84" s="3" t="inlineStr">
        <is>
          <t>kgCO2e/product</t>
        </is>
      </c>
      <c r="AF84" s="3" t="n"/>
      <c r="AG84" s="7" t="n">
        <v>0</v>
      </c>
      <c r="AH84" s="3" t="n"/>
      <c r="AI84" s="3" t="n"/>
      <c r="AJ84" s="3" t="n"/>
      <c r="AK84" s="4">
        <f>IF(COUNT(AH84,AI84,AJ84)=0,"",ROUND(AVERAGE(AH84,AI84,AJ84),3))</f>
        <v/>
      </c>
      <c r="AL84" s="3">
        <f>IF(X84="","",ROUND(X84*IF(H84="",0,H84)*(1+IF(AA84="",0,AA84)),5))</f>
        <v/>
      </c>
      <c r="AM84" s="3" t="inlineStr">
        <is>
          <t>kgCO2e/product</t>
        </is>
      </c>
      <c r="AN84" s="5" t="n"/>
      <c r="AO84" s="9">
        <f>IF(AND($A84&lt;&gt;"",E84=""),"Supplier code empty (High);","")&amp;IF(AND(P84&lt;&gt;"",OR(P84&gt;1,P84&lt;0)),"Incorrect PDS value (High);",IF(AND(P84&lt;&gt;"",P84&gt;0.5),"High PDS value (Medium);",""))&amp;IF(AND(Q84&lt;&gt;"",OR(Q84&gt;5,Q84&lt;1)),"Incorrect DQR value (High);","")&amp;IF(AND(N84&lt;&gt;"",OR(N84&lt;=0,N84&gt;100)),"Unusual PCF value might be wrong (High);","")&amp;IF(AND(AG84&lt;&gt;"",OR(AG84&gt;1,AG84&lt;0)),"Incorrect PDS value (High);",IF(AND(AG84&lt;&gt;"",AG84&gt;0.5),"High PDS value (Medium);",""))&amp;IF(AND(AK84&lt;&gt;"",OR(AK84&gt;5,AK84&lt;1)),"Incorrect DQR value (High);","")&amp;IF(AND(AA84&lt;&gt;"",OR(AA84&gt;1,AA84&lt;0)),"Incorrect scrap rate (High);",IF(AND(AA84&lt;&gt;"",AA84&gt;0.2),"High scrap rate (Medium);",IF(AND($A84&lt;&gt;"",AA84=0),"No scrap rate (No impact);","")))&amp;""</f>
        <v/>
      </c>
      <c r="AP84" s="9" t="n"/>
    </row>
    <row r="85">
      <c r="A85" s="3" t="n"/>
      <c r="B85" s="3" t="n"/>
      <c r="C85" s="3" t="n"/>
      <c r="D85" s="3" t="n"/>
      <c r="E85" s="3" t="n"/>
      <c r="F85" s="3" t="n"/>
      <c r="G85" s="4" t="n"/>
      <c r="H85" s="4" t="n"/>
      <c r="I85" s="3" t="inlineStr">
        <is>
          <t>kg</t>
        </is>
      </c>
      <c r="J85" s="4" t="n"/>
      <c r="K85" s="3" t="inlineStr">
        <is>
          <t>kg</t>
        </is>
      </c>
      <c r="L85" s="3" t="n"/>
      <c r="M85" s="5" t="n"/>
      <c r="N85" s="6" t="n"/>
      <c r="O85" s="3" t="inlineStr">
        <is>
          <t>kgCO2e/product</t>
        </is>
      </c>
      <c r="P85" s="7" t="n"/>
      <c r="Q85" s="4" t="n"/>
      <c r="R85" s="8" t="n"/>
      <c r="S85" s="3" t="inlineStr">
        <is>
          <t>Supplier</t>
        </is>
      </c>
      <c r="T85" s="3" t="inlineStr">
        <is>
          <t>No</t>
        </is>
      </c>
      <c r="U85" s="5" t="n"/>
      <c r="V85" s="3" t="n"/>
      <c r="W85" s="3" t="n"/>
      <c r="X85" s="6" t="n"/>
      <c r="Y85" s="3" t="inlineStr">
        <is>
          <t>kgCO2e/product</t>
        </is>
      </c>
      <c r="Z85" s="3" t="n"/>
      <c r="AA85" s="7" t="n"/>
      <c r="AB85" s="3" t="n"/>
      <c r="AC85" s="3" t="n"/>
      <c r="AD85" s="6" t="n"/>
      <c r="AE85" s="3" t="inlineStr">
        <is>
          <t>kgCO2e/product</t>
        </is>
      </c>
      <c r="AF85" s="3" t="n"/>
      <c r="AG85" s="7" t="n">
        <v>0</v>
      </c>
      <c r="AH85" s="3" t="n"/>
      <c r="AI85" s="3" t="n"/>
      <c r="AJ85" s="3" t="n"/>
      <c r="AK85" s="4">
        <f>IF(COUNT(AH85,AI85,AJ85)=0,"",ROUND(AVERAGE(AH85,AI85,AJ85),3))</f>
        <v/>
      </c>
      <c r="AL85" s="3">
        <f>IF(X85="","",ROUND(X85*IF(H85="",0,H85)*(1+IF(AA85="",0,AA85)),5))</f>
        <v/>
      </c>
      <c r="AM85" s="3" t="inlineStr">
        <is>
          <t>kgCO2e/product</t>
        </is>
      </c>
      <c r="AN85" s="5" t="n"/>
      <c r="AO85" s="9">
        <f>IF(AND($A85&lt;&gt;"",E85=""),"Supplier code empty (High);","")&amp;IF(AND(P85&lt;&gt;"",OR(P85&gt;1,P85&lt;0)),"Incorrect PDS value (High);",IF(AND(P85&lt;&gt;"",P85&gt;0.5),"High PDS value (Medium);",""))&amp;IF(AND(Q85&lt;&gt;"",OR(Q85&gt;5,Q85&lt;1)),"Incorrect DQR value (High);","")&amp;IF(AND(N85&lt;&gt;"",OR(N85&lt;=0,N85&gt;100)),"Unusual PCF value might be wrong (High);","")&amp;IF(AND(AG85&lt;&gt;"",OR(AG85&gt;1,AG85&lt;0)),"Incorrect PDS value (High);",IF(AND(AG85&lt;&gt;"",AG85&gt;0.5),"High PDS value (Medium);",""))&amp;IF(AND(AK85&lt;&gt;"",OR(AK85&gt;5,AK85&lt;1)),"Incorrect DQR value (High);","")&amp;IF(AND(AA85&lt;&gt;"",OR(AA85&gt;1,AA85&lt;0)),"Incorrect scrap rate (High);",IF(AND(AA85&lt;&gt;"",AA85&gt;0.2),"High scrap rate (Medium);",IF(AND($A85&lt;&gt;"",AA85=0),"No scrap rate (No impact);","")))&amp;""</f>
        <v/>
      </c>
      <c r="AP85" s="9" t="n"/>
    </row>
    <row r="86">
      <c r="A86" s="3" t="n"/>
      <c r="B86" s="3" t="n"/>
      <c r="C86" s="3" t="n"/>
      <c r="D86" s="3" t="n"/>
      <c r="E86" s="3" t="n"/>
      <c r="F86" s="3" t="n"/>
      <c r="G86" s="4" t="n"/>
      <c r="H86" s="4" t="n"/>
      <c r="I86" s="3" t="inlineStr">
        <is>
          <t>kg</t>
        </is>
      </c>
      <c r="J86" s="4" t="n"/>
      <c r="K86" s="3" t="inlineStr">
        <is>
          <t>kg</t>
        </is>
      </c>
      <c r="L86" s="3" t="n"/>
      <c r="M86" s="5" t="n"/>
      <c r="N86" s="6" t="n"/>
      <c r="O86" s="3" t="inlineStr">
        <is>
          <t>kgCO2e/product</t>
        </is>
      </c>
      <c r="P86" s="7" t="n"/>
      <c r="Q86" s="4" t="n"/>
      <c r="R86" s="8" t="n"/>
      <c r="S86" s="3" t="inlineStr">
        <is>
          <t>Supplier</t>
        </is>
      </c>
      <c r="T86" s="3" t="inlineStr">
        <is>
          <t>No</t>
        </is>
      </c>
      <c r="U86" s="5" t="n"/>
      <c r="V86" s="3" t="n"/>
      <c r="W86" s="3" t="n"/>
      <c r="X86" s="6" t="n"/>
      <c r="Y86" s="3" t="inlineStr">
        <is>
          <t>kgCO2e/product</t>
        </is>
      </c>
      <c r="Z86" s="3" t="n"/>
      <c r="AA86" s="7" t="n"/>
      <c r="AB86" s="3" t="n"/>
      <c r="AC86" s="3" t="n"/>
      <c r="AD86" s="6" t="n"/>
      <c r="AE86" s="3" t="inlineStr">
        <is>
          <t>kgCO2e/product</t>
        </is>
      </c>
      <c r="AF86" s="3" t="n"/>
      <c r="AG86" s="7" t="n">
        <v>0</v>
      </c>
      <c r="AH86" s="3" t="n"/>
      <c r="AI86" s="3" t="n"/>
      <c r="AJ86" s="3" t="n"/>
      <c r="AK86" s="4">
        <f>IF(COUNT(AH86,AI86,AJ86)=0,"",ROUND(AVERAGE(AH86,AI86,AJ86),3))</f>
        <v/>
      </c>
      <c r="AL86" s="3">
        <f>IF(X86="","",ROUND(X86*IF(H86="",0,H86)*(1+IF(AA86="",0,AA86)),5))</f>
        <v/>
      </c>
      <c r="AM86" s="3" t="inlineStr">
        <is>
          <t>kgCO2e/product</t>
        </is>
      </c>
      <c r="AN86" s="5" t="n"/>
      <c r="AO86" s="9">
        <f>IF(AND($A86&lt;&gt;"",E86=""),"Supplier code empty (High);","")&amp;IF(AND(P86&lt;&gt;"",OR(P86&gt;1,P86&lt;0)),"Incorrect PDS value (High);",IF(AND(P86&lt;&gt;"",P86&gt;0.5),"High PDS value (Medium);",""))&amp;IF(AND(Q86&lt;&gt;"",OR(Q86&gt;5,Q86&lt;1)),"Incorrect DQR value (High);","")&amp;IF(AND(N86&lt;&gt;"",OR(N86&lt;=0,N86&gt;100)),"Unusual PCF value might be wrong (High);","")&amp;IF(AND(AG86&lt;&gt;"",OR(AG86&gt;1,AG86&lt;0)),"Incorrect PDS value (High);",IF(AND(AG86&lt;&gt;"",AG86&gt;0.5),"High PDS value (Medium);",""))&amp;IF(AND(AK86&lt;&gt;"",OR(AK86&gt;5,AK86&lt;1)),"Incorrect DQR value (High);","")&amp;IF(AND(AA86&lt;&gt;"",OR(AA86&gt;1,AA86&lt;0)),"Incorrect scrap rate (High);",IF(AND(AA86&lt;&gt;"",AA86&gt;0.2),"High scrap rate (Medium);",IF(AND($A86&lt;&gt;"",AA86=0),"No scrap rate (No impact);","")))&amp;""</f>
        <v/>
      </c>
      <c r="AP86" s="9" t="n"/>
    </row>
    <row r="87">
      <c r="A87" s="3" t="n"/>
      <c r="B87" s="3" t="n"/>
      <c r="C87" s="3" t="n"/>
      <c r="D87" s="3" t="n"/>
      <c r="E87" s="3" t="n"/>
      <c r="F87" s="3" t="n"/>
      <c r="G87" s="4" t="n"/>
      <c r="H87" s="4" t="n"/>
      <c r="I87" s="3" t="inlineStr">
        <is>
          <t>kg</t>
        </is>
      </c>
      <c r="J87" s="4" t="n"/>
      <c r="K87" s="3" t="inlineStr">
        <is>
          <t>kg</t>
        </is>
      </c>
      <c r="L87" s="3" t="n"/>
      <c r="M87" s="5" t="n"/>
      <c r="N87" s="6" t="n"/>
      <c r="O87" s="3" t="inlineStr">
        <is>
          <t>kgCO2e/product</t>
        </is>
      </c>
      <c r="P87" s="7" t="n"/>
      <c r="Q87" s="4" t="n"/>
      <c r="R87" s="8" t="n"/>
      <c r="S87" s="3" t="inlineStr">
        <is>
          <t>Supplier</t>
        </is>
      </c>
      <c r="T87" s="3" t="inlineStr">
        <is>
          <t>No</t>
        </is>
      </c>
      <c r="U87" s="5" t="n"/>
      <c r="V87" s="3" t="n"/>
      <c r="W87" s="3" t="n"/>
      <c r="X87" s="6" t="n"/>
      <c r="Y87" s="3" t="inlineStr">
        <is>
          <t>kgCO2e/product</t>
        </is>
      </c>
      <c r="Z87" s="3" t="n"/>
      <c r="AA87" s="7" t="n"/>
      <c r="AB87" s="3" t="n"/>
      <c r="AC87" s="3" t="n"/>
      <c r="AD87" s="6" t="n"/>
      <c r="AE87" s="3" t="inlineStr">
        <is>
          <t>kgCO2e/product</t>
        </is>
      </c>
      <c r="AF87" s="3" t="n"/>
      <c r="AG87" s="7" t="n">
        <v>0</v>
      </c>
      <c r="AH87" s="3" t="n"/>
      <c r="AI87" s="3" t="n"/>
      <c r="AJ87" s="3" t="n"/>
      <c r="AK87" s="4">
        <f>IF(COUNT(AH87,AI87,AJ87)=0,"",ROUND(AVERAGE(AH87,AI87,AJ87),3))</f>
        <v/>
      </c>
      <c r="AL87" s="3">
        <f>IF(X87="","",ROUND(X87*IF(H87="",0,H87)*(1+IF(AA87="",0,AA87)),5))</f>
        <v/>
      </c>
      <c r="AM87" s="3" t="inlineStr">
        <is>
          <t>kgCO2e/product</t>
        </is>
      </c>
      <c r="AN87" s="5" t="n"/>
      <c r="AO87" s="9">
        <f>IF(AND($A87&lt;&gt;"",E87=""),"Supplier code empty (High);","")&amp;IF(AND(P87&lt;&gt;"",OR(P87&gt;1,P87&lt;0)),"Incorrect PDS value (High);",IF(AND(P87&lt;&gt;"",P87&gt;0.5),"High PDS value (Medium);",""))&amp;IF(AND(Q87&lt;&gt;"",OR(Q87&gt;5,Q87&lt;1)),"Incorrect DQR value (High);","")&amp;IF(AND(N87&lt;&gt;"",OR(N87&lt;=0,N87&gt;100)),"Unusual PCF value might be wrong (High);","")&amp;IF(AND(AG87&lt;&gt;"",OR(AG87&gt;1,AG87&lt;0)),"Incorrect PDS value (High);",IF(AND(AG87&lt;&gt;"",AG87&gt;0.5),"High PDS value (Medium);",""))&amp;IF(AND(AK87&lt;&gt;"",OR(AK87&gt;5,AK87&lt;1)),"Incorrect DQR value (High);","")&amp;IF(AND(AA87&lt;&gt;"",OR(AA87&gt;1,AA87&lt;0)),"Incorrect scrap rate (High);",IF(AND(AA87&lt;&gt;"",AA87&gt;0.2),"High scrap rate (Medium);",IF(AND($A87&lt;&gt;"",AA87=0),"No scrap rate (No impact);","")))&amp;""</f>
        <v/>
      </c>
      <c r="AP87" s="9" t="n"/>
    </row>
    <row r="88">
      <c r="A88" s="3" t="n"/>
      <c r="B88" s="3" t="n"/>
      <c r="C88" s="3" t="n"/>
      <c r="D88" s="3" t="n"/>
      <c r="E88" s="3" t="n"/>
      <c r="F88" s="3" t="n"/>
      <c r="G88" s="4" t="n"/>
      <c r="H88" s="4" t="n"/>
      <c r="I88" s="3" t="inlineStr">
        <is>
          <t>kg</t>
        </is>
      </c>
      <c r="J88" s="4" t="n"/>
      <c r="K88" s="3" t="inlineStr">
        <is>
          <t>kg</t>
        </is>
      </c>
      <c r="L88" s="3" t="n"/>
      <c r="M88" s="5" t="n"/>
      <c r="N88" s="6" t="n"/>
      <c r="O88" s="3" t="inlineStr">
        <is>
          <t>kgCO2e/product</t>
        </is>
      </c>
      <c r="P88" s="7" t="n"/>
      <c r="Q88" s="4" t="n"/>
      <c r="R88" s="8" t="n"/>
      <c r="S88" s="3" t="inlineStr">
        <is>
          <t>Supplier</t>
        </is>
      </c>
      <c r="T88" s="3" t="inlineStr">
        <is>
          <t>No</t>
        </is>
      </c>
      <c r="U88" s="5" t="n"/>
      <c r="V88" s="3" t="n"/>
      <c r="W88" s="3" t="n"/>
      <c r="X88" s="6" t="n"/>
      <c r="Y88" s="3" t="inlineStr">
        <is>
          <t>kgCO2e/product</t>
        </is>
      </c>
      <c r="Z88" s="3" t="n"/>
      <c r="AA88" s="7" t="n"/>
      <c r="AB88" s="3" t="n"/>
      <c r="AC88" s="3" t="n"/>
      <c r="AD88" s="6" t="n"/>
      <c r="AE88" s="3" t="inlineStr">
        <is>
          <t>kgCO2e/product</t>
        </is>
      </c>
      <c r="AF88" s="3" t="n"/>
      <c r="AG88" s="7" t="n">
        <v>0</v>
      </c>
      <c r="AH88" s="3" t="n"/>
      <c r="AI88" s="3" t="n"/>
      <c r="AJ88" s="3" t="n"/>
      <c r="AK88" s="4">
        <f>IF(COUNT(AH88,AI88,AJ88)=0,"",ROUND(AVERAGE(AH88,AI88,AJ88),3))</f>
        <v/>
      </c>
      <c r="AL88" s="3">
        <f>IF(X88="","",ROUND(X88*IF(H88="",0,H88)*(1+IF(AA88="",0,AA88)),5))</f>
        <v/>
      </c>
      <c r="AM88" s="3" t="inlineStr">
        <is>
          <t>kgCO2e/product</t>
        </is>
      </c>
      <c r="AN88" s="5" t="n"/>
      <c r="AO88" s="9">
        <f>IF(AND($A88&lt;&gt;"",E88=""),"Supplier code empty (High);","")&amp;IF(AND(P88&lt;&gt;"",OR(P88&gt;1,P88&lt;0)),"Incorrect PDS value (High);",IF(AND(P88&lt;&gt;"",P88&gt;0.5),"High PDS value (Medium);",""))&amp;IF(AND(Q88&lt;&gt;"",OR(Q88&gt;5,Q88&lt;1)),"Incorrect DQR value (High);","")&amp;IF(AND(N88&lt;&gt;"",OR(N88&lt;=0,N88&gt;100)),"Unusual PCF value might be wrong (High);","")&amp;IF(AND(AG88&lt;&gt;"",OR(AG88&gt;1,AG88&lt;0)),"Incorrect PDS value (High);",IF(AND(AG88&lt;&gt;"",AG88&gt;0.5),"High PDS value (Medium);",""))&amp;IF(AND(AK88&lt;&gt;"",OR(AK88&gt;5,AK88&lt;1)),"Incorrect DQR value (High);","")&amp;IF(AND(AA88&lt;&gt;"",OR(AA88&gt;1,AA88&lt;0)),"Incorrect scrap rate (High);",IF(AND(AA88&lt;&gt;"",AA88&gt;0.2),"High scrap rate (Medium);",IF(AND($A88&lt;&gt;"",AA88=0),"No scrap rate (No impact);","")))&amp;""</f>
        <v/>
      </c>
      <c r="AP88" s="9" t="n"/>
    </row>
    <row r="89">
      <c r="A89" s="3" t="n"/>
      <c r="B89" s="3" t="n"/>
      <c r="C89" s="3" t="n"/>
      <c r="D89" s="3" t="n"/>
      <c r="E89" s="3" t="n"/>
      <c r="F89" s="3" t="n"/>
      <c r="G89" s="4" t="n"/>
      <c r="H89" s="4" t="n"/>
      <c r="I89" s="3" t="inlineStr">
        <is>
          <t>kg</t>
        </is>
      </c>
      <c r="J89" s="4" t="n"/>
      <c r="K89" s="3" t="inlineStr">
        <is>
          <t>kg</t>
        </is>
      </c>
      <c r="L89" s="3" t="n"/>
      <c r="M89" s="5" t="n"/>
      <c r="N89" s="6" t="n"/>
      <c r="O89" s="3" t="inlineStr">
        <is>
          <t>kgCO2e/product</t>
        </is>
      </c>
      <c r="P89" s="7" t="n"/>
      <c r="Q89" s="4" t="n"/>
      <c r="R89" s="8" t="n"/>
      <c r="S89" s="3" t="inlineStr">
        <is>
          <t>Supplier</t>
        </is>
      </c>
      <c r="T89" s="3" t="inlineStr">
        <is>
          <t>No</t>
        </is>
      </c>
      <c r="U89" s="5" t="n"/>
      <c r="V89" s="3" t="n"/>
      <c r="W89" s="3" t="n"/>
      <c r="X89" s="6" t="n"/>
      <c r="Y89" s="3" t="inlineStr">
        <is>
          <t>kgCO2e/product</t>
        </is>
      </c>
      <c r="Z89" s="3" t="n"/>
      <c r="AA89" s="7" t="n"/>
      <c r="AB89" s="3" t="n"/>
      <c r="AC89" s="3" t="n"/>
      <c r="AD89" s="6" t="n"/>
      <c r="AE89" s="3" t="inlineStr">
        <is>
          <t>kgCO2e/product</t>
        </is>
      </c>
      <c r="AF89" s="3" t="n"/>
      <c r="AG89" s="7" t="n">
        <v>0</v>
      </c>
      <c r="AH89" s="3" t="n"/>
      <c r="AI89" s="3" t="n"/>
      <c r="AJ89" s="3" t="n"/>
      <c r="AK89" s="4">
        <f>IF(COUNT(AH89,AI89,AJ89)=0,"",ROUND(AVERAGE(AH89,AI89,AJ89),3))</f>
        <v/>
      </c>
      <c r="AL89" s="3">
        <f>IF(X89="","",ROUND(X89*IF(H89="",0,H89)*(1+IF(AA89="",0,AA89)),5))</f>
        <v/>
      </c>
      <c r="AM89" s="3" t="inlineStr">
        <is>
          <t>kgCO2e/product</t>
        </is>
      </c>
      <c r="AN89" s="5" t="n"/>
      <c r="AO89" s="9">
        <f>IF(AND($A89&lt;&gt;"",E89=""),"Supplier code empty (High);","")&amp;IF(AND(P89&lt;&gt;"",OR(P89&gt;1,P89&lt;0)),"Incorrect PDS value (High);",IF(AND(P89&lt;&gt;"",P89&gt;0.5),"High PDS value (Medium);",""))&amp;IF(AND(Q89&lt;&gt;"",OR(Q89&gt;5,Q89&lt;1)),"Incorrect DQR value (High);","")&amp;IF(AND(N89&lt;&gt;"",OR(N89&lt;=0,N89&gt;100)),"Unusual PCF value might be wrong (High);","")&amp;IF(AND(AG89&lt;&gt;"",OR(AG89&gt;1,AG89&lt;0)),"Incorrect PDS value (High);",IF(AND(AG89&lt;&gt;"",AG89&gt;0.5),"High PDS value (Medium);",""))&amp;IF(AND(AK89&lt;&gt;"",OR(AK89&gt;5,AK89&lt;1)),"Incorrect DQR value (High);","")&amp;IF(AND(AA89&lt;&gt;"",OR(AA89&gt;1,AA89&lt;0)),"Incorrect scrap rate (High);",IF(AND(AA89&lt;&gt;"",AA89&gt;0.2),"High scrap rate (Medium);",IF(AND($A89&lt;&gt;"",AA89=0),"No scrap rate (No impact);","")))&amp;""</f>
        <v/>
      </c>
      <c r="AP89" s="9" t="n"/>
    </row>
    <row r="90">
      <c r="A90" s="3" t="n"/>
      <c r="B90" s="3" t="n"/>
      <c r="C90" s="3" t="n"/>
      <c r="D90" s="3" t="n"/>
      <c r="E90" s="3" t="n"/>
      <c r="F90" s="3" t="n"/>
      <c r="G90" s="4" t="n"/>
      <c r="H90" s="4" t="n"/>
      <c r="I90" s="3" t="inlineStr">
        <is>
          <t>kg</t>
        </is>
      </c>
      <c r="J90" s="4" t="n"/>
      <c r="K90" s="3" t="inlineStr">
        <is>
          <t>kg</t>
        </is>
      </c>
      <c r="L90" s="3" t="n"/>
      <c r="M90" s="5" t="n"/>
      <c r="N90" s="6" t="n"/>
      <c r="O90" s="3" t="inlineStr">
        <is>
          <t>kgCO2e/product</t>
        </is>
      </c>
      <c r="P90" s="7" t="n"/>
      <c r="Q90" s="4" t="n"/>
      <c r="R90" s="8" t="n"/>
      <c r="S90" s="3" t="inlineStr">
        <is>
          <t>Supplier</t>
        </is>
      </c>
      <c r="T90" s="3" t="inlineStr">
        <is>
          <t>No</t>
        </is>
      </c>
      <c r="U90" s="5" t="n"/>
      <c r="V90" s="3" t="n"/>
      <c r="W90" s="3" t="n"/>
      <c r="X90" s="6" t="n"/>
      <c r="Y90" s="3" t="inlineStr">
        <is>
          <t>kgCO2e/product</t>
        </is>
      </c>
      <c r="Z90" s="3" t="n"/>
      <c r="AA90" s="7" t="n"/>
      <c r="AB90" s="3" t="n"/>
      <c r="AC90" s="3" t="n"/>
      <c r="AD90" s="6" t="n"/>
      <c r="AE90" s="3" t="inlineStr">
        <is>
          <t>kgCO2e/product</t>
        </is>
      </c>
      <c r="AF90" s="3" t="n"/>
      <c r="AG90" s="7" t="n">
        <v>0</v>
      </c>
      <c r="AH90" s="3" t="n"/>
      <c r="AI90" s="3" t="n"/>
      <c r="AJ90" s="3" t="n"/>
      <c r="AK90" s="4">
        <f>IF(COUNT(AH90,AI90,AJ90)=0,"",ROUND(AVERAGE(AH90,AI90,AJ90),3))</f>
        <v/>
      </c>
      <c r="AL90" s="3">
        <f>IF(X90="","",ROUND(X90*IF(H90="",0,H90)*(1+IF(AA90="",0,AA90)),5))</f>
        <v/>
      </c>
      <c r="AM90" s="3" t="inlineStr">
        <is>
          <t>kgCO2e/product</t>
        </is>
      </c>
      <c r="AN90" s="5" t="n"/>
      <c r="AO90" s="9">
        <f>IF(AND($A90&lt;&gt;"",E90=""),"Supplier code empty (High);","")&amp;IF(AND(P90&lt;&gt;"",OR(P90&gt;1,P90&lt;0)),"Incorrect PDS value (High);",IF(AND(P90&lt;&gt;"",P90&gt;0.5),"High PDS value (Medium);",""))&amp;IF(AND(Q90&lt;&gt;"",OR(Q90&gt;5,Q90&lt;1)),"Incorrect DQR value (High);","")&amp;IF(AND(N90&lt;&gt;"",OR(N90&lt;=0,N90&gt;100)),"Unusual PCF value might be wrong (High);","")&amp;IF(AND(AG90&lt;&gt;"",OR(AG90&gt;1,AG90&lt;0)),"Incorrect PDS value (High);",IF(AND(AG90&lt;&gt;"",AG90&gt;0.5),"High PDS value (Medium);",""))&amp;IF(AND(AK90&lt;&gt;"",OR(AK90&gt;5,AK90&lt;1)),"Incorrect DQR value (High);","")&amp;IF(AND(AA90&lt;&gt;"",OR(AA90&gt;1,AA90&lt;0)),"Incorrect scrap rate (High);",IF(AND(AA90&lt;&gt;"",AA90&gt;0.2),"High scrap rate (Medium);",IF(AND($A90&lt;&gt;"",AA90=0),"No scrap rate (No impact);","")))&amp;""</f>
        <v/>
      </c>
      <c r="AP90" s="9" t="n"/>
    </row>
    <row r="91">
      <c r="A91" s="3" t="n"/>
      <c r="B91" s="3" t="n"/>
      <c r="C91" s="3" t="n"/>
      <c r="D91" s="3" t="n"/>
      <c r="E91" s="3" t="n"/>
      <c r="F91" s="3" t="n"/>
      <c r="G91" s="4" t="n"/>
      <c r="H91" s="4" t="n"/>
      <c r="I91" s="3" t="inlineStr">
        <is>
          <t>kg</t>
        </is>
      </c>
      <c r="J91" s="4" t="n"/>
      <c r="K91" s="3" t="inlineStr">
        <is>
          <t>kg</t>
        </is>
      </c>
      <c r="L91" s="3" t="n"/>
      <c r="M91" s="5" t="n"/>
      <c r="N91" s="6" t="n"/>
      <c r="O91" s="3" t="inlineStr">
        <is>
          <t>kgCO2e/product</t>
        </is>
      </c>
      <c r="P91" s="7" t="n"/>
      <c r="Q91" s="4" t="n"/>
      <c r="R91" s="8" t="n"/>
      <c r="S91" s="3" t="inlineStr">
        <is>
          <t>Supplier</t>
        </is>
      </c>
      <c r="T91" s="3" t="inlineStr">
        <is>
          <t>No</t>
        </is>
      </c>
      <c r="U91" s="5" t="n"/>
      <c r="V91" s="3" t="n"/>
      <c r="W91" s="3" t="n"/>
      <c r="X91" s="6" t="n"/>
      <c r="Y91" s="3" t="inlineStr">
        <is>
          <t>kgCO2e/product</t>
        </is>
      </c>
      <c r="Z91" s="3" t="n"/>
      <c r="AA91" s="7" t="n"/>
      <c r="AB91" s="3" t="n"/>
      <c r="AC91" s="3" t="n"/>
      <c r="AD91" s="6" t="n"/>
      <c r="AE91" s="3" t="inlineStr">
        <is>
          <t>kgCO2e/product</t>
        </is>
      </c>
      <c r="AF91" s="3" t="n"/>
      <c r="AG91" s="7" t="n">
        <v>0</v>
      </c>
      <c r="AH91" s="3" t="n"/>
      <c r="AI91" s="3" t="n"/>
      <c r="AJ91" s="3" t="n"/>
      <c r="AK91" s="4">
        <f>IF(COUNT(AH91,AI91,AJ91)=0,"",ROUND(AVERAGE(AH91,AI91,AJ91),3))</f>
        <v/>
      </c>
      <c r="AL91" s="3">
        <f>IF(X91="","",ROUND(X91*IF(H91="",0,H91)*(1+IF(AA91="",0,AA91)),5))</f>
        <v/>
      </c>
      <c r="AM91" s="3" t="inlineStr">
        <is>
          <t>kgCO2e/product</t>
        </is>
      </c>
      <c r="AN91" s="5" t="n"/>
      <c r="AO91" s="9">
        <f>IF(AND($A91&lt;&gt;"",E91=""),"Supplier code empty (High);","")&amp;IF(AND(P91&lt;&gt;"",OR(P91&gt;1,P91&lt;0)),"Incorrect PDS value (High);",IF(AND(P91&lt;&gt;"",P91&gt;0.5),"High PDS value (Medium);",""))&amp;IF(AND(Q91&lt;&gt;"",OR(Q91&gt;5,Q91&lt;1)),"Incorrect DQR value (High);","")&amp;IF(AND(N91&lt;&gt;"",OR(N91&lt;=0,N91&gt;100)),"Unusual PCF value might be wrong (High);","")&amp;IF(AND(AG91&lt;&gt;"",OR(AG91&gt;1,AG91&lt;0)),"Incorrect PDS value (High);",IF(AND(AG91&lt;&gt;"",AG91&gt;0.5),"High PDS value (Medium);",""))&amp;IF(AND(AK91&lt;&gt;"",OR(AK91&gt;5,AK91&lt;1)),"Incorrect DQR value (High);","")&amp;IF(AND(AA91&lt;&gt;"",OR(AA91&gt;1,AA91&lt;0)),"Incorrect scrap rate (High);",IF(AND(AA91&lt;&gt;"",AA91&gt;0.2),"High scrap rate (Medium);",IF(AND($A91&lt;&gt;"",AA91=0),"No scrap rate (No impact);","")))&amp;""</f>
        <v/>
      </c>
      <c r="AP91" s="9" t="n"/>
    </row>
    <row r="92">
      <c r="A92" s="3" t="n"/>
      <c r="B92" s="3" t="n"/>
      <c r="C92" s="3" t="n"/>
      <c r="D92" s="3" t="n"/>
      <c r="E92" s="3" t="n"/>
      <c r="F92" s="3" t="n"/>
      <c r="G92" s="4" t="n"/>
      <c r="H92" s="4" t="n"/>
      <c r="I92" s="3" t="inlineStr">
        <is>
          <t>kg</t>
        </is>
      </c>
      <c r="J92" s="4" t="n"/>
      <c r="K92" s="3" t="inlineStr">
        <is>
          <t>kg</t>
        </is>
      </c>
      <c r="L92" s="3" t="n"/>
      <c r="M92" s="5" t="n"/>
      <c r="N92" s="6" t="n"/>
      <c r="O92" s="3" t="inlineStr">
        <is>
          <t>kgCO2e/product</t>
        </is>
      </c>
      <c r="P92" s="7" t="n"/>
      <c r="Q92" s="4" t="n"/>
      <c r="R92" s="8" t="n"/>
      <c r="S92" s="3" t="inlineStr">
        <is>
          <t>Supplier</t>
        </is>
      </c>
      <c r="T92" s="3" t="inlineStr">
        <is>
          <t>No</t>
        </is>
      </c>
      <c r="U92" s="5" t="n"/>
      <c r="V92" s="3" t="n"/>
      <c r="W92" s="3" t="n"/>
      <c r="X92" s="6" t="n"/>
      <c r="Y92" s="3" t="inlineStr">
        <is>
          <t>kgCO2e/product</t>
        </is>
      </c>
      <c r="Z92" s="3" t="n"/>
      <c r="AA92" s="7" t="n"/>
      <c r="AB92" s="3" t="n"/>
      <c r="AC92" s="3" t="n"/>
      <c r="AD92" s="6" t="n"/>
      <c r="AE92" s="3" t="inlineStr">
        <is>
          <t>kgCO2e/product</t>
        </is>
      </c>
      <c r="AF92" s="3" t="n"/>
      <c r="AG92" s="7" t="n">
        <v>0</v>
      </c>
      <c r="AH92" s="3" t="n"/>
      <c r="AI92" s="3" t="n"/>
      <c r="AJ92" s="3" t="n"/>
      <c r="AK92" s="4">
        <f>IF(COUNT(AH92,AI92,AJ92)=0,"",ROUND(AVERAGE(AH92,AI92,AJ92),3))</f>
        <v/>
      </c>
      <c r="AL92" s="3">
        <f>IF(X92="","",ROUND(X92*IF(H92="",0,H92)*(1+IF(AA92="",0,AA92)),5))</f>
        <v/>
      </c>
      <c r="AM92" s="3" t="inlineStr">
        <is>
          <t>kgCO2e/product</t>
        </is>
      </c>
      <c r="AN92" s="5" t="n"/>
      <c r="AO92" s="9">
        <f>IF(AND($A92&lt;&gt;"",E92=""),"Supplier code empty (High);","")&amp;IF(AND(P92&lt;&gt;"",OR(P92&gt;1,P92&lt;0)),"Incorrect PDS value (High);",IF(AND(P92&lt;&gt;"",P92&gt;0.5),"High PDS value (Medium);",""))&amp;IF(AND(Q92&lt;&gt;"",OR(Q92&gt;5,Q92&lt;1)),"Incorrect DQR value (High);","")&amp;IF(AND(N92&lt;&gt;"",OR(N92&lt;=0,N92&gt;100)),"Unusual PCF value might be wrong (High);","")&amp;IF(AND(AG92&lt;&gt;"",OR(AG92&gt;1,AG92&lt;0)),"Incorrect PDS value (High);",IF(AND(AG92&lt;&gt;"",AG92&gt;0.5),"High PDS value (Medium);",""))&amp;IF(AND(AK92&lt;&gt;"",OR(AK92&gt;5,AK92&lt;1)),"Incorrect DQR value (High);","")&amp;IF(AND(AA92&lt;&gt;"",OR(AA92&gt;1,AA92&lt;0)),"Incorrect scrap rate (High);",IF(AND(AA92&lt;&gt;"",AA92&gt;0.2),"High scrap rate (Medium);",IF(AND($A92&lt;&gt;"",AA92=0),"No scrap rate (No impact);","")))&amp;""</f>
        <v/>
      </c>
      <c r="AP92" s="9" t="n"/>
    </row>
    <row r="93">
      <c r="A93" s="3" t="n"/>
      <c r="B93" s="3" t="n"/>
      <c r="C93" s="3" t="n"/>
      <c r="D93" s="3" t="n"/>
      <c r="E93" s="3" t="n"/>
      <c r="F93" s="3" t="n"/>
      <c r="G93" s="4" t="n"/>
      <c r="H93" s="4" t="n"/>
      <c r="I93" s="3" t="inlineStr">
        <is>
          <t>kg</t>
        </is>
      </c>
      <c r="J93" s="4" t="n"/>
      <c r="K93" s="3" t="inlineStr">
        <is>
          <t>kg</t>
        </is>
      </c>
      <c r="L93" s="3" t="n"/>
      <c r="M93" s="5" t="n"/>
      <c r="N93" s="6" t="n"/>
      <c r="O93" s="3" t="inlineStr">
        <is>
          <t>kgCO2e/product</t>
        </is>
      </c>
      <c r="P93" s="7" t="n"/>
      <c r="Q93" s="4" t="n"/>
      <c r="R93" s="8" t="n"/>
      <c r="S93" s="3" t="inlineStr">
        <is>
          <t>Supplier</t>
        </is>
      </c>
      <c r="T93" s="3" t="inlineStr">
        <is>
          <t>No</t>
        </is>
      </c>
      <c r="U93" s="5" t="n"/>
      <c r="V93" s="3" t="n"/>
      <c r="W93" s="3" t="n"/>
      <c r="X93" s="6" t="n"/>
      <c r="Y93" s="3" t="inlineStr">
        <is>
          <t>kgCO2e/product</t>
        </is>
      </c>
      <c r="Z93" s="3" t="n"/>
      <c r="AA93" s="7" t="n"/>
      <c r="AB93" s="3" t="n"/>
      <c r="AC93" s="3" t="n"/>
      <c r="AD93" s="6" t="n"/>
      <c r="AE93" s="3" t="inlineStr">
        <is>
          <t>kgCO2e/product</t>
        </is>
      </c>
      <c r="AF93" s="3" t="n"/>
      <c r="AG93" s="7" t="n">
        <v>0</v>
      </c>
      <c r="AH93" s="3" t="n"/>
      <c r="AI93" s="3" t="n"/>
      <c r="AJ93" s="3" t="n"/>
      <c r="AK93" s="4">
        <f>IF(COUNT(AH93,AI93,AJ93)=0,"",ROUND(AVERAGE(AH93,AI93,AJ93),3))</f>
        <v/>
      </c>
      <c r="AL93" s="3">
        <f>IF(X93="","",ROUND(X93*IF(H93="",0,H93)*(1+IF(AA93="",0,AA93)),5))</f>
        <v/>
      </c>
      <c r="AM93" s="3" t="inlineStr">
        <is>
          <t>kgCO2e/product</t>
        </is>
      </c>
      <c r="AN93" s="5" t="n"/>
      <c r="AO93" s="9">
        <f>IF(AND($A93&lt;&gt;"",E93=""),"Supplier code empty (High);","")&amp;IF(AND(P93&lt;&gt;"",OR(P93&gt;1,P93&lt;0)),"Incorrect PDS value (High);",IF(AND(P93&lt;&gt;"",P93&gt;0.5),"High PDS value (Medium);",""))&amp;IF(AND(Q93&lt;&gt;"",OR(Q93&gt;5,Q93&lt;1)),"Incorrect DQR value (High);","")&amp;IF(AND(N93&lt;&gt;"",OR(N93&lt;=0,N93&gt;100)),"Unusual PCF value might be wrong (High);","")&amp;IF(AND(AG93&lt;&gt;"",OR(AG93&gt;1,AG93&lt;0)),"Incorrect PDS value (High);",IF(AND(AG93&lt;&gt;"",AG93&gt;0.5),"High PDS value (Medium);",""))&amp;IF(AND(AK93&lt;&gt;"",OR(AK93&gt;5,AK93&lt;1)),"Incorrect DQR value (High);","")&amp;IF(AND(AA93&lt;&gt;"",OR(AA93&gt;1,AA93&lt;0)),"Incorrect scrap rate (High);",IF(AND(AA93&lt;&gt;"",AA93&gt;0.2),"High scrap rate (Medium);",IF(AND($A93&lt;&gt;"",AA93=0),"No scrap rate (No impact);","")))&amp;""</f>
        <v/>
      </c>
      <c r="AP93" s="9" t="n"/>
    </row>
    <row r="94">
      <c r="A94" s="3" t="n"/>
      <c r="B94" s="3" t="n"/>
      <c r="C94" s="3" t="n"/>
      <c r="D94" s="3" t="n"/>
      <c r="E94" s="3" t="n"/>
      <c r="F94" s="3" t="n"/>
      <c r="G94" s="4" t="n"/>
      <c r="H94" s="4" t="n"/>
      <c r="I94" s="3" t="inlineStr">
        <is>
          <t>kg</t>
        </is>
      </c>
      <c r="J94" s="4" t="n"/>
      <c r="K94" s="3" t="inlineStr">
        <is>
          <t>kg</t>
        </is>
      </c>
      <c r="L94" s="3" t="n"/>
      <c r="M94" s="5" t="n"/>
      <c r="N94" s="6" t="n"/>
      <c r="O94" s="3" t="inlineStr">
        <is>
          <t>kgCO2e/product</t>
        </is>
      </c>
      <c r="P94" s="7" t="n"/>
      <c r="Q94" s="4" t="n"/>
      <c r="R94" s="8" t="n"/>
      <c r="S94" s="3" t="inlineStr">
        <is>
          <t>Supplier</t>
        </is>
      </c>
      <c r="T94" s="3" t="inlineStr">
        <is>
          <t>No</t>
        </is>
      </c>
      <c r="U94" s="5" t="n"/>
      <c r="V94" s="3" t="n"/>
      <c r="W94" s="3" t="n"/>
      <c r="X94" s="6" t="n"/>
      <c r="Y94" s="3" t="inlineStr">
        <is>
          <t>kgCO2e/product</t>
        </is>
      </c>
      <c r="Z94" s="3" t="n"/>
      <c r="AA94" s="7" t="n"/>
      <c r="AB94" s="3" t="n"/>
      <c r="AC94" s="3" t="n"/>
      <c r="AD94" s="6" t="n"/>
      <c r="AE94" s="3" t="inlineStr">
        <is>
          <t>kgCO2e/product</t>
        </is>
      </c>
      <c r="AF94" s="3" t="n"/>
      <c r="AG94" s="7" t="n">
        <v>0</v>
      </c>
      <c r="AH94" s="3" t="n"/>
      <c r="AI94" s="3" t="n"/>
      <c r="AJ94" s="3" t="n"/>
      <c r="AK94" s="4">
        <f>IF(COUNT(AH94,AI94,AJ94)=0,"",ROUND(AVERAGE(AH94,AI94,AJ94),3))</f>
        <v/>
      </c>
      <c r="AL94" s="3">
        <f>IF(X94="","",ROUND(X94*IF(H94="",0,H94)*(1+IF(AA94="",0,AA94)),5))</f>
        <v/>
      </c>
      <c r="AM94" s="3" t="inlineStr">
        <is>
          <t>kgCO2e/product</t>
        </is>
      </c>
      <c r="AN94" s="5" t="n"/>
      <c r="AO94" s="9">
        <f>IF(AND($A94&lt;&gt;"",E94=""),"Supplier code empty (High);","")&amp;IF(AND(P94&lt;&gt;"",OR(P94&gt;1,P94&lt;0)),"Incorrect PDS value (High);",IF(AND(P94&lt;&gt;"",P94&gt;0.5),"High PDS value (Medium);",""))&amp;IF(AND(Q94&lt;&gt;"",OR(Q94&gt;5,Q94&lt;1)),"Incorrect DQR value (High);","")&amp;IF(AND(N94&lt;&gt;"",OR(N94&lt;=0,N94&gt;100)),"Unusual PCF value might be wrong (High);","")&amp;IF(AND(AG94&lt;&gt;"",OR(AG94&gt;1,AG94&lt;0)),"Incorrect PDS value (High);",IF(AND(AG94&lt;&gt;"",AG94&gt;0.5),"High PDS value (Medium);",""))&amp;IF(AND(AK94&lt;&gt;"",OR(AK94&gt;5,AK94&lt;1)),"Incorrect DQR value (High);","")&amp;IF(AND(AA94&lt;&gt;"",OR(AA94&gt;1,AA94&lt;0)),"Incorrect scrap rate (High);",IF(AND(AA94&lt;&gt;"",AA94&gt;0.2),"High scrap rate (Medium);",IF(AND($A94&lt;&gt;"",AA94=0),"No scrap rate (No impact);","")))&amp;""</f>
        <v/>
      </c>
      <c r="AP94" s="9" t="n"/>
    </row>
    <row r="95">
      <c r="A95" s="3" t="n"/>
      <c r="B95" s="3" t="n"/>
      <c r="C95" s="3" t="n"/>
      <c r="D95" s="3" t="n"/>
      <c r="E95" s="3" t="n"/>
      <c r="F95" s="3" t="n"/>
      <c r="G95" s="4" t="n"/>
      <c r="H95" s="4" t="n"/>
      <c r="I95" s="3" t="inlineStr">
        <is>
          <t>kg</t>
        </is>
      </c>
      <c r="J95" s="4" t="n"/>
      <c r="K95" s="3" t="inlineStr">
        <is>
          <t>kg</t>
        </is>
      </c>
      <c r="L95" s="3" t="n"/>
      <c r="M95" s="5" t="n"/>
      <c r="N95" s="6" t="n"/>
      <c r="O95" s="3" t="inlineStr">
        <is>
          <t>kgCO2e/product</t>
        </is>
      </c>
      <c r="P95" s="7" t="n"/>
      <c r="Q95" s="4" t="n"/>
      <c r="R95" s="8" t="n"/>
      <c r="S95" s="3" t="inlineStr">
        <is>
          <t>Supplier</t>
        </is>
      </c>
      <c r="T95" s="3" t="inlineStr">
        <is>
          <t>No</t>
        </is>
      </c>
      <c r="U95" s="5" t="n"/>
      <c r="V95" s="3" t="n"/>
      <c r="W95" s="3" t="n"/>
      <c r="X95" s="6" t="n"/>
      <c r="Y95" s="3" t="inlineStr">
        <is>
          <t>kgCO2e/product</t>
        </is>
      </c>
      <c r="Z95" s="3" t="n"/>
      <c r="AA95" s="7" t="n"/>
      <c r="AB95" s="3" t="n"/>
      <c r="AC95" s="3" t="n"/>
      <c r="AD95" s="6" t="n"/>
      <c r="AE95" s="3" t="inlineStr">
        <is>
          <t>kgCO2e/product</t>
        </is>
      </c>
      <c r="AF95" s="3" t="n"/>
      <c r="AG95" s="7" t="n">
        <v>0</v>
      </c>
      <c r="AH95" s="3" t="n"/>
      <c r="AI95" s="3" t="n"/>
      <c r="AJ95" s="3" t="n"/>
      <c r="AK95" s="4">
        <f>IF(COUNT(AH95,AI95,AJ95)=0,"",ROUND(AVERAGE(AH95,AI95,AJ95),3))</f>
        <v/>
      </c>
      <c r="AL95" s="3">
        <f>IF(X95="","",ROUND(X95*IF(H95="",0,H95)*(1+IF(AA95="",0,AA95)),5))</f>
        <v/>
      </c>
      <c r="AM95" s="3" t="inlineStr">
        <is>
          <t>kgCO2e/product</t>
        </is>
      </c>
      <c r="AN95" s="5" t="n"/>
      <c r="AO95" s="9">
        <f>IF(AND($A95&lt;&gt;"",E95=""),"Supplier code empty (High);","")&amp;IF(AND(P95&lt;&gt;"",OR(P95&gt;1,P95&lt;0)),"Incorrect PDS value (High);",IF(AND(P95&lt;&gt;"",P95&gt;0.5),"High PDS value (Medium);",""))&amp;IF(AND(Q95&lt;&gt;"",OR(Q95&gt;5,Q95&lt;1)),"Incorrect DQR value (High);","")&amp;IF(AND(N95&lt;&gt;"",OR(N95&lt;=0,N95&gt;100)),"Unusual PCF value might be wrong (High);","")&amp;IF(AND(AG95&lt;&gt;"",OR(AG95&gt;1,AG95&lt;0)),"Incorrect PDS value (High);",IF(AND(AG95&lt;&gt;"",AG95&gt;0.5),"High PDS value (Medium);",""))&amp;IF(AND(AK95&lt;&gt;"",OR(AK95&gt;5,AK95&lt;1)),"Incorrect DQR value (High);","")&amp;IF(AND(AA95&lt;&gt;"",OR(AA95&gt;1,AA95&lt;0)),"Incorrect scrap rate (High);",IF(AND(AA95&lt;&gt;"",AA95&gt;0.2),"High scrap rate (Medium);",IF(AND($A95&lt;&gt;"",AA95=0),"No scrap rate (No impact);","")))&amp;""</f>
        <v/>
      </c>
      <c r="AP95" s="9" t="n"/>
    </row>
    <row r="96">
      <c r="A96" s="3" t="n"/>
      <c r="B96" s="3" t="n"/>
      <c r="C96" s="3" t="n"/>
      <c r="D96" s="3" t="n"/>
      <c r="E96" s="3" t="n"/>
      <c r="F96" s="3" t="n"/>
      <c r="G96" s="4" t="n"/>
      <c r="H96" s="4" t="n"/>
      <c r="I96" s="3" t="inlineStr">
        <is>
          <t>kg</t>
        </is>
      </c>
      <c r="J96" s="4" t="n"/>
      <c r="K96" s="3" t="inlineStr">
        <is>
          <t>kg</t>
        </is>
      </c>
      <c r="L96" s="3" t="n"/>
      <c r="M96" s="5" t="n"/>
      <c r="N96" s="6" t="n"/>
      <c r="O96" s="3" t="inlineStr">
        <is>
          <t>kgCO2e/product</t>
        </is>
      </c>
      <c r="P96" s="7" t="n"/>
      <c r="Q96" s="4" t="n"/>
      <c r="R96" s="8" t="n"/>
      <c r="S96" s="3" t="inlineStr">
        <is>
          <t>Supplier</t>
        </is>
      </c>
      <c r="T96" s="3" t="inlineStr">
        <is>
          <t>No</t>
        </is>
      </c>
      <c r="U96" s="5" t="n"/>
      <c r="V96" s="3" t="n"/>
      <c r="W96" s="3" t="n"/>
      <c r="X96" s="6" t="n"/>
      <c r="Y96" s="3" t="inlineStr">
        <is>
          <t>kgCO2e/product</t>
        </is>
      </c>
      <c r="Z96" s="3" t="n"/>
      <c r="AA96" s="7" t="n"/>
      <c r="AB96" s="3" t="n"/>
      <c r="AC96" s="3" t="n"/>
      <c r="AD96" s="6" t="n"/>
      <c r="AE96" s="3" t="inlineStr">
        <is>
          <t>kgCO2e/product</t>
        </is>
      </c>
      <c r="AF96" s="3" t="n"/>
      <c r="AG96" s="7" t="n">
        <v>0</v>
      </c>
      <c r="AH96" s="3" t="n"/>
      <c r="AI96" s="3" t="n"/>
      <c r="AJ96" s="3" t="n"/>
      <c r="AK96" s="4">
        <f>IF(COUNT(AH96,AI96,AJ96)=0,"",ROUND(AVERAGE(AH96,AI96,AJ96),3))</f>
        <v/>
      </c>
      <c r="AL96" s="3">
        <f>IF(X96="","",ROUND(X96*IF(H96="",0,H96)*(1+IF(AA96="",0,AA96)),5))</f>
        <v/>
      </c>
      <c r="AM96" s="3" t="inlineStr">
        <is>
          <t>kgCO2e/product</t>
        </is>
      </c>
      <c r="AN96" s="5" t="n"/>
      <c r="AO96" s="9">
        <f>IF(AND($A96&lt;&gt;"",E96=""),"Supplier code empty (High);","")&amp;IF(AND(P96&lt;&gt;"",OR(P96&gt;1,P96&lt;0)),"Incorrect PDS value (High);",IF(AND(P96&lt;&gt;"",P96&gt;0.5),"High PDS value (Medium);",""))&amp;IF(AND(Q96&lt;&gt;"",OR(Q96&gt;5,Q96&lt;1)),"Incorrect DQR value (High);","")&amp;IF(AND(N96&lt;&gt;"",OR(N96&lt;=0,N96&gt;100)),"Unusual PCF value might be wrong (High);","")&amp;IF(AND(AG96&lt;&gt;"",OR(AG96&gt;1,AG96&lt;0)),"Incorrect PDS value (High);",IF(AND(AG96&lt;&gt;"",AG96&gt;0.5),"High PDS value (Medium);",""))&amp;IF(AND(AK96&lt;&gt;"",OR(AK96&gt;5,AK96&lt;1)),"Incorrect DQR value (High);","")&amp;IF(AND(AA96&lt;&gt;"",OR(AA96&gt;1,AA96&lt;0)),"Incorrect scrap rate (High);",IF(AND(AA96&lt;&gt;"",AA96&gt;0.2),"High scrap rate (Medium);",IF(AND($A96&lt;&gt;"",AA96=0),"No scrap rate (No impact);","")))&amp;""</f>
        <v/>
      </c>
      <c r="AP96" s="9" t="n"/>
    </row>
    <row r="97">
      <c r="A97" s="3" t="n"/>
      <c r="B97" s="3" t="n"/>
      <c r="C97" s="3" t="n"/>
      <c r="D97" s="3" t="n"/>
      <c r="E97" s="3" t="n"/>
      <c r="F97" s="3" t="n"/>
      <c r="G97" s="4" t="n"/>
      <c r="H97" s="4" t="n"/>
      <c r="I97" s="3" t="inlineStr">
        <is>
          <t>kg</t>
        </is>
      </c>
      <c r="J97" s="4" t="n"/>
      <c r="K97" s="3" t="inlineStr">
        <is>
          <t>kg</t>
        </is>
      </c>
      <c r="L97" s="3" t="n"/>
      <c r="M97" s="5" t="n"/>
      <c r="N97" s="6" t="n"/>
      <c r="O97" s="3" t="inlineStr">
        <is>
          <t>kgCO2e/product</t>
        </is>
      </c>
      <c r="P97" s="7" t="n"/>
      <c r="Q97" s="4" t="n"/>
      <c r="R97" s="8" t="n"/>
      <c r="S97" s="3" t="inlineStr">
        <is>
          <t>Supplier</t>
        </is>
      </c>
      <c r="T97" s="3" t="inlineStr">
        <is>
          <t>No</t>
        </is>
      </c>
      <c r="U97" s="5" t="n"/>
      <c r="V97" s="3" t="n"/>
      <c r="W97" s="3" t="n"/>
      <c r="X97" s="6" t="n"/>
      <c r="Y97" s="3" t="inlineStr">
        <is>
          <t>kgCO2e/product</t>
        </is>
      </c>
      <c r="Z97" s="3" t="n"/>
      <c r="AA97" s="7" t="n"/>
      <c r="AB97" s="3" t="n"/>
      <c r="AC97" s="3" t="n"/>
      <c r="AD97" s="6" t="n"/>
      <c r="AE97" s="3" t="inlineStr">
        <is>
          <t>kgCO2e/product</t>
        </is>
      </c>
      <c r="AF97" s="3" t="n"/>
      <c r="AG97" s="7" t="n">
        <v>0</v>
      </c>
      <c r="AH97" s="3" t="n"/>
      <c r="AI97" s="3" t="n"/>
      <c r="AJ97" s="3" t="n"/>
      <c r="AK97" s="4">
        <f>IF(COUNT(AH97,AI97,AJ97)=0,"",ROUND(AVERAGE(AH97,AI97,AJ97),3))</f>
        <v/>
      </c>
      <c r="AL97" s="3">
        <f>IF(X97="","",ROUND(X97*IF(H97="",0,H97)*(1+IF(AA97="",0,AA97)),5))</f>
        <v/>
      </c>
      <c r="AM97" s="3" t="inlineStr">
        <is>
          <t>kgCO2e/product</t>
        </is>
      </c>
      <c r="AN97" s="5" t="n"/>
      <c r="AO97" s="9">
        <f>IF(AND($A97&lt;&gt;"",E97=""),"Supplier code empty (High);","")&amp;IF(AND(P97&lt;&gt;"",OR(P97&gt;1,P97&lt;0)),"Incorrect PDS value (High);",IF(AND(P97&lt;&gt;"",P97&gt;0.5),"High PDS value (Medium);",""))&amp;IF(AND(Q97&lt;&gt;"",OR(Q97&gt;5,Q97&lt;1)),"Incorrect DQR value (High);","")&amp;IF(AND(N97&lt;&gt;"",OR(N97&lt;=0,N97&gt;100)),"Unusual PCF value might be wrong (High);","")&amp;IF(AND(AG97&lt;&gt;"",OR(AG97&gt;1,AG97&lt;0)),"Incorrect PDS value (High);",IF(AND(AG97&lt;&gt;"",AG97&gt;0.5),"High PDS value (Medium);",""))&amp;IF(AND(AK97&lt;&gt;"",OR(AK97&gt;5,AK97&lt;1)),"Incorrect DQR value (High);","")&amp;IF(AND(AA97&lt;&gt;"",OR(AA97&gt;1,AA97&lt;0)),"Incorrect scrap rate (High);",IF(AND(AA97&lt;&gt;"",AA97&gt;0.2),"High scrap rate (Medium);",IF(AND($A97&lt;&gt;"",AA97=0),"No scrap rate (No impact);","")))&amp;""</f>
        <v/>
      </c>
      <c r="AP97" s="9" t="n"/>
    </row>
    <row r="98">
      <c r="A98" s="3" t="n"/>
      <c r="B98" s="3" t="n"/>
      <c r="C98" s="3" t="n"/>
      <c r="D98" s="3" t="n"/>
      <c r="E98" s="3" t="n"/>
      <c r="F98" s="3" t="n"/>
      <c r="G98" s="4" t="n"/>
      <c r="H98" s="4" t="n"/>
      <c r="I98" s="3" t="inlineStr">
        <is>
          <t>kg</t>
        </is>
      </c>
      <c r="J98" s="4" t="n"/>
      <c r="K98" s="3" t="inlineStr">
        <is>
          <t>kg</t>
        </is>
      </c>
      <c r="L98" s="3" t="n"/>
      <c r="M98" s="5" t="n"/>
      <c r="N98" s="6" t="n"/>
      <c r="O98" s="3" t="inlineStr">
        <is>
          <t>kgCO2e/product</t>
        </is>
      </c>
      <c r="P98" s="7" t="n"/>
      <c r="Q98" s="4" t="n"/>
      <c r="R98" s="8" t="n"/>
      <c r="S98" s="3" t="inlineStr">
        <is>
          <t>Supplier</t>
        </is>
      </c>
      <c r="T98" s="3" t="inlineStr">
        <is>
          <t>No</t>
        </is>
      </c>
      <c r="U98" s="5" t="n"/>
      <c r="V98" s="3" t="n"/>
      <c r="W98" s="3" t="n"/>
      <c r="X98" s="6" t="n"/>
      <c r="Y98" s="3" t="inlineStr">
        <is>
          <t>kgCO2e/product</t>
        </is>
      </c>
      <c r="Z98" s="3" t="n"/>
      <c r="AA98" s="7" t="n"/>
      <c r="AB98" s="3" t="n"/>
      <c r="AC98" s="3" t="n"/>
      <c r="AD98" s="6" t="n"/>
      <c r="AE98" s="3" t="inlineStr">
        <is>
          <t>kgCO2e/product</t>
        </is>
      </c>
      <c r="AF98" s="3" t="n"/>
      <c r="AG98" s="7" t="n">
        <v>0</v>
      </c>
      <c r="AH98" s="3" t="n"/>
      <c r="AI98" s="3" t="n"/>
      <c r="AJ98" s="3" t="n"/>
      <c r="AK98" s="4">
        <f>IF(COUNT(AH98,AI98,AJ98)=0,"",ROUND(AVERAGE(AH98,AI98,AJ98),3))</f>
        <v/>
      </c>
      <c r="AL98" s="3">
        <f>IF(X98="","",ROUND(X98*IF(H98="",0,H98)*(1+IF(AA98="",0,AA98)),5))</f>
        <v/>
      </c>
      <c r="AM98" s="3" t="inlineStr">
        <is>
          <t>kgCO2e/product</t>
        </is>
      </c>
      <c r="AN98" s="5" t="n"/>
      <c r="AO98" s="9">
        <f>IF(AND($A98&lt;&gt;"",E98=""),"Supplier code empty (High);","")&amp;IF(AND(P98&lt;&gt;"",OR(P98&gt;1,P98&lt;0)),"Incorrect PDS value (High);",IF(AND(P98&lt;&gt;"",P98&gt;0.5),"High PDS value (Medium);",""))&amp;IF(AND(Q98&lt;&gt;"",OR(Q98&gt;5,Q98&lt;1)),"Incorrect DQR value (High);","")&amp;IF(AND(N98&lt;&gt;"",OR(N98&lt;=0,N98&gt;100)),"Unusual PCF value might be wrong (High);","")&amp;IF(AND(AG98&lt;&gt;"",OR(AG98&gt;1,AG98&lt;0)),"Incorrect PDS value (High);",IF(AND(AG98&lt;&gt;"",AG98&gt;0.5),"High PDS value (Medium);",""))&amp;IF(AND(AK98&lt;&gt;"",OR(AK98&gt;5,AK98&lt;1)),"Incorrect DQR value (High);","")&amp;IF(AND(AA98&lt;&gt;"",OR(AA98&gt;1,AA98&lt;0)),"Incorrect scrap rate (High);",IF(AND(AA98&lt;&gt;"",AA98&gt;0.2),"High scrap rate (Medium);",IF(AND($A98&lt;&gt;"",AA98=0),"No scrap rate (No impact);","")))&amp;""</f>
        <v/>
      </c>
      <c r="AP98" s="9" t="n"/>
    </row>
    <row r="99">
      <c r="A99" s="3" t="n"/>
      <c r="B99" s="3" t="n"/>
      <c r="C99" s="3" t="n"/>
      <c r="D99" s="3" t="n"/>
      <c r="E99" s="3" t="n"/>
      <c r="F99" s="3" t="n"/>
      <c r="G99" s="4" t="n"/>
      <c r="H99" s="4" t="n"/>
      <c r="I99" s="3" t="inlineStr">
        <is>
          <t>kg</t>
        </is>
      </c>
      <c r="J99" s="4" t="n"/>
      <c r="K99" s="3" t="inlineStr">
        <is>
          <t>kg</t>
        </is>
      </c>
      <c r="L99" s="3" t="n"/>
      <c r="M99" s="5" t="n"/>
      <c r="N99" s="6" t="n"/>
      <c r="O99" s="3" t="inlineStr">
        <is>
          <t>kgCO2e/product</t>
        </is>
      </c>
      <c r="P99" s="7" t="n"/>
      <c r="Q99" s="4" t="n"/>
      <c r="R99" s="8" t="n"/>
      <c r="S99" s="3" t="inlineStr">
        <is>
          <t>Supplier</t>
        </is>
      </c>
      <c r="T99" s="3" t="inlineStr">
        <is>
          <t>No</t>
        </is>
      </c>
      <c r="U99" s="5" t="n"/>
      <c r="V99" s="3" t="n"/>
      <c r="W99" s="3" t="n"/>
      <c r="X99" s="6" t="n"/>
      <c r="Y99" s="3" t="inlineStr">
        <is>
          <t>kgCO2e/product</t>
        </is>
      </c>
      <c r="Z99" s="3" t="n"/>
      <c r="AA99" s="7" t="n"/>
      <c r="AB99" s="3" t="n"/>
      <c r="AC99" s="3" t="n"/>
      <c r="AD99" s="6" t="n"/>
      <c r="AE99" s="3" t="inlineStr">
        <is>
          <t>kgCO2e/product</t>
        </is>
      </c>
      <c r="AF99" s="3" t="n"/>
      <c r="AG99" s="7" t="n">
        <v>0</v>
      </c>
      <c r="AH99" s="3" t="n"/>
      <c r="AI99" s="3" t="n"/>
      <c r="AJ99" s="3" t="n"/>
      <c r="AK99" s="4">
        <f>IF(COUNT(AH99,AI99,AJ99)=0,"",ROUND(AVERAGE(AH99,AI99,AJ99),3))</f>
        <v/>
      </c>
      <c r="AL99" s="3">
        <f>IF(X99="","",ROUND(X99*IF(H99="",0,H99)*(1+IF(AA99="",0,AA99)),5))</f>
        <v/>
      </c>
      <c r="AM99" s="3" t="inlineStr">
        <is>
          <t>kgCO2e/product</t>
        </is>
      </c>
      <c r="AN99" s="5" t="n"/>
      <c r="AO99" s="9">
        <f>IF(AND($A99&lt;&gt;"",E99=""),"Supplier code empty (High);","")&amp;IF(AND(P99&lt;&gt;"",OR(P99&gt;1,P99&lt;0)),"Incorrect PDS value (High);",IF(AND(P99&lt;&gt;"",P99&gt;0.5),"High PDS value (Medium);",""))&amp;IF(AND(Q99&lt;&gt;"",OR(Q99&gt;5,Q99&lt;1)),"Incorrect DQR value (High);","")&amp;IF(AND(N99&lt;&gt;"",OR(N99&lt;=0,N99&gt;100)),"Unusual PCF value might be wrong (High);","")&amp;IF(AND(AG99&lt;&gt;"",OR(AG99&gt;1,AG99&lt;0)),"Incorrect PDS value (High);",IF(AND(AG99&lt;&gt;"",AG99&gt;0.5),"High PDS value (Medium);",""))&amp;IF(AND(AK99&lt;&gt;"",OR(AK99&gt;5,AK99&lt;1)),"Incorrect DQR value (High);","")&amp;IF(AND(AA99&lt;&gt;"",OR(AA99&gt;1,AA99&lt;0)),"Incorrect scrap rate (High);",IF(AND(AA99&lt;&gt;"",AA99&gt;0.2),"High scrap rate (Medium);",IF(AND($A99&lt;&gt;"",AA99=0),"No scrap rate (No impact);","")))&amp;""</f>
        <v/>
      </c>
      <c r="AP99" s="9" t="n"/>
    </row>
    <row r="100">
      <c r="A100" s="3" t="n"/>
      <c r="B100" s="3" t="n"/>
      <c r="C100" s="3" t="n"/>
      <c r="D100" s="3" t="n"/>
      <c r="E100" s="3" t="n"/>
      <c r="F100" s="3" t="n"/>
      <c r="G100" s="4" t="n"/>
      <c r="H100" s="4" t="n"/>
      <c r="I100" s="3" t="inlineStr">
        <is>
          <t>kg</t>
        </is>
      </c>
      <c r="J100" s="4" t="n"/>
      <c r="K100" s="3" t="inlineStr">
        <is>
          <t>kg</t>
        </is>
      </c>
      <c r="L100" s="3" t="n"/>
      <c r="M100" s="5" t="n"/>
      <c r="N100" s="6" t="n"/>
      <c r="O100" s="3" t="inlineStr">
        <is>
          <t>kgCO2e/product</t>
        </is>
      </c>
      <c r="P100" s="7" t="n"/>
      <c r="Q100" s="4" t="n"/>
      <c r="R100" s="8" t="n"/>
      <c r="S100" s="3" t="inlineStr">
        <is>
          <t>Supplier</t>
        </is>
      </c>
      <c r="T100" s="3" t="inlineStr">
        <is>
          <t>No</t>
        </is>
      </c>
      <c r="U100" s="5" t="n"/>
      <c r="V100" s="3" t="n"/>
      <c r="W100" s="3" t="n"/>
      <c r="X100" s="6" t="n"/>
      <c r="Y100" s="3" t="inlineStr">
        <is>
          <t>kgCO2e/product</t>
        </is>
      </c>
      <c r="Z100" s="3" t="n"/>
      <c r="AA100" s="7" t="n"/>
      <c r="AB100" s="3" t="n"/>
      <c r="AC100" s="3" t="n"/>
      <c r="AD100" s="6" t="n"/>
      <c r="AE100" s="3" t="inlineStr">
        <is>
          <t>kgCO2e/product</t>
        </is>
      </c>
      <c r="AF100" s="3" t="n"/>
      <c r="AG100" s="7" t="n">
        <v>0</v>
      </c>
      <c r="AH100" s="3" t="n"/>
      <c r="AI100" s="3" t="n"/>
      <c r="AJ100" s="3" t="n"/>
      <c r="AK100" s="4">
        <f>IF(COUNT(AH100,AI100,AJ100)=0,"",ROUND(AVERAGE(AH100,AI100,AJ100),3))</f>
        <v/>
      </c>
      <c r="AL100" s="3">
        <f>IF(X100="","",ROUND(X100*IF(H100="",0,H100)*(1+IF(AA100="",0,AA100)),5))</f>
        <v/>
      </c>
      <c r="AM100" s="3" t="inlineStr">
        <is>
          <t>kgCO2e/product</t>
        </is>
      </c>
      <c r="AN100" s="5" t="n"/>
      <c r="AO100" s="9">
        <f>IF(AND($A100&lt;&gt;"",E100=""),"Supplier code empty (High);","")&amp;IF(AND(P100&lt;&gt;"",OR(P100&gt;1,P100&lt;0)),"Incorrect PDS value (High);",IF(AND(P100&lt;&gt;"",P100&gt;0.5),"High PDS value (Medium);",""))&amp;IF(AND(Q100&lt;&gt;"",OR(Q100&gt;5,Q100&lt;1)),"Incorrect DQR value (High);","")&amp;IF(AND(N100&lt;&gt;"",OR(N100&lt;=0,N100&gt;100)),"Unusual PCF value might be wrong (High);","")&amp;IF(AND(AG100&lt;&gt;"",OR(AG100&gt;1,AG100&lt;0)),"Incorrect PDS value (High);",IF(AND(AG100&lt;&gt;"",AG100&gt;0.5),"High PDS value (Medium);",""))&amp;IF(AND(AK100&lt;&gt;"",OR(AK100&gt;5,AK100&lt;1)),"Incorrect DQR value (High);","")&amp;IF(AND(AA100&lt;&gt;"",OR(AA100&gt;1,AA100&lt;0)),"Incorrect scrap rate (High);",IF(AND(AA100&lt;&gt;"",AA100&gt;0.2),"High scrap rate (Medium);",IF(AND($A100&lt;&gt;"",AA100=0),"No scrap rate (No impact);","")))&amp;""</f>
        <v/>
      </c>
      <c r="AP100" s="9" t="n"/>
    </row>
    <row r="101">
      <c r="A101" s="3" t="n"/>
      <c r="B101" s="3" t="n"/>
      <c r="C101" s="3" t="n"/>
      <c r="D101" s="3" t="n"/>
      <c r="E101" s="3" t="n"/>
      <c r="F101" s="3" t="n"/>
      <c r="G101" s="4" t="n"/>
      <c r="H101" s="4" t="n"/>
      <c r="I101" s="3" t="inlineStr">
        <is>
          <t>kg</t>
        </is>
      </c>
      <c r="J101" s="4" t="n"/>
      <c r="K101" s="3" t="inlineStr">
        <is>
          <t>kg</t>
        </is>
      </c>
      <c r="L101" s="3" t="n"/>
      <c r="M101" s="5" t="n"/>
      <c r="N101" s="6" t="n"/>
      <c r="O101" s="3" t="inlineStr">
        <is>
          <t>kgCO2e/product</t>
        </is>
      </c>
      <c r="P101" s="7" t="n"/>
      <c r="Q101" s="4" t="n"/>
      <c r="R101" s="8" t="n"/>
      <c r="S101" s="3" t="inlineStr">
        <is>
          <t>Supplier</t>
        </is>
      </c>
      <c r="T101" s="3" t="inlineStr">
        <is>
          <t>No</t>
        </is>
      </c>
      <c r="U101" s="5" t="n"/>
      <c r="V101" s="3" t="n"/>
      <c r="W101" s="3" t="n"/>
      <c r="X101" s="6" t="n"/>
      <c r="Y101" s="3" t="inlineStr">
        <is>
          <t>kgCO2e/product</t>
        </is>
      </c>
      <c r="Z101" s="3" t="n"/>
      <c r="AA101" s="7" t="n"/>
      <c r="AB101" s="3" t="n"/>
      <c r="AC101" s="3" t="n"/>
      <c r="AD101" s="6" t="n"/>
      <c r="AE101" s="3" t="inlineStr">
        <is>
          <t>kgCO2e/product</t>
        </is>
      </c>
      <c r="AF101" s="3" t="n"/>
      <c r="AG101" s="7" t="n">
        <v>0</v>
      </c>
      <c r="AH101" s="3" t="n"/>
      <c r="AI101" s="3" t="n"/>
      <c r="AJ101" s="3" t="n"/>
      <c r="AK101" s="4">
        <f>IF(COUNT(AH101,AI101,AJ101)=0,"",ROUND(AVERAGE(AH101,AI101,AJ101),3))</f>
        <v/>
      </c>
      <c r="AL101" s="3">
        <f>IF(X101="","",ROUND(X101*IF(H101="",0,H101)*(1+IF(AA101="",0,AA101)),5))</f>
        <v/>
      </c>
      <c r="AM101" s="3" t="inlineStr">
        <is>
          <t>kgCO2e/product</t>
        </is>
      </c>
      <c r="AN101" s="5" t="n"/>
      <c r="AO101" s="9">
        <f>IF(AND($A101&lt;&gt;"",E101=""),"Supplier code empty (High);","")&amp;IF(AND(P101&lt;&gt;"",OR(P101&gt;1,P101&lt;0)),"Incorrect PDS value (High);",IF(AND(P101&lt;&gt;"",P101&gt;0.5),"High PDS value (Medium);",""))&amp;IF(AND(Q101&lt;&gt;"",OR(Q101&gt;5,Q101&lt;1)),"Incorrect DQR value (High);","")&amp;IF(AND(N101&lt;&gt;"",OR(N101&lt;=0,N101&gt;100)),"Unusual PCF value might be wrong (High);","")&amp;IF(AND(AG101&lt;&gt;"",OR(AG101&gt;1,AG101&lt;0)),"Incorrect PDS value (High);",IF(AND(AG101&lt;&gt;"",AG101&gt;0.5),"High PDS value (Medium);",""))&amp;IF(AND(AK101&lt;&gt;"",OR(AK101&gt;5,AK101&lt;1)),"Incorrect DQR value (High);","")&amp;IF(AND(AA101&lt;&gt;"",OR(AA101&gt;1,AA101&lt;0)),"Incorrect scrap rate (High);",IF(AND(AA101&lt;&gt;"",AA101&gt;0.2),"High scrap rate (Medium);",IF(AND($A101&lt;&gt;"",AA101=0),"No scrap rate (No impact);","")))&amp;""</f>
        <v/>
      </c>
      <c r="AP101" s="9" t="n"/>
    </row>
    <row r="102">
      <c r="A102" s="3" t="n"/>
      <c r="B102" s="3" t="n"/>
      <c r="C102" s="3" t="n"/>
      <c r="D102" s="3" t="n"/>
      <c r="E102" s="3" t="n"/>
      <c r="F102" s="3" t="n"/>
      <c r="G102" s="4" t="n"/>
      <c r="H102" s="4" t="n"/>
      <c r="I102" s="3" t="inlineStr">
        <is>
          <t>kg</t>
        </is>
      </c>
      <c r="J102" s="4" t="n"/>
      <c r="K102" s="3" t="inlineStr">
        <is>
          <t>kg</t>
        </is>
      </c>
      <c r="L102" s="3" t="n"/>
      <c r="M102" s="5" t="n"/>
      <c r="N102" s="6" t="n"/>
      <c r="O102" s="3" t="inlineStr">
        <is>
          <t>kgCO2e/product</t>
        </is>
      </c>
      <c r="P102" s="7" t="n"/>
      <c r="Q102" s="4" t="n"/>
      <c r="R102" s="8" t="n"/>
      <c r="S102" s="3" t="inlineStr">
        <is>
          <t>Supplier</t>
        </is>
      </c>
      <c r="T102" s="3" t="inlineStr">
        <is>
          <t>No</t>
        </is>
      </c>
      <c r="U102" s="5" t="n"/>
      <c r="V102" s="3" t="n"/>
      <c r="W102" s="3" t="n"/>
      <c r="X102" s="6" t="n"/>
      <c r="Y102" s="3" t="inlineStr">
        <is>
          <t>kgCO2e/product</t>
        </is>
      </c>
      <c r="Z102" s="3" t="n"/>
      <c r="AA102" s="7" t="n"/>
      <c r="AB102" s="3" t="n"/>
      <c r="AC102" s="3" t="n"/>
      <c r="AD102" s="6" t="n"/>
      <c r="AE102" s="3" t="inlineStr">
        <is>
          <t>kgCO2e/product</t>
        </is>
      </c>
      <c r="AF102" s="3" t="n"/>
      <c r="AG102" s="7" t="n">
        <v>0</v>
      </c>
      <c r="AH102" s="3" t="n"/>
      <c r="AI102" s="3" t="n"/>
      <c r="AJ102" s="3" t="n"/>
      <c r="AK102" s="4">
        <f>IF(COUNT(AH102,AI102,AJ102)=0,"",ROUND(AVERAGE(AH102,AI102,AJ102),3))</f>
        <v/>
      </c>
      <c r="AL102" s="3">
        <f>IF(X102="","",ROUND(X102*IF(H102="",0,H102)*(1+IF(AA102="",0,AA102)),5))</f>
        <v/>
      </c>
      <c r="AM102" s="3" t="inlineStr">
        <is>
          <t>kgCO2e/product</t>
        </is>
      </c>
      <c r="AN102" s="5" t="n"/>
      <c r="AO102" s="9">
        <f>IF(AND($A102&lt;&gt;"",E102=""),"Supplier code empty (High);","")&amp;IF(AND(P102&lt;&gt;"",OR(P102&gt;1,P102&lt;0)),"Incorrect PDS value (High);",IF(AND(P102&lt;&gt;"",P102&gt;0.5),"High PDS value (Medium);",""))&amp;IF(AND(Q102&lt;&gt;"",OR(Q102&gt;5,Q102&lt;1)),"Incorrect DQR value (High);","")&amp;IF(AND(N102&lt;&gt;"",OR(N102&lt;=0,N102&gt;100)),"Unusual PCF value might be wrong (High);","")&amp;IF(AND(AG102&lt;&gt;"",OR(AG102&gt;1,AG102&lt;0)),"Incorrect PDS value (High);",IF(AND(AG102&lt;&gt;"",AG102&gt;0.5),"High PDS value (Medium);",""))&amp;IF(AND(AK102&lt;&gt;"",OR(AK102&gt;5,AK102&lt;1)),"Incorrect DQR value (High);","")&amp;IF(AND(AA102&lt;&gt;"",OR(AA102&gt;1,AA102&lt;0)),"Incorrect scrap rate (High);",IF(AND(AA102&lt;&gt;"",AA102&gt;0.2),"High scrap rate (Medium);",IF(AND($A102&lt;&gt;"",AA102=0),"No scrap rate (No impact);","")))&amp;""</f>
        <v/>
      </c>
      <c r="AP102" s="9" t="n"/>
    </row>
    <row r="103">
      <c r="A103" s="3" t="n"/>
      <c r="B103" s="3" t="n"/>
      <c r="C103" s="3" t="n"/>
      <c r="D103" s="3" t="n"/>
      <c r="E103" s="3" t="n"/>
      <c r="F103" s="3" t="n"/>
      <c r="G103" s="4" t="n"/>
      <c r="H103" s="4" t="n"/>
      <c r="I103" s="3" t="inlineStr">
        <is>
          <t>kg</t>
        </is>
      </c>
      <c r="J103" s="4" t="n"/>
      <c r="K103" s="3" t="inlineStr">
        <is>
          <t>kg</t>
        </is>
      </c>
      <c r="L103" s="3" t="n"/>
      <c r="M103" s="5" t="n"/>
      <c r="N103" s="6" t="n"/>
      <c r="O103" s="3" t="inlineStr">
        <is>
          <t>kgCO2e/product</t>
        </is>
      </c>
      <c r="P103" s="7" t="n"/>
      <c r="Q103" s="4" t="n"/>
      <c r="R103" s="8" t="n"/>
      <c r="S103" s="3" t="inlineStr">
        <is>
          <t>Supplier</t>
        </is>
      </c>
      <c r="T103" s="3" t="inlineStr">
        <is>
          <t>No</t>
        </is>
      </c>
      <c r="U103" s="5" t="n"/>
      <c r="V103" s="3" t="n"/>
      <c r="W103" s="3" t="n"/>
      <c r="X103" s="6" t="n"/>
      <c r="Y103" s="3" t="inlineStr">
        <is>
          <t>kgCO2e/product</t>
        </is>
      </c>
      <c r="Z103" s="3" t="n"/>
      <c r="AA103" s="7" t="n"/>
      <c r="AB103" s="3" t="n"/>
      <c r="AC103" s="3" t="n"/>
      <c r="AD103" s="6" t="n"/>
      <c r="AE103" s="3" t="inlineStr">
        <is>
          <t>kgCO2e/product</t>
        </is>
      </c>
      <c r="AF103" s="3" t="n"/>
      <c r="AG103" s="7" t="n">
        <v>0</v>
      </c>
      <c r="AH103" s="3" t="n"/>
      <c r="AI103" s="3" t="n"/>
      <c r="AJ103" s="3" t="n"/>
      <c r="AK103" s="4">
        <f>IF(COUNT(AH103,AI103,AJ103)=0,"",ROUND(AVERAGE(AH103,AI103,AJ103),3))</f>
        <v/>
      </c>
      <c r="AL103" s="3">
        <f>IF(X103="","",ROUND(X103*IF(H103="",0,H103)*(1+IF(AA103="",0,AA103)),5))</f>
        <v/>
      </c>
      <c r="AM103" s="3" t="inlineStr">
        <is>
          <t>kgCO2e/product</t>
        </is>
      </c>
      <c r="AN103" s="5" t="n"/>
      <c r="AO103" s="9">
        <f>IF(AND($A103&lt;&gt;"",E103=""),"Supplier code empty (High);","")&amp;IF(AND(P103&lt;&gt;"",OR(P103&gt;1,P103&lt;0)),"Incorrect PDS value (High);",IF(AND(P103&lt;&gt;"",P103&gt;0.5),"High PDS value (Medium);",""))&amp;IF(AND(Q103&lt;&gt;"",OR(Q103&gt;5,Q103&lt;1)),"Incorrect DQR value (High);","")&amp;IF(AND(N103&lt;&gt;"",OR(N103&lt;=0,N103&gt;100)),"Unusual PCF value might be wrong (High);","")&amp;IF(AND(AG103&lt;&gt;"",OR(AG103&gt;1,AG103&lt;0)),"Incorrect PDS value (High);",IF(AND(AG103&lt;&gt;"",AG103&gt;0.5),"High PDS value (Medium);",""))&amp;IF(AND(AK103&lt;&gt;"",OR(AK103&gt;5,AK103&lt;1)),"Incorrect DQR value (High);","")&amp;IF(AND(AA103&lt;&gt;"",OR(AA103&gt;1,AA103&lt;0)),"Incorrect scrap rate (High);",IF(AND(AA103&lt;&gt;"",AA103&gt;0.2),"High scrap rate (Medium);",IF(AND($A103&lt;&gt;"",AA103=0),"No scrap rate (No impact);","")))&amp;""</f>
        <v/>
      </c>
      <c r="AP103" s="9" t="n"/>
    </row>
    <row r="104">
      <c r="A104" s="3" t="n"/>
      <c r="B104" s="3" t="n"/>
      <c r="C104" s="3" t="n"/>
      <c r="D104" s="3" t="n"/>
      <c r="E104" s="3" t="n"/>
      <c r="F104" s="3" t="n"/>
      <c r="G104" s="4" t="n"/>
      <c r="H104" s="4" t="n"/>
      <c r="I104" s="3" t="inlineStr">
        <is>
          <t>kg</t>
        </is>
      </c>
      <c r="J104" s="4" t="n"/>
      <c r="K104" s="3" t="inlineStr">
        <is>
          <t>kg</t>
        </is>
      </c>
      <c r="L104" s="3" t="n"/>
      <c r="M104" s="5" t="n"/>
      <c r="N104" s="6" t="n"/>
      <c r="O104" s="3" t="inlineStr">
        <is>
          <t>kgCO2e/product</t>
        </is>
      </c>
      <c r="P104" s="7" t="n"/>
      <c r="Q104" s="4" t="n"/>
      <c r="R104" s="8" t="n"/>
      <c r="S104" s="3" t="inlineStr">
        <is>
          <t>Supplier</t>
        </is>
      </c>
      <c r="T104" s="3" t="inlineStr">
        <is>
          <t>No</t>
        </is>
      </c>
      <c r="U104" s="5" t="n"/>
      <c r="V104" s="3" t="n"/>
      <c r="W104" s="3" t="n"/>
      <c r="X104" s="6" t="n"/>
      <c r="Y104" s="3" t="inlineStr">
        <is>
          <t>kgCO2e/product</t>
        </is>
      </c>
      <c r="Z104" s="3" t="n"/>
      <c r="AA104" s="7" t="n"/>
      <c r="AB104" s="3" t="n"/>
      <c r="AC104" s="3" t="n"/>
      <c r="AD104" s="6" t="n"/>
      <c r="AE104" s="3" t="inlineStr">
        <is>
          <t>kgCO2e/product</t>
        </is>
      </c>
      <c r="AF104" s="3" t="n"/>
      <c r="AG104" s="7" t="n">
        <v>0</v>
      </c>
      <c r="AH104" s="3" t="n"/>
      <c r="AI104" s="3" t="n"/>
      <c r="AJ104" s="3" t="n"/>
      <c r="AK104" s="4">
        <f>IF(COUNT(AH104,AI104,AJ104)=0,"",ROUND(AVERAGE(AH104,AI104,AJ104),3))</f>
        <v/>
      </c>
      <c r="AL104" s="3">
        <f>IF(X104="","",ROUND(X104*IF(H104="",0,H104)*(1+IF(AA104="",0,AA104)),5))</f>
        <v/>
      </c>
      <c r="AM104" s="3" t="inlineStr">
        <is>
          <t>kgCO2e/product</t>
        </is>
      </c>
      <c r="AN104" s="5" t="n"/>
      <c r="AO104" s="9">
        <f>IF(AND($A104&lt;&gt;"",E104=""),"Supplier code empty (High);","")&amp;IF(AND(P104&lt;&gt;"",OR(P104&gt;1,P104&lt;0)),"Incorrect PDS value (High);",IF(AND(P104&lt;&gt;"",P104&gt;0.5),"High PDS value (Medium);",""))&amp;IF(AND(Q104&lt;&gt;"",OR(Q104&gt;5,Q104&lt;1)),"Incorrect DQR value (High);","")&amp;IF(AND(N104&lt;&gt;"",OR(N104&lt;=0,N104&gt;100)),"Unusual PCF value might be wrong (High);","")&amp;IF(AND(AG104&lt;&gt;"",OR(AG104&gt;1,AG104&lt;0)),"Incorrect PDS value (High);",IF(AND(AG104&lt;&gt;"",AG104&gt;0.5),"High PDS value (Medium);",""))&amp;IF(AND(AK104&lt;&gt;"",OR(AK104&gt;5,AK104&lt;1)),"Incorrect DQR value (High);","")&amp;IF(AND(AA104&lt;&gt;"",OR(AA104&gt;1,AA104&lt;0)),"Incorrect scrap rate (High);",IF(AND(AA104&lt;&gt;"",AA104&gt;0.2),"High scrap rate (Medium);",IF(AND($A104&lt;&gt;"",AA104=0),"No scrap rate (No impact);","")))&amp;""</f>
        <v/>
      </c>
      <c r="AP104" s="9" t="n"/>
    </row>
    <row r="105">
      <c r="A105" s="3" t="n"/>
      <c r="B105" s="3" t="n"/>
      <c r="C105" s="3" t="n"/>
      <c r="D105" s="3" t="n"/>
      <c r="E105" s="3" t="n"/>
      <c r="F105" s="3" t="n"/>
      <c r="G105" s="4" t="n"/>
      <c r="H105" s="4" t="n"/>
      <c r="I105" s="3" t="inlineStr">
        <is>
          <t>kg</t>
        </is>
      </c>
      <c r="J105" s="4" t="n"/>
      <c r="K105" s="3" t="inlineStr">
        <is>
          <t>kg</t>
        </is>
      </c>
      <c r="L105" s="3" t="n"/>
      <c r="M105" s="5" t="n"/>
      <c r="N105" s="6" t="n"/>
      <c r="O105" s="3" t="inlineStr">
        <is>
          <t>kgCO2e/product</t>
        </is>
      </c>
      <c r="P105" s="7" t="n"/>
      <c r="Q105" s="4" t="n"/>
      <c r="R105" s="8" t="n"/>
      <c r="S105" s="3" t="inlineStr">
        <is>
          <t>Supplier</t>
        </is>
      </c>
      <c r="T105" s="3" t="inlineStr">
        <is>
          <t>No</t>
        </is>
      </c>
      <c r="U105" s="5" t="n"/>
      <c r="V105" s="3" t="n"/>
      <c r="W105" s="3" t="n"/>
      <c r="X105" s="6" t="n"/>
      <c r="Y105" s="3" t="inlineStr">
        <is>
          <t>kgCO2e/product</t>
        </is>
      </c>
      <c r="Z105" s="3" t="n"/>
      <c r="AA105" s="7" t="n"/>
      <c r="AB105" s="3" t="n"/>
      <c r="AC105" s="3" t="n"/>
      <c r="AD105" s="6" t="n"/>
      <c r="AE105" s="3" t="inlineStr">
        <is>
          <t>kgCO2e/product</t>
        </is>
      </c>
      <c r="AF105" s="3" t="n"/>
      <c r="AG105" s="7" t="n">
        <v>0</v>
      </c>
      <c r="AH105" s="3" t="n"/>
      <c r="AI105" s="3" t="n"/>
      <c r="AJ105" s="3" t="n"/>
      <c r="AK105" s="4">
        <f>IF(COUNT(AH105,AI105,AJ105)=0,"",ROUND(AVERAGE(AH105,AI105,AJ105),3))</f>
        <v/>
      </c>
      <c r="AL105" s="3">
        <f>IF(X105="","",ROUND(X105*IF(H105="",0,H105)*(1+IF(AA105="",0,AA105)),5))</f>
        <v/>
      </c>
      <c r="AM105" s="3" t="inlineStr">
        <is>
          <t>kgCO2e/product</t>
        </is>
      </c>
      <c r="AN105" s="5" t="n"/>
      <c r="AO105" s="9">
        <f>IF(AND($A105&lt;&gt;"",E105=""),"Supplier code empty (High);","")&amp;IF(AND(P105&lt;&gt;"",OR(P105&gt;1,P105&lt;0)),"Incorrect PDS value (High);",IF(AND(P105&lt;&gt;"",P105&gt;0.5),"High PDS value (Medium);",""))&amp;IF(AND(Q105&lt;&gt;"",OR(Q105&gt;5,Q105&lt;1)),"Incorrect DQR value (High);","")&amp;IF(AND(N105&lt;&gt;"",OR(N105&lt;=0,N105&gt;100)),"Unusual PCF value might be wrong (High);","")&amp;IF(AND(AG105&lt;&gt;"",OR(AG105&gt;1,AG105&lt;0)),"Incorrect PDS value (High);",IF(AND(AG105&lt;&gt;"",AG105&gt;0.5),"High PDS value (Medium);",""))&amp;IF(AND(AK105&lt;&gt;"",OR(AK105&gt;5,AK105&lt;1)),"Incorrect DQR value (High);","")&amp;IF(AND(AA105&lt;&gt;"",OR(AA105&gt;1,AA105&lt;0)),"Incorrect scrap rate (High);",IF(AND(AA105&lt;&gt;"",AA105&gt;0.2),"High scrap rate (Medium);",IF(AND($A105&lt;&gt;"",AA105=0),"No scrap rate (No impact);","")))&amp;""</f>
        <v/>
      </c>
      <c r="AP105" s="9" t="n"/>
    </row>
    <row r="106">
      <c r="A106" s="3" t="n"/>
      <c r="B106" s="3" t="n"/>
      <c r="C106" s="3" t="n"/>
      <c r="D106" s="3" t="n"/>
      <c r="E106" s="3" t="n"/>
      <c r="F106" s="3" t="n"/>
      <c r="G106" s="4" t="n"/>
      <c r="H106" s="4" t="n"/>
      <c r="I106" s="3" t="inlineStr">
        <is>
          <t>kg</t>
        </is>
      </c>
      <c r="J106" s="4" t="n"/>
      <c r="K106" s="3" t="inlineStr">
        <is>
          <t>kg</t>
        </is>
      </c>
      <c r="L106" s="3" t="n"/>
      <c r="M106" s="5" t="n"/>
      <c r="N106" s="6" t="n"/>
      <c r="O106" s="3" t="inlineStr">
        <is>
          <t>kgCO2e/product</t>
        </is>
      </c>
      <c r="P106" s="7" t="n"/>
      <c r="Q106" s="4" t="n"/>
      <c r="R106" s="8" t="n"/>
      <c r="S106" s="3" t="inlineStr">
        <is>
          <t>Supplier</t>
        </is>
      </c>
      <c r="T106" s="3" t="inlineStr">
        <is>
          <t>No</t>
        </is>
      </c>
      <c r="U106" s="5" t="n"/>
      <c r="V106" s="3" t="n"/>
      <c r="W106" s="3" t="n"/>
      <c r="X106" s="6" t="n"/>
      <c r="Y106" s="3" t="inlineStr">
        <is>
          <t>kgCO2e/product</t>
        </is>
      </c>
      <c r="Z106" s="3" t="n"/>
      <c r="AA106" s="7" t="n"/>
      <c r="AB106" s="3" t="n"/>
      <c r="AC106" s="3" t="n"/>
      <c r="AD106" s="6" t="n"/>
      <c r="AE106" s="3" t="inlineStr">
        <is>
          <t>kgCO2e/product</t>
        </is>
      </c>
      <c r="AF106" s="3" t="n"/>
      <c r="AG106" s="7" t="n">
        <v>0</v>
      </c>
      <c r="AH106" s="3" t="n"/>
      <c r="AI106" s="3" t="n"/>
      <c r="AJ106" s="3" t="n"/>
      <c r="AK106" s="4">
        <f>IF(COUNT(AH106,AI106,AJ106)=0,"",ROUND(AVERAGE(AH106,AI106,AJ106),3))</f>
        <v/>
      </c>
      <c r="AL106" s="3">
        <f>IF(X106="","",ROUND(X106*IF(H106="",0,H106)*(1+IF(AA106="",0,AA106)),5))</f>
        <v/>
      </c>
      <c r="AM106" s="3" t="inlineStr">
        <is>
          <t>kgCO2e/product</t>
        </is>
      </c>
      <c r="AN106" s="5" t="n"/>
      <c r="AO106" s="9">
        <f>IF(AND($A106&lt;&gt;"",E106=""),"Supplier code empty (High);","")&amp;IF(AND(P106&lt;&gt;"",OR(P106&gt;1,P106&lt;0)),"Incorrect PDS value (High);",IF(AND(P106&lt;&gt;"",P106&gt;0.5),"High PDS value (Medium);",""))&amp;IF(AND(Q106&lt;&gt;"",OR(Q106&gt;5,Q106&lt;1)),"Incorrect DQR value (High);","")&amp;IF(AND(N106&lt;&gt;"",OR(N106&lt;=0,N106&gt;100)),"Unusual PCF value might be wrong (High);","")&amp;IF(AND(AG106&lt;&gt;"",OR(AG106&gt;1,AG106&lt;0)),"Incorrect PDS value (High);",IF(AND(AG106&lt;&gt;"",AG106&gt;0.5),"High PDS value (Medium);",""))&amp;IF(AND(AK106&lt;&gt;"",OR(AK106&gt;5,AK106&lt;1)),"Incorrect DQR value (High);","")&amp;IF(AND(AA106&lt;&gt;"",OR(AA106&gt;1,AA106&lt;0)),"Incorrect scrap rate (High);",IF(AND(AA106&lt;&gt;"",AA106&gt;0.2),"High scrap rate (Medium);",IF(AND($A106&lt;&gt;"",AA106=0),"No scrap rate (No impact);","")))&amp;""</f>
        <v/>
      </c>
      <c r="AP106" s="9" t="n"/>
    </row>
    <row r="107">
      <c r="A107" s="3" t="n"/>
      <c r="B107" s="3" t="n"/>
      <c r="C107" s="3" t="n"/>
      <c r="D107" s="3" t="n"/>
      <c r="E107" s="3" t="n"/>
      <c r="F107" s="3" t="n"/>
      <c r="G107" s="4" t="n"/>
      <c r="H107" s="4" t="n"/>
      <c r="I107" s="3" t="inlineStr">
        <is>
          <t>kg</t>
        </is>
      </c>
      <c r="J107" s="4" t="n"/>
      <c r="K107" s="3" t="inlineStr">
        <is>
          <t>kg</t>
        </is>
      </c>
      <c r="L107" s="3" t="n"/>
      <c r="M107" s="5" t="n"/>
      <c r="N107" s="6" t="n"/>
      <c r="O107" s="3" t="inlineStr">
        <is>
          <t>kgCO2e/product</t>
        </is>
      </c>
      <c r="P107" s="7" t="n"/>
      <c r="Q107" s="4" t="n"/>
      <c r="R107" s="8" t="n"/>
      <c r="S107" s="3" t="inlineStr">
        <is>
          <t>Supplier</t>
        </is>
      </c>
      <c r="T107" s="3" t="inlineStr">
        <is>
          <t>No</t>
        </is>
      </c>
      <c r="U107" s="5" t="n"/>
      <c r="V107" s="3" t="n"/>
      <c r="W107" s="3" t="n"/>
      <c r="X107" s="6" t="n"/>
      <c r="Y107" s="3" t="inlineStr">
        <is>
          <t>kgCO2e/product</t>
        </is>
      </c>
      <c r="Z107" s="3" t="n"/>
      <c r="AA107" s="7" t="n"/>
      <c r="AB107" s="3" t="n"/>
      <c r="AC107" s="3" t="n"/>
      <c r="AD107" s="6" t="n"/>
      <c r="AE107" s="3" t="inlineStr">
        <is>
          <t>kgCO2e/product</t>
        </is>
      </c>
      <c r="AF107" s="3" t="n"/>
      <c r="AG107" s="7" t="n">
        <v>0</v>
      </c>
      <c r="AH107" s="3" t="n"/>
      <c r="AI107" s="3" t="n"/>
      <c r="AJ107" s="3" t="n"/>
      <c r="AK107" s="4">
        <f>IF(COUNT(AH107,AI107,AJ107)=0,"",ROUND(AVERAGE(AH107,AI107,AJ107),3))</f>
        <v/>
      </c>
      <c r="AL107" s="3">
        <f>IF(X107="","",ROUND(X107*IF(H107="",0,H107)*(1+IF(AA107="",0,AA107)),5))</f>
        <v/>
      </c>
      <c r="AM107" s="3" t="inlineStr">
        <is>
          <t>kgCO2e/product</t>
        </is>
      </c>
      <c r="AN107" s="5" t="n"/>
      <c r="AO107" s="9">
        <f>IF(AND($A107&lt;&gt;"",E107=""),"Supplier code empty (High);","")&amp;IF(AND(P107&lt;&gt;"",OR(P107&gt;1,P107&lt;0)),"Incorrect PDS value (High);",IF(AND(P107&lt;&gt;"",P107&gt;0.5),"High PDS value (Medium);",""))&amp;IF(AND(Q107&lt;&gt;"",OR(Q107&gt;5,Q107&lt;1)),"Incorrect DQR value (High);","")&amp;IF(AND(N107&lt;&gt;"",OR(N107&lt;=0,N107&gt;100)),"Unusual PCF value might be wrong (High);","")&amp;IF(AND(AG107&lt;&gt;"",OR(AG107&gt;1,AG107&lt;0)),"Incorrect PDS value (High);",IF(AND(AG107&lt;&gt;"",AG107&gt;0.5),"High PDS value (Medium);",""))&amp;IF(AND(AK107&lt;&gt;"",OR(AK107&gt;5,AK107&lt;1)),"Incorrect DQR value (High);","")&amp;IF(AND(AA107&lt;&gt;"",OR(AA107&gt;1,AA107&lt;0)),"Incorrect scrap rate (High);",IF(AND(AA107&lt;&gt;"",AA107&gt;0.2),"High scrap rate (Medium);",IF(AND($A107&lt;&gt;"",AA107=0),"No scrap rate (No impact);","")))&amp;""</f>
        <v/>
      </c>
      <c r="AP107" s="9" t="n"/>
    </row>
    <row r="108">
      <c r="A108" s="3" t="n"/>
      <c r="B108" s="3" t="n"/>
      <c r="C108" s="3" t="n"/>
      <c r="D108" s="3" t="n"/>
      <c r="E108" s="3" t="n"/>
      <c r="F108" s="3" t="n"/>
      <c r="G108" s="4" t="n"/>
      <c r="H108" s="4" t="n"/>
      <c r="I108" s="3" t="inlineStr">
        <is>
          <t>kg</t>
        </is>
      </c>
      <c r="J108" s="4" t="n"/>
      <c r="K108" s="3" t="inlineStr">
        <is>
          <t>kg</t>
        </is>
      </c>
      <c r="L108" s="3" t="n"/>
      <c r="M108" s="5" t="n"/>
      <c r="N108" s="6" t="n"/>
      <c r="O108" s="3" t="inlineStr">
        <is>
          <t>kgCO2e/product</t>
        </is>
      </c>
      <c r="P108" s="7" t="n"/>
      <c r="Q108" s="4" t="n"/>
      <c r="R108" s="8" t="n"/>
      <c r="S108" s="3" t="inlineStr">
        <is>
          <t>Supplier</t>
        </is>
      </c>
      <c r="T108" s="3" t="inlineStr">
        <is>
          <t>No</t>
        </is>
      </c>
      <c r="U108" s="5" t="n"/>
      <c r="V108" s="3" t="n"/>
      <c r="W108" s="3" t="n"/>
      <c r="X108" s="6" t="n"/>
      <c r="Y108" s="3" t="inlineStr">
        <is>
          <t>kgCO2e/product</t>
        </is>
      </c>
      <c r="Z108" s="3" t="n"/>
      <c r="AA108" s="7" t="n"/>
      <c r="AB108" s="3" t="n"/>
      <c r="AC108" s="3" t="n"/>
      <c r="AD108" s="6" t="n"/>
      <c r="AE108" s="3" t="inlineStr">
        <is>
          <t>kgCO2e/product</t>
        </is>
      </c>
      <c r="AF108" s="3" t="n"/>
      <c r="AG108" s="7" t="n">
        <v>0</v>
      </c>
      <c r="AH108" s="3" t="n"/>
      <c r="AI108" s="3" t="n"/>
      <c r="AJ108" s="3" t="n"/>
      <c r="AK108" s="4">
        <f>IF(COUNT(AH108,AI108,AJ108)=0,"",ROUND(AVERAGE(AH108,AI108,AJ108),3))</f>
        <v/>
      </c>
      <c r="AL108" s="3">
        <f>IF(X108="","",ROUND(X108*IF(H108="",0,H108)*(1+IF(AA108="",0,AA108)),5))</f>
        <v/>
      </c>
      <c r="AM108" s="3" t="inlineStr">
        <is>
          <t>kgCO2e/product</t>
        </is>
      </c>
      <c r="AN108" s="5" t="n"/>
      <c r="AO108" s="9">
        <f>IF(AND($A108&lt;&gt;"",E108=""),"Supplier code empty (High);","")&amp;IF(AND(P108&lt;&gt;"",OR(P108&gt;1,P108&lt;0)),"Incorrect PDS value (High);",IF(AND(P108&lt;&gt;"",P108&gt;0.5),"High PDS value (Medium);",""))&amp;IF(AND(Q108&lt;&gt;"",OR(Q108&gt;5,Q108&lt;1)),"Incorrect DQR value (High);","")&amp;IF(AND(N108&lt;&gt;"",OR(N108&lt;=0,N108&gt;100)),"Unusual PCF value might be wrong (High);","")&amp;IF(AND(AG108&lt;&gt;"",OR(AG108&gt;1,AG108&lt;0)),"Incorrect PDS value (High);",IF(AND(AG108&lt;&gt;"",AG108&gt;0.5),"High PDS value (Medium);",""))&amp;IF(AND(AK108&lt;&gt;"",OR(AK108&gt;5,AK108&lt;1)),"Incorrect DQR value (High);","")&amp;IF(AND(AA108&lt;&gt;"",OR(AA108&gt;1,AA108&lt;0)),"Incorrect scrap rate (High);",IF(AND(AA108&lt;&gt;"",AA108&gt;0.2),"High scrap rate (Medium);",IF(AND($A108&lt;&gt;"",AA108=0),"No scrap rate (No impact);","")))&amp;""</f>
        <v/>
      </c>
      <c r="AP108" s="9" t="n"/>
    </row>
    <row r="109">
      <c r="A109" s="3" t="n"/>
      <c r="B109" s="3" t="n"/>
      <c r="C109" s="3" t="n"/>
      <c r="D109" s="3" t="n"/>
      <c r="E109" s="3" t="n"/>
      <c r="F109" s="3" t="n"/>
      <c r="G109" s="4" t="n"/>
      <c r="H109" s="4" t="n"/>
      <c r="I109" s="3" t="inlineStr">
        <is>
          <t>kg</t>
        </is>
      </c>
      <c r="J109" s="4" t="n"/>
      <c r="K109" s="3" t="inlineStr">
        <is>
          <t>kg</t>
        </is>
      </c>
      <c r="L109" s="3" t="n"/>
      <c r="M109" s="5" t="n"/>
      <c r="N109" s="6" t="n"/>
      <c r="O109" s="3" t="inlineStr">
        <is>
          <t>kgCO2e/product</t>
        </is>
      </c>
      <c r="P109" s="7" t="n"/>
      <c r="Q109" s="4" t="n"/>
      <c r="R109" s="8" t="n"/>
      <c r="S109" s="3" t="inlineStr">
        <is>
          <t>Supplier</t>
        </is>
      </c>
      <c r="T109" s="3" t="inlineStr">
        <is>
          <t>No</t>
        </is>
      </c>
      <c r="U109" s="5" t="n"/>
      <c r="V109" s="3" t="n"/>
      <c r="W109" s="3" t="n"/>
      <c r="X109" s="6" t="n"/>
      <c r="Y109" s="3" t="inlineStr">
        <is>
          <t>kgCO2e/product</t>
        </is>
      </c>
      <c r="Z109" s="3" t="n"/>
      <c r="AA109" s="7" t="n"/>
      <c r="AB109" s="3" t="n"/>
      <c r="AC109" s="3" t="n"/>
      <c r="AD109" s="6" t="n"/>
      <c r="AE109" s="3" t="inlineStr">
        <is>
          <t>kgCO2e/product</t>
        </is>
      </c>
      <c r="AF109" s="3" t="n"/>
      <c r="AG109" s="7" t="n">
        <v>0</v>
      </c>
      <c r="AH109" s="3" t="n"/>
      <c r="AI109" s="3" t="n"/>
      <c r="AJ109" s="3" t="n"/>
      <c r="AK109" s="4">
        <f>IF(COUNT(AH109,AI109,AJ109)=0,"",ROUND(AVERAGE(AH109,AI109,AJ109),3))</f>
        <v/>
      </c>
      <c r="AL109" s="3">
        <f>IF(X109="","",ROUND(X109*IF(H109="",0,H109)*(1+IF(AA109="",0,AA109)),5))</f>
        <v/>
      </c>
      <c r="AM109" s="3" t="inlineStr">
        <is>
          <t>kgCO2e/product</t>
        </is>
      </c>
      <c r="AN109" s="5" t="n"/>
      <c r="AO109" s="9">
        <f>IF(AND($A109&lt;&gt;"",E109=""),"Supplier code empty (High);","")&amp;IF(AND(P109&lt;&gt;"",OR(P109&gt;1,P109&lt;0)),"Incorrect PDS value (High);",IF(AND(P109&lt;&gt;"",P109&gt;0.5),"High PDS value (Medium);",""))&amp;IF(AND(Q109&lt;&gt;"",OR(Q109&gt;5,Q109&lt;1)),"Incorrect DQR value (High);","")&amp;IF(AND(N109&lt;&gt;"",OR(N109&lt;=0,N109&gt;100)),"Unusual PCF value might be wrong (High);","")&amp;IF(AND(AG109&lt;&gt;"",OR(AG109&gt;1,AG109&lt;0)),"Incorrect PDS value (High);",IF(AND(AG109&lt;&gt;"",AG109&gt;0.5),"High PDS value (Medium);",""))&amp;IF(AND(AK109&lt;&gt;"",OR(AK109&gt;5,AK109&lt;1)),"Incorrect DQR value (High);","")&amp;IF(AND(AA109&lt;&gt;"",OR(AA109&gt;1,AA109&lt;0)),"Incorrect scrap rate (High);",IF(AND(AA109&lt;&gt;"",AA109&gt;0.2),"High scrap rate (Medium);",IF(AND($A109&lt;&gt;"",AA109=0),"No scrap rate (No impact);","")))&amp;""</f>
        <v/>
      </c>
      <c r="AP109" s="9" t="n"/>
    </row>
    <row r="110">
      <c r="A110" s="3" t="n"/>
      <c r="B110" s="3" t="n"/>
      <c r="C110" s="3" t="n"/>
      <c r="D110" s="3" t="n"/>
      <c r="E110" s="3" t="n"/>
      <c r="F110" s="3" t="n"/>
      <c r="G110" s="4" t="n"/>
      <c r="H110" s="4" t="n"/>
      <c r="I110" s="3" t="inlineStr">
        <is>
          <t>kg</t>
        </is>
      </c>
      <c r="J110" s="4" t="n"/>
      <c r="K110" s="3" t="inlineStr">
        <is>
          <t>kg</t>
        </is>
      </c>
      <c r="L110" s="3" t="n"/>
      <c r="M110" s="5" t="n"/>
      <c r="N110" s="6" t="n"/>
      <c r="O110" s="3" t="inlineStr">
        <is>
          <t>kgCO2e/product</t>
        </is>
      </c>
      <c r="P110" s="7" t="n"/>
      <c r="Q110" s="4" t="n"/>
      <c r="R110" s="8" t="n"/>
      <c r="S110" s="3" t="inlineStr">
        <is>
          <t>Supplier</t>
        </is>
      </c>
      <c r="T110" s="3" t="inlineStr">
        <is>
          <t>No</t>
        </is>
      </c>
      <c r="U110" s="5" t="n"/>
      <c r="V110" s="3" t="n"/>
      <c r="W110" s="3" t="n"/>
      <c r="X110" s="6" t="n"/>
      <c r="Y110" s="3" t="inlineStr">
        <is>
          <t>kgCO2e/product</t>
        </is>
      </c>
      <c r="Z110" s="3" t="n"/>
      <c r="AA110" s="7" t="n"/>
      <c r="AB110" s="3" t="n"/>
      <c r="AC110" s="3" t="n"/>
      <c r="AD110" s="6" t="n"/>
      <c r="AE110" s="3" t="inlineStr">
        <is>
          <t>kgCO2e/product</t>
        </is>
      </c>
      <c r="AF110" s="3" t="n"/>
      <c r="AG110" s="7" t="n">
        <v>0</v>
      </c>
      <c r="AH110" s="3" t="n"/>
      <c r="AI110" s="3" t="n"/>
      <c r="AJ110" s="3" t="n"/>
      <c r="AK110" s="4">
        <f>IF(COUNT(AH110,AI110,AJ110)=0,"",ROUND(AVERAGE(AH110,AI110,AJ110),3))</f>
        <v/>
      </c>
      <c r="AL110" s="3">
        <f>IF(X110="","",ROUND(X110*IF(H110="",0,H110)*(1+IF(AA110="",0,AA110)),5))</f>
        <v/>
      </c>
      <c r="AM110" s="3" t="inlineStr">
        <is>
          <t>kgCO2e/product</t>
        </is>
      </c>
      <c r="AN110" s="5" t="n"/>
      <c r="AO110" s="9">
        <f>IF(AND($A110&lt;&gt;"",E110=""),"Supplier code empty (High);","")&amp;IF(AND(P110&lt;&gt;"",OR(P110&gt;1,P110&lt;0)),"Incorrect PDS value (High);",IF(AND(P110&lt;&gt;"",P110&gt;0.5),"High PDS value (Medium);",""))&amp;IF(AND(Q110&lt;&gt;"",OR(Q110&gt;5,Q110&lt;1)),"Incorrect DQR value (High);","")&amp;IF(AND(N110&lt;&gt;"",OR(N110&lt;=0,N110&gt;100)),"Unusual PCF value might be wrong (High);","")&amp;IF(AND(AG110&lt;&gt;"",OR(AG110&gt;1,AG110&lt;0)),"Incorrect PDS value (High);",IF(AND(AG110&lt;&gt;"",AG110&gt;0.5),"High PDS value (Medium);",""))&amp;IF(AND(AK110&lt;&gt;"",OR(AK110&gt;5,AK110&lt;1)),"Incorrect DQR value (High);","")&amp;IF(AND(AA110&lt;&gt;"",OR(AA110&gt;1,AA110&lt;0)),"Incorrect scrap rate (High);",IF(AND(AA110&lt;&gt;"",AA110&gt;0.2),"High scrap rate (Medium);",IF(AND($A110&lt;&gt;"",AA110=0),"No scrap rate (No impact);","")))&amp;""</f>
        <v/>
      </c>
      <c r="AP110" s="9" t="n"/>
    </row>
    <row r="111">
      <c r="A111" s="3" t="n"/>
      <c r="B111" s="3" t="n"/>
      <c r="C111" s="3" t="n"/>
      <c r="D111" s="3" t="n"/>
      <c r="E111" s="3" t="n"/>
      <c r="F111" s="3" t="n"/>
      <c r="G111" s="4" t="n"/>
      <c r="H111" s="4" t="n"/>
      <c r="I111" s="3" t="inlineStr">
        <is>
          <t>kg</t>
        </is>
      </c>
      <c r="J111" s="4" t="n"/>
      <c r="K111" s="3" t="inlineStr">
        <is>
          <t>kg</t>
        </is>
      </c>
      <c r="L111" s="3" t="n"/>
      <c r="M111" s="5" t="n"/>
      <c r="N111" s="6" t="n"/>
      <c r="O111" s="3" t="inlineStr">
        <is>
          <t>kgCO2e/product</t>
        </is>
      </c>
      <c r="P111" s="7" t="n"/>
      <c r="Q111" s="4" t="n"/>
      <c r="R111" s="8" t="n"/>
      <c r="S111" s="3" t="inlineStr">
        <is>
          <t>Supplier</t>
        </is>
      </c>
      <c r="T111" s="3" t="inlineStr">
        <is>
          <t>No</t>
        </is>
      </c>
      <c r="U111" s="5" t="n"/>
      <c r="V111" s="3" t="n"/>
      <c r="W111" s="3" t="n"/>
      <c r="X111" s="6" t="n"/>
      <c r="Y111" s="3" t="inlineStr">
        <is>
          <t>kgCO2e/product</t>
        </is>
      </c>
      <c r="Z111" s="3" t="n"/>
      <c r="AA111" s="7" t="n"/>
      <c r="AB111" s="3" t="n"/>
      <c r="AC111" s="3" t="n"/>
      <c r="AD111" s="6" t="n"/>
      <c r="AE111" s="3" t="inlineStr">
        <is>
          <t>kgCO2e/product</t>
        </is>
      </c>
      <c r="AF111" s="3" t="n"/>
      <c r="AG111" s="7" t="n">
        <v>0</v>
      </c>
      <c r="AH111" s="3" t="n"/>
      <c r="AI111" s="3" t="n"/>
      <c r="AJ111" s="3" t="n"/>
      <c r="AK111" s="4">
        <f>IF(COUNT(AH111,AI111,AJ111)=0,"",ROUND(AVERAGE(AH111,AI111,AJ111),3))</f>
        <v/>
      </c>
      <c r="AL111" s="3">
        <f>IF(X111="","",ROUND(X111*IF(H111="",0,H111)*(1+IF(AA111="",0,AA111)),5))</f>
        <v/>
      </c>
      <c r="AM111" s="3" t="inlineStr">
        <is>
          <t>kgCO2e/product</t>
        </is>
      </c>
      <c r="AN111" s="5" t="n"/>
      <c r="AO111" s="9">
        <f>IF(AND($A111&lt;&gt;"",E111=""),"Supplier code empty (High);","")&amp;IF(AND(P111&lt;&gt;"",OR(P111&gt;1,P111&lt;0)),"Incorrect PDS value (High);",IF(AND(P111&lt;&gt;"",P111&gt;0.5),"High PDS value (Medium);",""))&amp;IF(AND(Q111&lt;&gt;"",OR(Q111&gt;5,Q111&lt;1)),"Incorrect DQR value (High);","")&amp;IF(AND(N111&lt;&gt;"",OR(N111&lt;=0,N111&gt;100)),"Unusual PCF value might be wrong (High);","")&amp;IF(AND(AG111&lt;&gt;"",OR(AG111&gt;1,AG111&lt;0)),"Incorrect PDS value (High);",IF(AND(AG111&lt;&gt;"",AG111&gt;0.5),"High PDS value (Medium);",""))&amp;IF(AND(AK111&lt;&gt;"",OR(AK111&gt;5,AK111&lt;1)),"Incorrect DQR value (High);","")&amp;IF(AND(AA111&lt;&gt;"",OR(AA111&gt;1,AA111&lt;0)),"Incorrect scrap rate (High);",IF(AND(AA111&lt;&gt;"",AA111&gt;0.2),"High scrap rate (Medium);",IF(AND($A111&lt;&gt;"",AA111=0),"No scrap rate (No impact);","")))&amp;""</f>
        <v/>
      </c>
      <c r="AP111" s="9" t="n"/>
    </row>
    <row r="112">
      <c r="A112" s="3" t="n"/>
      <c r="B112" s="3" t="n"/>
      <c r="C112" s="3" t="n"/>
      <c r="D112" s="3" t="n"/>
      <c r="E112" s="3" t="n"/>
      <c r="F112" s="3" t="n"/>
      <c r="G112" s="4" t="n"/>
      <c r="H112" s="4" t="n"/>
      <c r="I112" s="3" t="inlineStr">
        <is>
          <t>kg</t>
        </is>
      </c>
      <c r="J112" s="4" t="n"/>
      <c r="K112" s="3" t="inlineStr">
        <is>
          <t>kg</t>
        </is>
      </c>
      <c r="L112" s="3" t="n"/>
      <c r="M112" s="5" t="n"/>
      <c r="N112" s="6" t="n"/>
      <c r="O112" s="3" t="inlineStr">
        <is>
          <t>kgCO2e/product</t>
        </is>
      </c>
      <c r="P112" s="7" t="n"/>
      <c r="Q112" s="4" t="n"/>
      <c r="R112" s="8" t="n"/>
      <c r="S112" s="3" t="inlineStr">
        <is>
          <t>Supplier</t>
        </is>
      </c>
      <c r="T112" s="3" t="inlineStr">
        <is>
          <t>No</t>
        </is>
      </c>
      <c r="U112" s="5" t="n"/>
      <c r="V112" s="3" t="n"/>
      <c r="W112" s="3" t="n"/>
      <c r="X112" s="6" t="n"/>
      <c r="Y112" s="3" t="inlineStr">
        <is>
          <t>kgCO2e/product</t>
        </is>
      </c>
      <c r="Z112" s="3" t="n"/>
      <c r="AA112" s="7" t="n"/>
      <c r="AB112" s="3" t="n"/>
      <c r="AC112" s="3" t="n"/>
      <c r="AD112" s="6" t="n"/>
      <c r="AE112" s="3" t="inlineStr">
        <is>
          <t>kgCO2e/product</t>
        </is>
      </c>
      <c r="AF112" s="3" t="n"/>
      <c r="AG112" s="7" t="n">
        <v>0</v>
      </c>
      <c r="AH112" s="3" t="n"/>
      <c r="AI112" s="3" t="n"/>
      <c r="AJ112" s="3" t="n"/>
      <c r="AK112" s="4">
        <f>IF(COUNT(AH112,AI112,AJ112)=0,"",ROUND(AVERAGE(AH112,AI112,AJ112),3))</f>
        <v/>
      </c>
      <c r="AL112" s="3">
        <f>IF(X112="","",ROUND(X112*IF(H112="",0,H112)*(1+IF(AA112="",0,AA112)),5))</f>
        <v/>
      </c>
      <c r="AM112" s="3" t="inlineStr">
        <is>
          <t>kgCO2e/product</t>
        </is>
      </c>
      <c r="AN112" s="5" t="n"/>
      <c r="AO112" s="9">
        <f>IF(AND($A112&lt;&gt;"",E112=""),"Supplier code empty (High);","")&amp;IF(AND(P112&lt;&gt;"",OR(P112&gt;1,P112&lt;0)),"Incorrect PDS value (High);",IF(AND(P112&lt;&gt;"",P112&gt;0.5),"High PDS value (Medium);",""))&amp;IF(AND(Q112&lt;&gt;"",OR(Q112&gt;5,Q112&lt;1)),"Incorrect DQR value (High);","")&amp;IF(AND(N112&lt;&gt;"",OR(N112&lt;=0,N112&gt;100)),"Unusual PCF value might be wrong (High);","")&amp;IF(AND(AG112&lt;&gt;"",OR(AG112&gt;1,AG112&lt;0)),"Incorrect PDS value (High);",IF(AND(AG112&lt;&gt;"",AG112&gt;0.5),"High PDS value (Medium);",""))&amp;IF(AND(AK112&lt;&gt;"",OR(AK112&gt;5,AK112&lt;1)),"Incorrect DQR value (High);","")&amp;IF(AND(AA112&lt;&gt;"",OR(AA112&gt;1,AA112&lt;0)),"Incorrect scrap rate (High);",IF(AND(AA112&lt;&gt;"",AA112&gt;0.2),"High scrap rate (Medium);",IF(AND($A112&lt;&gt;"",AA112=0),"No scrap rate (No impact);","")))&amp;""</f>
        <v/>
      </c>
      <c r="AP112" s="9" t="n"/>
    </row>
    <row r="113">
      <c r="A113" s="3" t="n"/>
      <c r="B113" s="3" t="n"/>
      <c r="C113" s="3" t="n"/>
      <c r="D113" s="3" t="n"/>
      <c r="E113" s="3" t="n"/>
      <c r="F113" s="3" t="n"/>
      <c r="G113" s="4" t="n"/>
      <c r="H113" s="4" t="n"/>
      <c r="I113" s="3" t="inlineStr">
        <is>
          <t>kg</t>
        </is>
      </c>
      <c r="J113" s="4" t="n"/>
      <c r="K113" s="3" t="inlineStr">
        <is>
          <t>kg</t>
        </is>
      </c>
      <c r="L113" s="3" t="n"/>
      <c r="M113" s="5" t="n"/>
      <c r="N113" s="6" t="n"/>
      <c r="O113" s="3" t="inlineStr">
        <is>
          <t>kgCO2e/product</t>
        </is>
      </c>
      <c r="P113" s="7" t="n"/>
      <c r="Q113" s="4" t="n"/>
      <c r="R113" s="8" t="n"/>
      <c r="S113" s="3" t="inlineStr">
        <is>
          <t>Supplier</t>
        </is>
      </c>
      <c r="T113" s="3" t="inlineStr">
        <is>
          <t>No</t>
        </is>
      </c>
      <c r="U113" s="5" t="n"/>
      <c r="V113" s="3" t="n"/>
      <c r="W113" s="3" t="n"/>
      <c r="X113" s="6" t="n"/>
      <c r="Y113" s="3" t="inlineStr">
        <is>
          <t>kgCO2e/product</t>
        </is>
      </c>
      <c r="Z113" s="3" t="n"/>
      <c r="AA113" s="7" t="n"/>
      <c r="AB113" s="3" t="n"/>
      <c r="AC113" s="3" t="n"/>
      <c r="AD113" s="6" t="n"/>
      <c r="AE113" s="3" t="inlineStr">
        <is>
          <t>kgCO2e/product</t>
        </is>
      </c>
      <c r="AF113" s="3" t="n"/>
      <c r="AG113" s="7" t="n">
        <v>0</v>
      </c>
      <c r="AH113" s="3" t="n"/>
      <c r="AI113" s="3" t="n"/>
      <c r="AJ113" s="3" t="n"/>
      <c r="AK113" s="4">
        <f>IF(COUNT(AH113,AI113,AJ113)=0,"",ROUND(AVERAGE(AH113,AI113,AJ113),3))</f>
        <v/>
      </c>
      <c r="AL113" s="3">
        <f>IF(X113="","",ROUND(X113*IF(H113="",0,H113)*(1+IF(AA113="",0,AA113)),5))</f>
        <v/>
      </c>
      <c r="AM113" s="3" t="inlineStr">
        <is>
          <t>kgCO2e/product</t>
        </is>
      </c>
      <c r="AN113" s="5" t="n"/>
      <c r="AO113" s="9">
        <f>IF(AND($A113&lt;&gt;"",E113=""),"Supplier code empty (High);","")&amp;IF(AND(P113&lt;&gt;"",OR(P113&gt;1,P113&lt;0)),"Incorrect PDS value (High);",IF(AND(P113&lt;&gt;"",P113&gt;0.5),"High PDS value (Medium);",""))&amp;IF(AND(Q113&lt;&gt;"",OR(Q113&gt;5,Q113&lt;1)),"Incorrect DQR value (High);","")&amp;IF(AND(N113&lt;&gt;"",OR(N113&lt;=0,N113&gt;100)),"Unusual PCF value might be wrong (High);","")&amp;IF(AND(AG113&lt;&gt;"",OR(AG113&gt;1,AG113&lt;0)),"Incorrect PDS value (High);",IF(AND(AG113&lt;&gt;"",AG113&gt;0.5),"High PDS value (Medium);",""))&amp;IF(AND(AK113&lt;&gt;"",OR(AK113&gt;5,AK113&lt;1)),"Incorrect DQR value (High);","")&amp;IF(AND(AA113&lt;&gt;"",OR(AA113&gt;1,AA113&lt;0)),"Incorrect scrap rate (High);",IF(AND(AA113&lt;&gt;"",AA113&gt;0.2),"High scrap rate (Medium);",IF(AND($A113&lt;&gt;"",AA113=0),"No scrap rate (No impact);","")))&amp;""</f>
        <v/>
      </c>
      <c r="AP113" s="9" t="n"/>
    </row>
    <row r="114">
      <c r="A114" s="3" t="n"/>
      <c r="B114" s="3" t="n"/>
      <c r="C114" s="3" t="n"/>
      <c r="D114" s="3" t="n"/>
      <c r="E114" s="3" t="n"/>
      <c r="F114" s="3" t="n"/>
      <c r="G114" s="4" t="n"/>
      <c r="H114" s="4" t="n"/>
      <c r="I114" s="3" t="inlineStr">
        <is>
          <t>kg</t>
        </is>
      </c>
      <c r="J114" s="4" t="n"/>
      <c r="K114" s="3" t="inlineStr">
        <is>
          <t>kg</t>
        </is>
      </c>
      <c r="L114" s="3" t="n"/>
      <c r="M114" s="5" t="n"/>
      <c r="N114" s="6" t="n"/>
      <c r="O114" s="3" t="inlineStr">
        <is>
          <t>kgCO2e/product</t>
        </is>
      </c>
      <c r="P114" s="7" t="n"/>
      <c r="Q114" s="4" t="n"/>
      <c r="R114" s="8" t="n"/>
      <c r="S114" s="3" t="inlineStr">
        <is>
          <t>Supplier</t>
        </is>
      </c>
      <c r="T114" s="3" t="inlineStr">
        <is>
          <t>No</t>
        </is>
      </c>
      <c r="U114" s="5" t="n"/>
      <c r="V114" s="3" t="n"/>
      <c r="W114" s="3" t="n"/>
      <c r="X114" s="6" t="n"/>
      <c r="Y114" s="3" t="inlineStr">
        <is>
          <t>kgCO2e/product</t>
        </is>
      </c>
      <c r="Z114" s="3" t="n"/>
      <c r="AA114" s="7" t="n"/>
      <c r="AB114" s="3" t="n"/>
      <c r="AC114" s="3" t="n"/>
      <c r="AD114" s="6" t="n"/>
      <c r="AE114" s="3" t="inlineStr">
        <is>
          <t>kgCO2e/product</t>
        </is>
      </c>
      <c r="AF114" s="3" t="n"/>
      <c r="AG114" s="7" t="n">
        <v>0</v>
      </c>
      <c r="AH114" s="3" t="n"/>
      <c r="AI114" s="3" t="n"/>
      <c r="AJ114" s="3" t="n"/>
      <c r="AK114" s="4">
        <f>IF(COUNT(AH114,AI114,AJ114)=0,"",ROUND(AVERAGE(AH114,AI114,AJ114),3))</f>
        <v/>
      </c>
      <c r="AL114" s="3">
        <f>IF(X114="","",ROUND(X114*IF(H114="",0,H114)*(1+IF(AA114="",0,AA114)),5))</f>
        <v/>
      </c>
      <c r="AM114" s="3" t="inlineStr">
        <is>
          <t>kgCO2e/product</t>
        </is>
      </c>
      <c r="AN114" s="5" t="n"/>
      <c r="AO114" s="9">
        <f>IF(AND($A114&lt;&gt;"",E114=""),"Supplier code empty (High);","")&amp;IF(AND(P114&lt;&gt;"",OR(P114&gt;1,P114&lt;0)),"Incorrect PDS value (High);",IF(AND(P114&lt;&gt;"",P114&gt;0.5),"High PDS value (Medium);",""))&amp;IF(AND(Q114&lt;&gt;"",OR(Q114&gt;5,Q114&lt;1)),"Incorrect DQR value (High);","")&amp;IF(AND(N114&lt;&gt;"",OR(N114&lt;=0,N114&gt;100)),"Unusual PCF value might be wrong (High);","")&amp;IF(AND(AG114&lt;&gt;"",OR(AG114&gt;1,AG114&lt;0)),"Incorrect PDS value (High);",IF(AND(AG114&lt;&gt;"",AG114&gt;0.5),"High PDS value (Medium);",""))&amp;IF(AND(AK114&lt;&gt;"",OR(AK114&gt;5,AK114&lt;1)),"Incorrect DQR value (High);","")&amp;IF(AND(AA114&lt;&gt;"",OR(AA114&gt;1,AA114&lt;0)),"Incorrect scrap rate (High);",IF(AND(AA114&lt;&gt;"",AA114&gt;0.2),"High scrap rate (Medium);",IF(AND($A114&lt;&gt;"",AA114=0),"No scrap rate (No impact);","")))&amp;""</f>
        <v/>
      </c>
      <c r="AP114" s="9" t="n"/>
    </row>
    <row r="115">
      <c r="A115" s="3" t="n"/>
      <c r="B115" s="3" t="n"/>
      <c r="C115" s="3" t="n"/>
      <c r="D115" s="3" t="n"/>
      <c r="E115" s="3" t="n"/>
      <c r="F115" s="3" t="n"/>
      <c r="G115" s="4" t="n"/>
      <c r="H115" s="4" t="n"/>
      <c r="I115" s="3" t="inlineStr">
        <is>
          <t>kg</t>
        </is>
      </c>
      <c r="J115" s="4" t="n"/>
      <c r="K115" s="3" t="inlineStr">
        <is>
          <t>kg</t>
        </is>
      </c>
      <c r="L115" s="3" t="n"/>
      <c r="M115" s="5" t="n"/>
      <c r="N115" s="6" t="n"/>
      <c r="O115" s="3" t="inlineStr">
        <is>
          <t>kgCO2e/product</t>
        </is>
      </c>
      <c r="P115" s="7" t="n"/>
      <c r="Q115" s="4" t="n"/>
      <c r="R115" s="8" t="n"/>
      <c r="S115" s="3" t="inlineStr">
        <is>
          <t>Supplier</t>
        </is>
      </c>
      <c r="T115" s="3" t="inlineStr">
        <is>
          <t>No</t>
        </is>
      </c>
      <c r="U115" s="5" t="n"/>
      <c r="V115" s="3" t="n"/>
      <c r="W115" s="3" t="n"/>
      <c r="X115" s="6" t="n"/>
      <c r="Y115" s="3" t="inlineStr">
        <is>
          <t>kgCO2e/product</t>
        </is>
      </c>
      <c r="Z115" s="3" t="n"/>
      <c r="AA115" s="7" t="n"/>
      <c r="AB115" s="3" t="n"/>
      <c r="AC115" s="3" t="n"/>
      <c r="AD115" s="6" t="n"/>
      <c r="AE115" s="3" t="inlineStr">
        <is>
          <t>kgCO2e/product</t>
        </is>
      </c>
      <c r="AF115" s="3" t="n"/>
      <c r="AG115" s="7" t="n">
        <v>0</v>
      </c>
      <c r="AH115" s="3" t="n"/>
      <c r="AI115" s="3" t="n"/>
      <c r="AJ115" s="3" t="n"/>
      <c r="AK115" s="4">
        <f>IF(COUNT(AH115,AI115,AJ115)=0,"",ROUND(AVERAGE(AH115,AI115,AJ115),3))</f>
        <v/>
      </c>
      <c r="AL115" s="3">
        <f>IF(X115="","",ROUND(X115*IF(H115="",0,H115)*(1+IF(AA115="",0,AA115)),5))</f>
        <v/>
      </c>
      <c r="AM115" s="3" t="inlineStr">
        <is>
          <t>kgCO2e/product</t>
        </is>
      </c>
      <c r="AN115" s="5" t="n"/>
      <c r="AO115" s="9">
        <f>IF(AND($A115&lt;&gt;"",E115=""),"Supplier code empty (High);","")&amp;IF(AND(P115&lt;&gt;"",OR(P115&gt;1,P115&lt;0)),"Incorrect PDS value (High);",IF(AND(P115&lt;&gt;"",P115&gt;0.5),"High PDS value (Medium);",""))&amp;IF(AND(Q115&lt;&gt;"",OR(Q115&gt;5,Q115&lt;1)),"Incorrect DQR value (High);","")&amp;IF(AND(N115&lt;&gt;"",OR(N115&lt;=0,N115&gt;100)),"Unusual PCF value might be wrong (High);","")&amp;IF(AND(AG115&lt;&gt;"",OR(AG115&gt;1,AG115&lt;0)),"Incorrect PDS value (High);",IF(AND(AG115&lt;&gt;"",AG115&gt;0.5),"High PDS value (Medium);",""))&amp;IF(AND(AK115&lt;&gt;"",OR(AK115&gt;5,AK115&lt;1)),"Incorrect DQR value (High);","")&amp;IF(AND(AA115&lt;&gt;"",OR(AA115&gt;1,AA115&lt;0)),"Incorrect scrap rate (High);",IF(AND(AA115&lt;&gt;"",AA115&gt;0.2),"High scrap rate (Medium);",IF(AND($A115&lt;&gt;"",AA115=0),"No scrap rate (No impact);","")))&amp;""</f>
        <v/>
      </c>
      <c r="AP115" s="9" t="n"/>
    </row>
    <row r="116">
      <c r="A116" s="3" t="n"/>
      <c r="B116" s="3" t="n"/>
      <c r="C116" s="3" t="n"/>
      <c r="D116" s="3" t="n"/>
      <c r="E116" s="3" t="n"/>
      <c r="F116" s="3" t="n"/>
      <c r="G116" s="4" t="n"/>
      <c r="H116" s="4" t="n"/>
      <c r="I116" s="3" t="inlineStr">
        <is>
          <t>kg</t>
        </is>
      </c>
      <c r="J116" s="4" t="n"/>
      <c r="K116" s="3" t="inlineStr">
        <is>
          <t>kg</t>
        </is>
      </c>
      <c r="L116" s="3" t="n"/>
      <c r="M116" s="5" t="n"/>
      <c r="N116" s="6" t="n"/>
      <c r="O116" s="3" t="inlineStr">
        <is>
          <t>kgCO2e/product</t>
        </is>
      </c>
      <c r="P116" s="7" t="n"/>
      <c r="Q116" s="4" t="n"/>
      <c r="R116" s="8" t="n"/>
      <c r="S116" s="3" t="inlineStr">
        <is>
          <t>Supplier</t>
        </is>
      </c>
      <c r="T116" s="3" t="inlineStr">
        <is>
          <t>No</t>
        </is>
      </c>
      <c r="U116" s="5" t="n"/>
      <c r="V116" s="3" t="n"/>
      <c r="W116" s="3" t="n"/>
      <c r="X116" s="6" t="n"/>
      <c r="Y116" s="3" t="inlineStr">
        <is>
          <t>kgCO2e/product</t>
        </is>
      </c>
      <c r="Z116" s="3" t="n"/>
      <c r="AA116" s="7" t="n"/>
      <c r="AB116" s="3" t="n"/>
      <c r="AC116" s="3" t="n"/>
      <c r="AD116" s="6" t="n"/>
      <c r="AE116" s="3" t="inlineStr">
        <is>
          <t>kgCO2e/product</t>
        </is>
      </c>
      <c r="AF116" s="3" t="n"/>
      <c r="AG116" s="7" t="n">
        <v>0</v>
      </c>
      <c r="AH116" s="3" t="n"/>
      <c r="AI116" s="3" t="n"/>
      <c r="AJ116" s="3" t="n"/>
      <c r="AK116" s="4">
        <f>IF(COUNT(AH116,AI116,AJ116)=0,"",ROUND(AVERAGE(AH116,AI116,AJ116),3))</f>
        <v/>
      </c>
      <c r="AL116" s="3">
        <f>IF(X116="","",ROUND(X116*IF(H116="",0,H116)*(1+IF(AA116="",0,AA116)),5))</f>
        <v/>
      </c>
      <c r="AM116" s="3" t="inlineStr">
        <is>
          <t>kgCO2e/product</t>
        </is>
      </c>
      <c r="AN116" s="5" t="n"/>
      <c r="AO116" s="9">
        <f>IF(AND($A116&lt;&gt;"",E116=""),"Supplier code empty (High);","")&amp;IF(AND(P116&lt;&gt;"",OR(P116&gt;1,P116&lt;0)),"Incorrect PDS value (High);",IF(AND(P116&lt;&gt;"",P116&gt;0.5),"High PDS value (Medium);",""))&amp;IF(AND(Q116&lt;&gt;"",OR(Q116&gt;5,Q116&lt;1)),"Incorrect DQR value (High);","")&amp;IF(AND(N116&lt;&gt;"",OR(N116&lt;=0,N116&gt;100)),"Unusual PCF value might be wrong (High);","")&amp;IF(AND(AG116&lt;&gt;"",OR(AG116&gt;1,AG116&lt;0)),"Incorrect PDS value (High);",IF(AND(AG116&lt;&gt;"",AG116&gt;0.5),"High PDS value (Medium);",""))&amp;IF(AND(AK116&lt;&gt;"",OR(AK116&gt;5,AK116&lt;1)),"Incorrect DQR value (High);","")&amp;IF(AND(AA116&lt;&gt;"",OR(AA116&gt;1,AA116&lt;0)),"Incorrect scrap rate (High);",IF(AND(AA116&lt;&gt;"",AA116&gt;0.2),"High scrap rate (Medium);",IF(AND($A116&lt;&gt;"",AA116=0),"No scrap rate (No impact);","")))&amp;""</f>
        <v/>
      </c>
      <c r="AP116" s="9" t="n"/>
    </row>
    <row r="117">
      <c r="A117" s="3" t="n"/>
      <c r="B117" s="3" t="n"/>
      <c r="C117" s="3" t="n"/>
      <c r="D117" s="3" t="n"/>
      <c r="E117" s="3" t="n"/>
      <c r="F117" s="3" t="n"/>
      <c r="G117" s="4" t="n"/>
      <c r="H117" s="4" t="n"/>
      <c r="I117" s="3" t="inlineStr">
        <is>
          <t>kg</t>
        </is>
      </c>
      <c r="J117" s="4" t="n"/>
      <c r="K117" s="3" t="inlineStr">
        <is>
          <t>kg</t>
        </is>
      </c>
      <c r="L117" s="3" t="n"/>
      <c r="M117" s="5" t="n"/>
      <c r="N117" s="6" t="n"/>
      <c r="O117" s="3" t="inlineStr">
        <is>
          <t>kgCO2e/product</t>
        </is>
      </c>
      <c r="P117" s="7" t="n"/>
      <c r="Q117" s="4" t="n"/>
      <c r="R117" s="8" t="n"/>
      <c r="S117" s="3" t="inlineStr">
        <is>
          <t>Supplier</t>
        </is>
      </c>
      <c r="T117" s="3" t="inlineStr">
        <is>
          <t>No</t>
        </is>
      </c>
      <c r="U117" s="5" t="n"/>
      <c r="V117" s="3" t="n"/>
      <c r="W117" s="3" t="n"/>
      <c r="X117" s="6" t="n"/>
      <c r="Y117" s="3" t="inlineStr">
        <is>
          <t>kgCO2e/product</t>
        </is>
      </c>
      <c r="Z117" s="3" t="n"/>
      <c r="AA117" s="7" t="n"/>
      <c r="AB117" s="3" t="n"/>
      <c r="AC117" s="3" t="n"/>
      <c r="AD117" s="6" t="n"/>
      <c r="AE117" s="3" t="inlineStr">
        <is>
          <t>kgCO2e/product</t>
        </is>
      </c>
      <c r="AF117" s="3" t="n"/>
      <c r="AG117" s="7" t="n">
        <v>0</v>
      </c>
      <c r="AH117" s="3" t="n"/>
      <c r="AI117" s="3" t="n"/>
      <c r="AJ117" s="3" t="n"/>
      <c r="AK117" s="4">
        <f>IF(COUNT(AH117,AI117,AJ117)=0,"",ROUND(AVERAGE(AH117,AI117,AJ117),3))</f>
        <v/>
      </c>
      <c r="AL117" s="3">
        <f>IF(X117="","",ROUND(X117*IF(H117="",0,H117)*(1+IF(AA117="",0,AA117)),5))</f>
        <v/>
      </c>
      <c r="AM117" s="3" t="inlineStr">
        <is>
          <t>kgCO2e/product</t>
        </is>
      </c>
      <c r="AN117" s="5" t="n"/>
      <c r="AO117" s="9">
        <f>IF(AND($A117&lt;&gt;"",E117=""),"Supplier code empty (High);","")&amp;IF(AND(P117&lt;&gt;"",OR(P117&gt;1,P117&lt;0)),"Incorrect PDS value (High);",IF(AND(P117&lt;&gt;"",P117&gt;0.5),"High PDS value (Medium);",""))&amp;IF(AND(Q117&lt;&gt;"",OR(Q117&gt;5,Q117&lt;1)),"Incorrect DQR value (High);","")&amp;IF(AND(N117&lt;&gt;"",OR(N117&lt;=0,N117&gt;100)),"Unusual PCF value might be wrong (High);","")&amp;IF(AND(AG117&lt;&gt;"",OR(AG117&gt;1,AG117&lt;0)),"Incorrect PDS value (High);",IF(AND(AG117&lt;&gt;"",AG117&gt;0.5),"High PDS value (Medium);",""))&amp;IF(AND(AK117&lt;&gt;"",OR(AK117&gt;5,AK117&lt;1)),"Incorrect DQR value (High);","")&amp;IF(AND(AA117&lt;&gt;"",OR(AA117&gt;1,AA117&lt;0)),"Incorrect scrap rate (High);",IF(AND(AA117&lt;&gt;"",AA117&gt;0.2),"High scrap rate (Medium);",IF(AND($A117&lt;&gt;"",AA117=0),"No scrap rate (No impact);","")))&amp;""</f>
        <v/>
      </c>
      <c r="AP117" s="9" t="n"/>
    </row>
    <row r="118">
      <c r="A118" s="3" t="n"/>
      <c r="B118" s="3" t="n"/>
      <c r="C118" s="3" t="n"/>
      <c r="D118" s="3" t="n"/>
      <c r="E118" s="3" t="n"/>
      <c r="F118" s="3" t="n"/>
      <c r="G118" s="4" t="n"/>
      <c r="H118" s="4" t="n"/>
      <c r="I118" s="3" t="inlineStr">
        <is>
          <t>kg</t>
        </is>
      </c>
      <c r="J118" s="4" t="n"/>
      <c r="K118" s="3" t="inlineStr">
        <is>
          <t>kg</t>
        </is>
      </c>
      <c r="L118" s="3" t="n"/>
      <c r="M118" s="5" t="n"/>
      <c r="N118" s="6" t="n"/>
      <c r="O118" s="3" t="inlineStr">
        <is>
          <t>kgCO2e/product</t>
        </is>
      </c>
      <c r="P118" s="7" t="n"/>
      <c r="Q118" s="4" t="n"/>
      <c r="R118" s="8" t="n"/>
      <c r="S118" s="3" t="inlineStr">
        <is>
          <t>Supplier</t>
        </is>
      </c>
      <c r="T118" s="3" t="inlineStr">
        <is>
          <t>No</t>
        </is>
      </c>
      <c r="U118" s="5" t="n"/>
      <c r="V118" s="3" t="n"/>
      <c r="W118" s="3" t="n"/>
      <c r="X118" s="6" t="n"/>
      <c r="Y118" s="3" t="inlineStr">
        <is>
          <t>kgCO2e/product</t>
        </is>
      </c>
      <c r="Z118" s="3" t="n"/>
      <c r="AA118" s="7" t="n"/>
      <c r="AB118" s="3" t="n"/>
      <c r="AC118" s="3" t="n"/>
      <c r="AD118" s="6" t="n"/>
      <c r="AE118" s="3" t="inlineStr">
        <is>
          <t>kgCO2e/product</t>
        </is>
      </c>
      <c r="AF118" s="3" t="n"/>
      <c r="AG118" s="7" t="n">
        <v>0</v>
      </c>
      <c r="AH118" s="3" t="n"/>
      <c r="AI118" s="3" t="n"/>
      <c r="AJ118" s="3" t="n"/>
      <c r="AK118" s="4">
        <f>IF(COUNT(AH118,AI118,AJ118)=0,"",ROUND(AVERAGE(AH118,AI118,AJ118),3))</f>
        <v/>
      </c>
      <c r="AL118" s="3">
        <f>IF(X118="","",ROUND(X118*IF(H118="",0,H118)*(1+IF(AA118="",0,AA118)),5))</f>
        <v/>
      </c>
      <c r="AM118" s="3" t="inlineStr">
        <is>
          <t>kgCO2e/product</t>
        </is>
      </c>
      <c r="AN118" s="5" t="n"/>
      <c r="AO118" s="9">
        <f>IF(AND($A118&lt;&gt;"",E118=""),"Supplier code empty (High);","")&amp;IF(AND(P118&lt;&gt;"",OR(P118&gt;1,P118&lt;0)),"Incorrect PDS value (High);",IF(AND(P118&lt;&gt;"",P118&gt;0.5),"High PDS value (Medium);",""))&amp;IF(AND(Q118&lt;&gt;"",OR(Q118&gt;5,Q118&lt;1)),"Incorrect DQR value (High);","")&amp;IF(AND(N118&lt;&gt;"",OR(N118&lt;=0,N118&gt;100)),"Unusual PCF value might be wrong (High);","")&amp;IF(AND(AG118&lt;&gt;"",OR(AG118&gt;1,AG118&lt;0)),"Incorrect PDS value (High);",IF(AND(AG118&lt;&gt;"",AG118&gt;0.5),"High PDS value (Medium);",""))&amp;IF(AND(AK118&lt;&gt;"",OR(AK118&gt;5,AK118&lt;1)),"Incorrect DQR value (High);","")&amp;IF(AND(AA118&lt;&gt;"",OR(AA118&gt;1,AA118&lt;0)),"Incorrect scrap rate (High);",IF(AND(AA118&lt;&gt;"",AA118&gt;0.2),"High scrap rate (Medium);",IF(AND($A118&lt;&gt;"",AA118=0),"No scrap rate (No impact);","")))&amp;""</f>
        <v/>
      </c>
      <c r="AP118" s="9" t="n"/>
    </row>
    <row r="119">
      <c r="A119" s="3" t="n"/>
      <c r="B119" s="3" t="n"/>
      <c r="C119" s="3" t="n"/>
      <c r="D119" s="3" t="n"/>
      <c r="E119" s="3" t="n"/>
      <c r="F119" s="3" t="n"/>
      <c r="G119" s="4" t="n"/>
      <c r="H119" s="4" t="n"/>
      <c r="I119" s="3" t="inlineStr">
        <is>
          <t>kg</t>
        </is>
      </c>
      <c r="J119" s="4" t="n"/>
      <c r="K119" s="3" t="inlineStr">
        <is>
          <t>kg</t>
        </is>
      </c>
      <c r="L119" s="3" t="n"/>
      <c r="M119" s="5" t="n"/>
      <c r="N119" s="6" t="n"/>
      <c r="O119" s="3" t="inlineStr">
        <is>
          <t>kgCO2e/product</t>
        </is>
      </c>
      <c r="P119" s="7" t="n"/>
      <c r="Q119" s="4" t="n"/>
      <c r="R119" s="8" t="n"/>
      <c r="S119" s="3" t="inlineStr">
        <is>
          <t>Supplier</t>
        </is>
      </c>
      <c r="T119" s="3" t="inlineStr">
        <is>
          <t>No</t>
        </is>
      </c>
      <c r="U119" s="5" t="n"/>
      <c r="V119" s="3" t="n"/>
      <c r="W119" s="3" t="n"/>
      <c r="X119" s="6" t="n"/>
      <c r="Y119" s="3" t="inlineStr">
        <is>
          <t>kgCO2e/product</t>
        </is>
      </c>
      <c r="Z119" s="3" t="n"/>
      <c r="AA119" s="7" t="n"/>
      <c r="AB119" s="3" t="n"/>
      <c r="AC119" s="3" t="n"/>
      <c r="AD119" s="6" t="n"/>
      <c r="AE119" s="3" t="inlineStr">
        <is>
          <t>kgCO2e/product</t>
        </is>
      </c>
      <c r="AF119" s="3" t="n"/>
      <c r="AG119" s="7" t="n">
        <v>0</v>
      </c>
      <c r="AH119" s="3" t="n"/>
      <c r="AI119" s="3" t="n"/>
      <c r="AJ119" s="3" t="n"/>
      <c r="AK119" s="4">
        <f>IF(COUNT(AH119,AI119,AJ119)=0,"",ROUND(AVERAGE(AH119,AI119,AJ119),3))</f>
        <v/>
      </c>
      <c r="AL119" s="3">
        <f>IF(X119="","",ROUND(X119*IF(H119="",0,H119)*(1+IF(AA119="",0,AA119)),5))</f>
        <v/>
      </c>
      <c r="AM119" s="3" t="inlineStr">
        <is>
          <t>kgCO2e/product</t>
        </is>
      </c>
      <c r="AN119" s="5" t="n"/>
      <c r="AO119" s="9">
        <f>IF(AND($A119&lt;&gt;"",E119=""),"Supplier code empty (High);","")&amp;IF(AND(P119&lt;&gt;"",OR(P119&gt;1,P119&lt;0)),"Incorrect PDS value (High);",IF(AND(P119&lt;&gt;"",P119&gt;0.5),"High PDS value (Medium);",""))&amp;IF(AND(Q119&lt;&gt;"",OR(Q119&gt;5,Q119&lt;1)),"Incorrect DQR value (High);","")&amp;IF(AND(N119&lt;&gt;"",OR(N119&lt;=0,N119&gt;100)),"Unusual PCF value might be wrong (High);","")&amp;IF(AND(AG119&lt;&gt;"",OR(AG119&gt;1,AG119&lt;0)),"Incorrect PDS value (High);",IF(AND(AG119&lt;&gt;"",AG119&gt;0.5),"High PDS value (Medium);",""))&amp;IF(AND(AK119&lt;&gt;"",OR(AK119&gt;5,AK119&lt;1)),"Incorrect DQR value (High);","")&amp;IF(AND(AA119&lt;&gt;"",OR(AA119&gt;1,AA119&lt;0)),"Incorrect scrap rate (High);",IF(AND(AA119&lt;&gt;"",AA119&gt;0.2),"High scrap rate (Medium);",IF(AND($A119&lt;&gt;"",AA119=0),"No scrap rate (No impact);","")))&amp;""</f>
        <v/>
      </c>
      <c r="AP119" s="9" t="n"/>
    </row>
    <row r="120">
      <c r="A120" s="3" t="n"/>
      <c r="B120" s="3" t="n"/>
      <c r="C120" s="3" t="n"/>
      <c r="D120" s="3" t="n"/>
      <c r="E120" s="3" t="n"/>
      <c r="F120" s="3" t="n"/>
      <c r="G120" s="4" t="n"/>
      <c r="H120" s="4" t="n"/>
      <c r="I120" s="3" t="inlineStr">
        <is>
          <t>kg</t>
        </is>
      </c>
      <c r="J120" s="4" t="n"/>
      <c r="K120" s="3" t="inlineStr">
        <is>
          <t>kg</t>
        </is>
      </c>
      <c r="L120" s="3" t="n"/>
      <c r="M120" s="5" t="n"/>
      <c r="N120" s="6" t="n"/>
      <c r="O120" s="3" t="inlineStr">
        <is>
          <t>kgCO2e/product</t>
        </is>
      </c>
      <c r="P120" s="7" t="n"/>
      <c r="Q120" s="4" t="n"/>
      <c r="R120" s="8" t="n"/>
      <c r="S120" s="3" t="inlineStr">
        <is>
          <t>Supplier</t>
        </is>
      </c>
      <c r="T120" s="3" t="inlineStr">
        <is>
          <t>No</t>
        </is>
      </c>
      <c r="U120" s="5" t="n"/>
      <c r="V120" s="3" t="n"/>
      <c r="W120" s="3" t="n"/>
      <c r="X120" s="6" t="n"/>
      <c r="Y120" s="3" t="inlineStr">
        <is>
          <t>kgCO2e/product</t>
        </is>
      </c>
      <c r="Z120" s="3" t="n"/>
      <c r="AA120" s="7" t="n"/>
      <c r="AB120" s="3" t="n"/>
      <c r="AC120" s="3" t="n"/>
      <c r="AD120" s="6" t="n"/>
      <c r="AE120" s="3" t="inlineStr">
        <is>
          <t>kgCO2e/product</t>
        </is>
      </c>
      <c r="AF120" s="3" t="n"/>
      <c r="AG120" s="7" t="n">
        <v>0</v>
      </c>
      <c r="AH120" s="3" t="n"/>
      <c r="AI120" s="3" t="n"/>
      <c r="AJ120" s="3" t="n"/>
      <c r="AK120" s="4">
        <f>IF(COUNT(AH120,AI120,AJ120)=0,"",ROUND(AVERAGE(AH120,AI120,AJ120),3))</f>
        <v/>
      </c>
      <c r="AL120" s="3">
        <f>IF(X120="","",ROUND(X120*IF(H120="",0,H120)*(1+IF(AA120="",0,AA120)),5))</f>
        <v/>
      </c>
      <c r="AM120" s="3" t="inlineStr">
        <is>
          <t>kgCO2e/product</t>
        </is>
      </c>
      <c r="AN120" s="5" t="n"/>
      <c r="AO120" s="9">
        <f>IF(AND($A120&lt;&gt;"",E120=""),"Supplier code empty (High);","")&amp;IF(AND(P120&lt;&gt;"",OR(P120&gt;1,P120&lt;0)),"Incorrect PDS value (High);",IF(AND(P120&lt;&gt;"",P120&gt;0.5),"High PDS value (Medium);",""))&amp;IF(AND(Q120&lt;&gt;"",OR(Q120&gt;5,Q120&lt;1)),"Incorrect DQR value (High);","")&amp;IF(AND(N120&lt;&gt;"",OR(N120&lt;=0,N120&gt;100)),"Unusual PCF value might be wrong (High);","")&amp;IF(AND(AG120&lt;&gt;"",OR(AG120&gt;1,AG120&lt;0)),"Incorrect PDS value (High);",IF(AND(AG120&lt;&gt;"",AG120&gt;0.5),"High PDS value (Medium);",""))&amp;IF(AND(AK120&lt;&gt;"",OR(AK120&gt;5,AK120&lt;1)),"Incorrect DQR value (High);","")&amp;IF(AND(AA120&lt;&gt;"",OR(AA120&gt;1,AA120&lt;0)),"Incorrect scrap rate (High);",IF(AND(AA120&lt;&gt;"",AA120&gt;0.2),"High scrap rate (Medium);",IF(AND($A120&lt;&gt;"",AA120=0),"No scrap rate (No impact);","")))&amp;""</f>
        <v/>
      </c>
      <c r="AP120" s="9" t="n"/>
    </row>
    <row r="121">
      <c r="A121" s="3" t="n"/>
      <c r="B121" s="3" t="n"/>
      <c r="C121" s="3" t="n"/>
      <c r="D121" s="3" t="n"/>
      <c r="E121" s="3" t="n"/>
      <c r="F121" s="3" t="n"/>
      <c r="G121" s="4" t="n"/>
      <c r="H121" s="4" t="n"/>
      <c r="I121" s="3" t="inlineStr">
        <is>
          <t>kg</t>
        </is>
      </c>
      <c r="J121" s="4" t="n"/>
      <c r="K121" s="3" t="inlineStr">
        <is>
          <t>kg</t>
        </is>
      </c>
      <c r="L121" s="3" t="n"/>
      <c r="M121" s="5" t="n"/>
      <c r="N121" s="6" t="n"/>
      <c r="O121" s="3" t="inlineStr">
        <is>
          <t>kgCO2e/product</t>
        </is>
      </c>
      <c r="P121" s="7" t="n"/>
      <c r="Q121" s="4" t="n"/>
      <c r="R121" s="8" t="n"/>
      <c r="S121" s="3" t="inlineStr">
        <is>
          <t>Supplier</t>
        </is>
      </c>
      <c r="T121" s="3" t="inlineStr">
        <is>
          <t>No</t>
        </is>
      </c>
      <c r="U121" s="5" t="n"/>
      <c r="V121" s="3" t="n"/>
      <c r="W121" s="3" t="n"/>
      <c r="X121" s="6" t="n"/>
      <c r="Y121" s="3" t="inlineStr">
        <is>
          <t>kgCO2e/product</t>
        </is>
      </c>
      <c r="Z121" s="3" t="n"/>
      <c r="AA121" s="7" t="n"/>
      <c r="AB121" s="3" t="n"/>
      <c r="AC121" s="3" t="n"/>
      <c r="AD121" s="6" t="n"/>
      <c r="AE121" s="3" t="inlineStr">
        <is>
          <t>kgCO2e/product</t>
        </is>
      </c>
      <c r="AF121" s="3" t="n"/>
      <c r="AG121" s="7" t="n">
        <v>0</v>
      </c>
      <c r="AH121" s="3" t="n"/>
      <c r="AI121" s="3" t="n"/>
      <c r="AJ121" s="3" t="n"/>
      <c r="AK121" s="4">
        <f>IF(COUNT(AH121,AI121,AJ121)=0,"",ROUND(AVERAGE(AH121,AI121,AJ121),3))</f>
        <v/>
      </c>
      <c r="AL121" s="3">
        <f>IF(X121="","",ROUND(X121*IF(H121="",0,H121)*(1+IF(AA121="",0,AA121)),5))</f>
        <v/>
      </c>
      <c r="AM121" s="3" t="inlineStr">
        <is>
          <t>kgCO2e/product</t>
        </is>
      </c>
      <c r="AN121" s="5" t="n"/>
      <c r="AO121" s="9">
        <f>IF(AND($A121&lt;&gt;"",E121=""),"Supplier code empty (High);","")&amp;IF(AND(P121&lt;&gt;"",OR(P121&gt;1,P121&lt;0)),"Incorrect PDS value (High);",IF(AND(P121&lt;&gt;"",P121&gt;0.5),"High PDS value (Medium);",""))&amp;IF(AND(Q121&lt;&gt;"",OR(Q121&gt;5,Q121&lt;1)),"Incorrect DQR value (High);","")&amp;IF(AND(N121&lt;&gt;"",OR(N121&lt;=0,N121&gt;100)),"Unusual PCF value might be wrong (High);","")&amp;IF(AND(AG121&lt;&gt;"",OR(AG121&gt;1,AG121&lt;0)),"Incorrect PDS value (High);",IF(AND(AG121&lt;&gt;"",AG121&gt;0.5),"High PDS value (Medium);",""))&amp;IF(AND(AK121&lt;&gt;"",OR(AK121&gt;5,AK121&lt;1)),"Incorrect DQR value (High);","")&amp;IF(AND(AA121&lt;&gt;"",OR(AA121&gt;1,AA121&lt;0)),"Incorrect scrap rate (High);",IF(AND(AA121&lt;&gt;"",AA121&gt;0.2),"High scrap rate (Medium);",IF(AND($A121&lt;&gt;"",AA121=0),"No scrap rate (No impact);","")))&amp;""</f>
        <v/>
      </c>
      <c r="AP121" s="9" t="n"/>
    </row>
    <row r="122">
      <c r="A122" s="3" t="n"/>
      <c r="B122" s="3" t="n"/>
      <c r="C122" s="3" t="n"/>
      <c r="D122" s="3" t="n"/>
      <c r="E122" s="3" t="n"/>
      <c r="F122" s="3" t="n"/>
      <c r="G122" s="4" t="n"/>
      <c r="H122" s="4" t="n"/>
      <c r="I122" s="3" t="inlineStr">
        <is>
          <t>kg</t>
        </is>
      </c>
      <c r="J122" s="4" t="n"/>
      <c r="K122" s="3" t="inlineStr">
        <is>
          <t>kg</t>
        </is>
      </c>
      <c r="L122" s="3" t="n"/>
      <c r="M122" s="5" t="n"/>
      <c r="N122" s="6" t="n"/>
      <c r="O122" s="3" t="inlineStr">
        <is>
          <t>kgCO2e/product</t>
        </is>
      </c>
      <c r="P122" s="7" t="n"/>
      <c r="Q122" s="4" t="n"/>
      <c r="R122" s="8" t="n"/>
      <c r="S122" s="3" t="inlineStr">
        <is>
          <t>Supplier</t>
        </is>
      </c>
      <c r="T122" s="3" t="inlineStr">
        <is>
          <t>No</t>
        </is>
      </c>
      <c r="U122" s="5" t="n"/>
      <c r="V122" s="3" t="n"/>
      <c r="W122" s="3" t="n"/>
      <c r="X122" s="6" t="n"/>
      <c r="Y122" s="3" t="inlineStr">
        <is>
          <t>kgCO2e/product</t>
        </is>
      </c>
      <c r="Z122" s="3" t="n"/>
      <c r="AA122" s="7" t="n"/>
      <c r="AB122" s="3" t="n"/>
      <c r="AC122" s="3" t="n"/>
      <c r="AD122" s="6" t="n"/>
      <c r="AE122" s="3" t="inlineStr">
        <is>
          <t>kgCO2e/product</t>
        </is>
      </c>
      <c r="AF122" s="3" t="n"/>
      <c r="AG122" s="7" t="n">
        <v>0</v>
      </c>
      <c r="AH122" s="3" t="n"/>
      <c r="AI122" s="3" t="n"/>
      <c r="AJ122" s="3" t="n"/>
      <c r="AK122" s="4">
        <f>IF(COUNT(AH122,AI122,AJ122)=0,"",ROUND(AVERAGE(AH122,AI122,AJ122),3))</f>
        <v/>
      </c>
      <c r="AL122" s="3">
        <f>IF(X122="","",ROUND(X122*IF(H122="",0,H122)*(1+IF(AA122="",0,AA122)),5))</f>
        <v/>
      </c>
      <c r="AM122" s="3" t="inlineStr">
        <is>
          <t>kgCO2e/product</t>
        </is>
      </c>
      <c r="AN122" s="5" t="n"/>
      <c r="AO122" s="9">
        <f>IF(AND($A122&lt;&gt;"",E122=""),"Supplier code empty (High);","")&amp;IF(AND(P122&lt;&gt;"",OR(P122&gt;1,P122&lt;0)),"Incorrect PDS value (High);",IF(AND(P122&lt;&gt;"",P122&gt;0.5),"High PDS value (Medium);",""))&amp;IF(AND(Q122&lt;&gt;"",OR(Q122&gt;5,Q122&lt;1)),"Incorrect DQR value (High);","")&amp;IF(AND(N122&lt;&gt;"",OR(N122&lt;=0,N122&gt;100)),"Unusual PCF value might be wrong (High);","")&amp;IF(AND(AG122&lt;&gt;"",OR(AG122&gt;1,AG122&lt;0)),"Incorrect PDS value (High);",IF(AND(AG122&lt;&gt;"",AG122&gt;0.5),"High PDS value (Medium);",""))&amp;IF(AND(AK122&lt;&gt;"",OR(AK122&gt;5,AK122&lt;1)),"Incorrect DQR value (High);","")&amp;IF(AND(AA122&lt;&gt;"",OR(AA122&gt;1,AA122&lt;0)),"Incorrect scrap rate (High);",IF(AND(AA122&lt;&gt;"",AA122&gt;0.2),"High scrap rate (Medium);",IF(AND($A122&lt;&gt;"",AA122=0),"No scrap rate (No impact);","")))&amp;""</f>
        <v/>
      </c>
      <c r="AP122" s="9" t="n"/>
    </row>
    <row r="123">
      <c r="A123" s="3" t="n"/>
      <c r="B123" s="3" t="n"/>
      <c r="C123" s="3" t="n"/>
      <c r="D123" s="3" t="n"/>
      <c r="E123" s="3" t="n"/>
      <c r="F123" s="3" t="n"/>
      <c r="G123" s="4" t="n"/>
      <c r="H123" s="4" t="n"/>
      <c r="I123" s="3" t="inlineStr">
        <is>
          <t>kg</t>
        </is>
      </c>
      <c r="J123" s="4" t="n"/>
      <c r="K123" s="3" t="inlineStr">
        <is>
          <t>kg</t>
        </is>
      </c>
      <c r="L123" s="3" t="n"/>
      <c r="M123" s="5" t="n"/>
      <c r="N123" s="6" t="n"/>
      <c r="O123" s="3" t="inlineStr">
        <is>
          <t>kgCO2e/product</t>
        </is>
      </c>
      <c r="P123" s="7" t="n"/>
      <c r="Q123" s="4" t="n"/>
      <c r="R123" s="8" t="n"/>
      <c r="S123" s="3" t="inlineStr">
        <is>
          <t>Supplier</t>
        </is>
      </c>
      <c r="T123" s="3" t="inlineStr">
        <is>
          <t>No</t>
        </is>
      </c>
      <c r="U123" s="5" t="n"/>
      <c r="V123" s="3" t="n"/>
      <c r="W123" s="3" t="n"/>
      <c r="X123" s="6" t="n"/>
      <c r="Y123" s="3" t="inlineStr">
        <is>
          <t>kgCO2e/product</t>
        </is>
      </c>
      <c r="Z123" s="3" t="n"/>
      <c r="AA123" s="7" t="n"/>
      <c r="AB123" s="3" t="n"/>
      <c r="AC123" s="3" t="n"/>
      <c r="AD123" s="6" t="n"/>
      <c r="AE123" s="3" t="inlineStr">
        <is>
          <t>kgCO2e/product</t>
        </is>
      </c>
      <c r="AF123" s="3" t="n"/>
      <c r="AG123" s="7" t="n">
        <v>0</v>
      </c>
      <c r="AH123" s="3" t="n"/>
      <c r="AI123" s="3" t="n"/>
      <c r="AJ123" s="3" t="n"/>
      <c r="AK123" s="4">
        <f>IF(COUNT(AH123,AI123,AJ123)=0,"",ROUND(AVERAGE(AH123,AI123,AJ123),3))</f>
        <v/>
      </c>
      <c r="AL123" s="3">
        <f>IF(X123="","",ROUND(X123*IF(H123="",0,H123)*(1+IF(AA123="",0,AA123)),5))</f>
        <v/>
      </c>
      <c r="AM123" s="3" t="inlineStr">
        <is>
          <t>kgCO2e/product</t>
        </is>
      </c>
      <c r="AN123" s="5" t="n"/>
      <c r="AO123" s="9">
        <f>IF(AND($A123&lt;&gt;"",E123=""),"Supplier code empty (High);","")&amp;IF(AND(P123&lt;&gt;"",OR(P123&gt;1,P123&lt;0)),"Incorrect PDS value (High);",IF(AND(P123&lt;&gt;"",P123&gt;0.5),"High PDS value (Medium);",""))&amp;IF(AND(Q123&lt;&gt;"",OR(Q123&gt;5,Q123&lt;1)),"Incorrect DQR value (High);","")&amp;IF(AND(N123&lt;&gt;"",OR(N123&lt;=0,N123&gt;100)),"Unusual PCF value might be wrong (High);","")&amp;IF(AND(AG123&lt;&gt;"",OR(AG123&gt;1,AG123&lt;0)),"Incorrect PDS value (High);",IF(AND(AG123&lt;&gt;"",AG123&gt;0.5),"High PDS value (Medium);",""))&amp;IF(AND(AK123&lt;&gt;"",OR(AK123&gt;5,AK123&lt;1)),"Incorrect DQR value (High);","")&amp;IF(AND(AA123&lt;&gt;"",OR(AA123&gt;1,AA123&lt;0)),"Incorrect scrap rate (High);",IF(AND(AA123&lt;&gt;"",AA123&gt;0.2),"High scrap rate (Medium);",IF(AND($A123&lt;&gt;"",AA123=0),"No scrap rate (No impact);","")))&amp;""</f>
        <v/>
      </c>
      <c r="AP123" s="9" t="n"/>
    </row>
    <row r="124">
      <c r="A124" s="3" t="n"/>
      <c r="B124" s="3" t="n"/>
      <c r="C124" s="3" t="n"/>
      <c r="D124" s="3" t="n"/>
      <c r="E124" s="3" t="n"/>
      <c r="F124" s="3" t="n"/>
      <c r="G124" s="4" t="n"/>
      <c r="H124" s="4" t="n"/>
      <c r="I124" s="3" t="inlineStr">
        <is>
          <t>kg</t>
        </is>
      </c>
      <c r="J124" s="4" t="n"/>
      <c r="K124" s="3" t="inlineStr">
        <is>
          <t>kg</t>
        </is>
      </c>
      <c r="L124" s="3" t="n"/>
      <c r="M124" s="5" t="n"/>
      <c r="N124" s="6" t="n"/>
      <c r="O124" s="3" t="inlineStr">
        <is>
          <t>kgCO2e/product</t>
        </is>
      </c>
      <c r="P124" s="7" t="n"/>
      <c r="Q124" s="4" t="n"/>
      <c r="R124" s="8" t="n"/>
      <c r="S124" s="3" t="inlineStr">
        <is>
          <t>Supplier</t>
        </is>
      </c>
      <c r="T124" s="3" t="inlineStr">
        <is>
          <t>No</t>
        </is>
      </c>
      <c r="U124" s="5" t="n"/>
      <c r="V124" s="3" t="n"/>
      <c r="W124" s="3" t="n"/>
      <c r="X124" s="6" t="n"/>
      <c r="Y124" s="3" t="inlineStr">
        <is>
          <t>kgCO2e/product</t>
        </is>
      </c>
      <c r="Z124" s="3" t="n"/>
      <c r="AA124" s="7" t="n"/>
      <c r="AB124" s="3" t="n"/>
      <c r="AC124" s="3" t="n"/>
      <c r="AD124" s="6" t="n"/>
      <c r="AE124" s="3" t="inlineStr">
        <is>
          <t>kgCO2e/product</t>
        </is>
      </c>
      <c r="AF124" s="3" t="n"/>
      <c r="AG124" s="7" t="n">
        <v>0</v>
      </c>
      <c r="AH124" s="3" t="n"/>
      <c r="AI124" s="3" t="n"/>
      <c r="AJ124" s="3" t="n"/>
      <c r="AK124" s="4">
        <f>IF(COUNT(AH124,AI124,AJ124)=0,"",ROUND(AVERAGE(AH124,AI124,AJ124),3))</f>
        <v/>
      </c>
      <c r="AL124" s="3">
        <f>IF(X124="","",ROUND(X124*IF(H124="",0,H124)*(1+IF(AA124="",0,AA124)),5))</f>
        <v/>
      </c>
      <c r="AM124" s="3" t="inlineStr">
        <is>
          <t>kgCO2e/product</t>
        </is>
      </c>
      <c r="AN124" s="5" t="n"/>
      <c r="AO124" s="9">
        <f>IF(AND($A124&lt;&gt;"",E124=""),"Supplier code empty (High);","")&amp;IF(AND(P124&lt;&gt;"",OR(P124&gt;1,P124&lt;0)),"Incorrect PDS value (High);",IF(AND(P124&lt;&gt;"",P124&gt;0.5),"High PDS value (Medium);",""))&amp;IF(AND(Q124&lt;&gt;"",OR(Q124&gt;5,Q124&lt;1)),"Incorrect DQR value (High);","")&amp;IF(AND(N124&lt;&gt;"",OR(N124&lt;=0,N124&gt;100)),"Unusual PCF value might be wrong (High);","")&amp;IF(AND(AG124&lt;&gt;"",OR(AG124&gt;1,AG124&lt;0)),"Incorrect PDS value (High);",IF(AND(AG124&lt;&gt;"",AG124&gt;0.5),"High PDS value (Medium);",""))&amp;IF(AND(AK124&lt;&gt;"",OR(AK124&gt;5,AK124&lt;1)),"Incorrect DQR value (High);","")&amp;IF(AND(AA124&lt;&gt;"",OR(AA124&gt;1,AA124&lt;0)),"Incorrect scrap rate (High);",IF(AND(AA124&lt;&gt;"",AA124&gt;0.2),"High scrap rate (Medium);",IF(AND($A124&lt;&gt;"",AA124=0),"No scrap rate (No impact);","")))&amp;""</f>
        <v/>
      </c>
      <c r="AP124" s="9" t="n"/>
    </row>
    <row r="125">
      <c r="A125" s="3" t="n"/>
      <c r="B125" s="3" t="n"/>
      <c r="C125" s="3" t="n"/>
      <c r="D125" s="3" t="n"/>
      <c r="E125" s="3" t="n"/>
      <c r="F125" s="3" t="n"/>
      <c r="G125" s="4" t="n"/>
      <c r="H125" s="4" t="n"/>
      <c r="I125" s="3" t="inlineStr">
        <is>
          <t>kg</t>
        </is>
      </c>
      <c r="J125" s="4" t="n"/>
      <c r="K125" s="3" t="inlineStr">
        <is>
          <t>kg</t>
        </is>
      </c>
      <c r="L125" s="3" t="n"/>
      <c r="M125" s="5" t="n"/>
      <c r="N125" s="6" t="n"/>
      <c r="O125" s="3" t="inlineStr">
        <is>
          <t>kgCO2e/product</t>
        </is>
      </c>
      <c r="P125" s="7" t="n"/>
      <c r="Q125" s="4" t="n"/>
      <c r="R125" s="8" t="n"/>
      <c r="S125" s="3" t="inlineStr">
        <is>
          <t>Supplier</t>
        </is>
      </c>
      <c r="T125" s="3" t="inlineStr">
        <is>
          <t>No</t>
        </is>
      </c>
      <c r="U125" s="5" t="n"/>
      <c r="V125" s="3" t="n"/>
      <c r="W125" s="3" t="n"/>
      <c r="X125" s="6" t="n"/>
      <c r="Y125" s="3" t="inlineStr">
        <is>
          <t>kgCO2e/product</t>
        </is>
      </c>
      <c r="Z125" s="3" t="n"/>
      <c r="AA125" s="7" t="n"/>
      <c r="AB125" s="3" t="n"/>
      <c r="AC125" s="3" t="n"/>
      <c r="AD125" s="6" t="n"/>
      <c r="AE125" s="3" t="inlineStr">
        <is>
          <t>kgCO2e/product</t>
        </is>
      </c>
      <c r="AF125" s="3" t="n"/>
      <c r="AG125" s="7" t="n">
        <v>0</v>
      </c>
      <c r="AH125" s="3" t="n"/>
      <c r="AI125" s="3" t="n"/>
      <c r="AJ125" s="3" t="n"/>
      <c r="AK125" s="4">
        <f>IF(COUNT(AH125,AI125,AJ125)=0,"",ROUND(AVERAGE(AH125,AI125,AJ125),3))</f>
        <v/>
      </c>
      <c r="AL125" s="3">
        <f>IF(X125="","",ROUND(X125*IF(H125="",0,H125)*(1+IF(AA125="",0,AA125)),5))</f>
        <v/>
      </c>
      <c r="AM125" s="3" t="inlineStr">
        <is>
          <t>kgCO2e/product</t>
        </is>
      </c>
      <c r="AN125" s="5" t="n"/>
      <c r="AO125" s="9">
        <f>IF(AND($A125&lt;&gt;"",E125=""),"Supplier code empty (High);","")&amp;IF(AND(P125&lt;&gt;"",OR(P125&gt;1,P125&lt;0)),"Incorrect PDS value (High);",IF(AND(P125&lt;&gt;"",P125&gt;0.5),"High PDS value (Medium);",""))&amp;IF(AND(Q125&lt;&gt;"",OR(Q125&gt;5,Q125&lt;1)),"Incorrect DQR value (High);","")&amp;IF(AND(N125&lt;&gt;"",OR(N125&lt;=0,N125&gt;100)),"Unusual PCF value might be wrong (High);","")&amp;IF(AND(AG125&lt;&gt;"",OR(AG125&gt;1,AG125&lt;0)),"Incorrect PDS value (High);",IF(AND(AG125&lt;&gt;"",AG125&gt;0.5),"High PDS value (Medium);",""))&amp;IF(AND(AK125&lt;&gt;"",OR(AK125&gt;5,AK125&lt;1)),"Incorrect DQR value (High);","")&amp;IF(AND(AA125&lt;&gt;"",OR(AA125&gt;1,AA125&lt;0)),"Incorrect scrap rate (High);",IF(AND(AA125&lt;&gt;"",AA125&gt;0.2),"High scrap rate (Medium);",IF(AND($A125&lt;&gt;"",AA125=0),"No scrap rate (No impact);","")))&amp;""</f>
        <v/>
      </c>
      <c r="AP125" s="9" t="n"/>
    </row>
    <row r="126">
      <c r="A126" s="3" t="n"/>
      <c r="B126" s="3" t="n"/>
      <c r="C126" s="3" t="n"/>
      <c r="D126" s="3" t="n"/>
      <c r="E126" s="3" t="n"/>
      <c r="F126" s="3" t="n"/>
      <c r="G126" s="4" t="n"/>
      <c r="H126" s="4" t="n"/>
      <c r="I126" s="3" t="inlineStr">
        <is>
          <t>kg</t>
        </is>
      </c>
      <c r="J126" s="4" t="n"/>
      <c r="K126" s="3" t="inlineStr">
        <is>
          <t>kg</t>
        </is>
      </c>
      <c r="L126" s="3" t="n"/>
      <c r="M126" s="5" t="n"/>
      <c r="N126" s="6" t="n"/>
      <c r="O126" s="3" t="inlineStr">
        <is>
          <t>kgCO2e/product</t>
        </is>
      </c>
      <c r="P126" s="7" t="n"/>
      <c r="Q126" s="4" t="n"/>
      <c r="R126" s="8" t="n"/>
      <c r="S126" s="3" t="inlineStr">
        <is>
          <t>Supplier</t>
        </is>
      </c>
      <c r="T126" s="3" t="inlineStr">
        <is>
          <t>No</t>
        </is>
      </c>
      <c r="U126" s="5" t="n"/>
      <c r="V126" s="3" t="n"/>
      <c r="W126" s="3" t="n"/>
      <c r="X126" s="6" t="n"/>
      <c r="Y126" s="3" t="inlineStr">
        <is>
          <t>kgCO2e/product</t>
        </is>
      </c>
      <c r="Z126" s="3" t="n"/>
      <c r="AA126" s="7" t="n"/>
      <c r="AB126" s="3" t="n"/>
      <c r="AC126" s="3" t="n"/>
      <c r="AD126" s="6" t="n"/>
      <c r="AE126" s="3" t="inlineStr">
        <is>
          <t>kgCO2e/product</t>
        </is>
      </c>
      <c r="AF126" s="3" t="n"/>
      <c r="AG126" s="7" t="n">
        <v>0</v>
      </c>
      <c r="AH126" s="3" t="n"/>
      <c r="AI126" s="3" t="n"/>
      <c r="AJ126" s="3" t="n"/>
      <c r="AK126" s="4">
        <f>IF(COUNT(AH126,AI126,AJ126)=0,"",ROUND(AVERAGE(AH126,AI126,AJ126),3))</f>
        <v/>
      </c>
      <c r="AL126" s="3">
        <f>IF(X126="","",ROUND(X126*IF(H126="",0,H126)*(1+IF(AA126="",0,AA126)),5))</f>
        <v/>
      </c>
      <c r="AM126" s="3" t="inlineStr">
        <is>
          <t>kgCO2e/product</t>
        </is>
      </c>
      <c r="AN126" s="5" t="n"/>
      <c r="AO126" s="9">
        <f>IF(AND($A126&lt;&gt;"",E126=""),"Supplier code empty (High);","")&amp;IF(AND(P126&lt;&gt;"",OR(P126&gt;1,P126&lt;0)),"Incorrect PDS value (High);",IF(AND(P126&lt;&gt;"",P126&gt;0.5),"High PDS value (Medium);",""))&amp;IF(AND(Q126&lt;&gt;"",OR(Q126&gt;5,Q126&lt;1)),"Incorrect DQR value (High);","")&amp;IF(AND(N126&lt;&gt;"",OR(N126&lt;=0,N126&gt;100)),"Unusual PCF value might be wrong (High);","")&amp;IF(AND(AG126&lt;&gt;"",OR(AG126&gt;1,AG126&lt;0)),"Incorrect PDS value (High);",IF(AND(AG126&lt;&gt;"",AG126&gt;0.5),"High PDS value (Medium);",""))&amp;IF(AND(AK126&lt;&gt;"",OR(AK126&gt;5,AK126&lt;1)),"Incorrect DQR value (High);","")&amp;IF(AND(AA126&lt;&gt;"",OR(AA126&gt;1,AA126&lt;0)),"Incorrect scrap rate (High);",IF(AND(AA126&lt;&gt;"",AA126&gt;0.2),"High scrap rate (Medium);",IF(AND($A126&lt;&gt;"",AA126=0),"No scrap rate (No impact);","")))&amp;""</f>
        <v/>
      </c>
      <c r="AP126" s="9" t="n"/>
    </row>
    <row r="127">
      <c r="A127" s="3" t="n"/>
      <c r="B127" s="3" t="n"/>
      <c r="C127" s="3" t="n"/>
      <c r="D127" s="3" t="n"/>
      <c r="E127" s="3" t="n"/>
      <c r="F127" s="3" t="n"/>
      <c r="G127" s="4" t="n"/>
      <c r="H127" s="4" t="n"/>
      <c r="I127" s="3" t="inlineStr">
        <is>
          <t>kg</t>
        </is>
      </c>
      <c r="J127" s="4" t="n"/>
      <c r="K127" s="3" t="inlineStr">
        <is>
          <t>kg</t>
        </is>
      </c>
      <c r="L127" s="3" t="n"/>
      <c r="M127" s="5" t="n"/>
      <c r="N127" s="6" t="n"/>
      <c r="O127" s="3" t="inlineStr">
        <is>
          <t>kgCO2e/product</t>
        </is>
      </c>
      <c r="P127" s="7" t="n"/>
      <c r="Q127" s="4" t="n"/>
      <c r="R127" s="8" t="n"/>
      <c r="S127" s="3" t="inlineStr">
        <is>
          <t>Supplier</t>
        </is>
      </c>
      <c r="T127" s="3" t="inlineStr">
        <is>
          <t>No</t>
        </is>
      </c>
      <c r="U127" s="5" t="n"/>
      <c r="V127" s="3" t="n"/>
      <c r="W127" s="3" t="n"/>
      <c r="X127" s="6" t="n"/>
      <c r="Y127" s="3" t="inlineStr">
        <is>
          <t>kgCO2e/product</t>
        </is>
      </c>
      <c r="Z127" s="3" t="n"/>
      <c r="AA127" s="7" t="n"/>
      <c r="AB127" s="3" t="n"/>
      <c r="AC127" s="3" t="n"/>
      <c r="AD127" s="6" t="n"/>
      <c r="AE127" s="3" t="inlineStr">
        <is>
          <t>kgCO2e/product</t>
        </is>
      </c>
      <c r="AF127" s="3" t="n"/>
      <c r="AG127" s="7" t="n">
        <v>0</v>
      </c>
      <c r="AH127" s="3" t="n"/>
      <c r="AI127" s="3" t="n"/>
      <c r="AJ127" s="3" t="n"/>
      <c r="AK127" s="4">
        <f>IF(COUNT(AH127,AI127,AJ127)=0,"",ROUND(AVERAGE(AH127,AI127,AJ127),3))</f>
        <v/>
      </c>
      <c r="AL127" s="3">
        <f>IF(X127="","",ROUND(X127*IF(H127="",0,H127)*(1+IF(AA127="",0,AA127)),5))</f>
        <v/>
      </c>
      <c r="AM127" s="3" t="inlineStr">
        <is>
          <t>kgCO2e/product</t>
        </is>
      </c>
      <c r="AN127" s="5" t="n"/>
      <c r="AO127" s="9">
        <f>IF(AND($A127&lt;&gt;"",E127=""),"Supplier code empty (High);","")&amp;IF(AND(P127&lt;&gt;"",OR(P127&gt;1,P127&lt;0)),"Incorrect PDS value (High);",IF(AND(P127&lt;&gt;"",P127&gt;0.5),"High PDS value (Medium);",""))&amp;IF(AND(Q127&lt;&gt;"",OR(Q127&gt;5,Q127&lt;1)),"Incorrect DQR value (High);","")&amp;IF(AND(N127&lt;&gt;"",OR(N127&lt;=0,N127&gt;100)),"Unusual PCF value might be wrong (High);","")&amp;IF(AND(AG127&lt;&gt;"",OR(AG127&gt;1,AG127&lt;0)),"Incorrect PDS value (High);",IF(AND(AG127&lt;&gt;"",AG127&gt;0.5),"High PDS value (Medium);",""))&amp;IF(AND(AK127&lt;&gt;"",OR(AK127&gt;5,AK127&lt;1)),"Incorrect DQR value (High);","")&amp;IF(AND(AA127&lt;&gt;"",OR(AA127&gt;1,AA127&lt;0)),"Incorrect scrap rate (High);",IF(AND(AA127&lt;&gt;"",AA127&gt;0.2),"High scrap rate (Medium);",IF(AND($A127&lt;&gt;"",AA127=0),"No scrap rate (No impact);","")))&amp;""</f>
        <v/>
      </c>
      <c r="AP127" s="9" t="n"/>
    </row>
    <row r="128">
      <c r="A128" s="3" t="n"/>
      <c r="B128" s="3" t="n"/>
      <c r="C128" s="3" t="n"/>
      <c r="D128" s="3" t="n"/>
      <c r="E128" s="3" t="n"/>
      <c r="F128" s="3" t="n"/>
      <c r="G128" s="4" t="n"/>
      <c r="H128" s="4" t="n"/>
      <c r="I128" s="3" t="inlineStr">
        <is>
          <t>kg</t>
        </is>
      </c>
      <c r="J128" s="4" t="n"/>
      <c r="K128" s="3" t="inlineStr">
        <is>
          <t>kg</t>
        </is>
      </c>
      <c r="L128" s="3" t="n"/>
      <c r="M128" s="5" t="n"/>
      <c r="N128" s="6" t="n"/>
      <c r="O128" s="3" t="inlineStr">
        <is>
          <t>kgCO2e/product</t>
        </is>
      </c>
      <c r="P128" s="7" t="n"/>
      <c r="Q128" s="4" t="n"/>
      <c r="R128" s="8" t="n"/>
      <c r="S128" s="3" t="inlineStr">
        <is>
          <t>Supplier</t>
        </is>
      </c>
      <c r="T128" s="3" t="inlineStr">
        <is>
          <t>No</t>
        </is>
      </c>
      <c r="U128" s="5" t="n"/>
      <c r="V128" s="3" t="n"/>
      <c r="W128" s="3" t="n"/>
      <c r="X128" s="6" t="n"/>
      <c r="Y128" s="3" t="inlineStr">
        <is>
          <t>kgCO2e/product</t>
        </is>
      </c>
      <c r="Z128" s="3" t="n"/>
      <c r="AA128" s="7" t="n"/>
      <c r="AB128" s="3" t="n"/>
      <c r="AC128" s="3" t="n"/>
      <c r="AD128" s="6" t="n"/>
      <c r="AE128" s="3" t="inlineStr">
        <is>
          <t>kgCO2e/product</t>
        </is>
      </c>
      <c r="AF128" s="3" t="n"/>
      <c r="AG128" s="7" t="n">
        <v>0</v>
      </c>
      <c r="AH128" s="3" t="n"/>
      <c r="AI128" s="3" t="n"/>
      <c r="AJ128" s="3" t="n"/>
      <c r="AK128" s="4">
        <f>IF(COUNT(AH128,AI128,AJ128)=0,"",ROUND(AVERAGE(AH128,AI128,AJ128),3))</f>
        <v/>
      </c>
      <c r="AL128" s="3">
        <f>IF(X128="","",ROUND(X128*IF(H128="",0,H128)*(1+IF(AA128="",0,AA128)),5))</f>
        <v/>
      </c>
      <c r="AM128" s="3" t="inlineStr">
        <is>
          <t>kgCO2e/product</t>
        </is>
      </c>
      <c r="AN128" s="5" t="n"/>
      <c r="AO128" s="9">
        <f>IF(AND($A128&lt;&gt;"",E128=""),"Supplier code empty (High);","")&amp;IF(AND(P128&lt;&gt;"",OR(P128&gt;1,P128&lt;0)),"Incorrect PDS value (High);",IF(AND(P128&lt;&gt;"",P128&gt;0.5),"High PDS value (Medium);",""))&amp;IF(AND(Q128&lt;&gt;"",OR(Q128&gt;5,Q128&lt;1)),"Incorrect DQR value (High);","")&amp;IF(AND(N128&lt;&gt;"",OR(N128&lt;=0,N128&gt;100)),"Unusual PCF value might be wrong (High);","")&amp;IF(AND(AG128&lt;&gt;"",OR(AG128&gt;1,AG128&lt;0)),"Incorrect PDS value (High);",IF(AND(AG128&lt;&gt;"",AG128&gt;0.5),"High PDS value (Medium);",""))&amp;IF(AND(AK128&lt;&gt;"",OR(AK128&gt;5,AK128&lt;1)),"Incorrect DQR value (High);","")&amp;IF(AND(AA128&lt;&gt;"",OR(AA128&gt;1,AA128&lt;0)),"Incorrect scrap rate (High);",IF(AND(AA128&lt;&gt;"",AA128&gt;0.2),"High scrap rate (Medium);",IF(AND($A128&lt;&gt;"",AA128=0),"No scrap rate (No impact);","")))&amp;""</f>
        <v/>
      </c>
      <c r="AP128" s="9" t="n"/>
    </row>
    <row r="129">
      <c r="A129" s="3" t="n"/>
      <c r="B129" s="3" t="n"/>
      <c r="C129" s="3" t="n"/>
      <c r="D129" s="3" t="n"/>
      <c r="E129" s="3" t="n"/>
      <c r="F129" s="3" t="n"/>
      <c r="G129" s="4" t="n"/>
      <c r="H129" s="4" t="n"/>
      <c r="I129" s="3" t="inlineStr">
        <is>
          <t>kg</t>
        </is>
      </c>
      <c r="J129" s="4" t="n"/>
      <c r="K129" s="3" t="inlineStr">
        <is>
          <t>kg</t>
        </is>
      </c>
      <c r="L129" s="3" t="n"/>
      <c r="M129" s="5" t="n"/>
      <c r="N129" s="6" t="n"/>
      <c r="O129" s="3" t="inlineStr">
        <is>
          <t>kgCO2e/product</t>
        </is>
      </c>
      <c r="P129" s="7" t="n"/>
      <c r="Q129" s="4" t="n"/>
      <c r="R129" s="8" t="n"/>
      <c r="S129" s="3" t="inlineStr">
        <is>
          <t>Supplier</t>
        </is>
      </c>
      <c r="T129" s="3" t="inlineStr">
        <is>
          <t>No</t>
        </is>
      </c>
      <c r="U129" s="5" t="n"/>
      <c r="V129" s="3" t="n"/>
      <c r="W129" s="3" t="n"/>
      <c r="X129" s="6" t="n"/>
      <c r="Y129" s="3" t="inlineStr">
        <is>
          <t>kgCO2e/product</t>
        </is>
      </c>
      <c r="Z129" s="3" t="n"/>
      <c r="AA129" s="7" t="n"/>
      <c r="AB129" s="3" t="n"/>
      <c r="AC129" s="3" t="n"/>
      <c r="AD129" s="6" t="n"/>
      <c r="AE129" s="3" t="inlineStr">
        <is>
          <t>kgCO2e/product</t>
        </is>
      </c>
      <c r="AF129" s="3" t="n"/>
      <c r="AG129" s="7" t="n">
        <v>0</v>
      </c>
      <c r="AH129" s="3" t="n"/>
      <c r="AI129" s="3" t="n"/>
      <c r="AJ129" s="3" t="n"/>
      <c r="AK129" s="4">
        <f>IF(COUNT(AH129,AI129,AJ129)=0,"",ROUND(AVERAGE(AH129,AI129,AJ129),3))</f>
        <v/>
      </c>
      <c r="AL129" s="3">
        <f>IF(X129="","",ROUND(X129*IF(H129="",0,H129)*(1+IF(AA129="",0,AA129)),5))</f>
        <v/>
      </c>
      <c r="AM129" s="3" t="inlineStr">
        <is>
          <t>kgCO2e/product</t>
        </is>
      </c>
      <c r="AN129" s="5" t="n"/>
      <c r="AO129" s="9">
        <f>IF(AND($A129&lt;&gt;"",E129=""),"Supplier code empty (High);","")&amp;IF(AND(P129&lt;&gt;"",OR(P129&gt;1,P129&lt;0)),"Incorrect PDS value (High);",IF(AND(P129&lt;&gt;"",P129&gt;0.5),"High PDS value (Medium);",""))&amp;IF(AND(Q129&lt;&gt;"",OR(Q129&gt;5,Q129&lt;1)),"Incorrect DQR value (High);","")&amp;IF(AND(N129&lt;&gt;"",OR(N129&lt;=0,N129&gt;100)),"Unusual PCF value might be wrong (High);","")&amp;IF(AND(AG129&lt;&gt;"",OR(AG129&gt;1,AG129&lt;0)),"Incorrect PDS value (High);",IF(AND(AG129&lt;&gt;"",AG129&gt;0.5),"High PDS value (Medium);",""))&amp;IF(AND(AK129&lt;&gt;"",OR(AK129&gt;5,AK129&lt;1)),"Incorrect DQR value (High);","")&amp;IF(AND(AA129&lt;&gt;"",OR(AA129&gt;1,AA129&lt;0)),"Incorrect scrap rate (High);",IF(AND(AA129&lt;&gt;"",AA129&gt;0.2),"High scrap rate (Medium);",IF(AND($A129&lt;&gt;"",AA129=0),"No scrap rate (No impact);","")))&amp;""</f>
        <v/>
      </c>
      <c r="AP129" s="9" t="n"/>
    </row>
    <row r="130">
      <c r="A130" s="3" t="n"/>
      <c r="B130" s="3" t="n"/>
      <c r="C130" s="3" t="n"/>
      <c r="D130" s="3" t="n"/>
      <c r="E130" s="3" t="n"/>
      <c r="F130" s="3" t="n"/>
      <c r="G130" s="4" t="n"/>
      <c r="H130" s="4" t="n"/>
      <c r="I130" s="3" t="inlineStr">
        <is>
          <t>kg</t>
        </is>
      </c>
      <c r="J130" s="4" t="n"/>
      <c r="K130" s="3" t="inlineStr">
        <is>
          <t>kg</t>
        </is>
      </c>
      <c r="L130" s="3" t="n"/>
      <c r="M130" s="5" t="n"/>
      <c r="N130" s="6" t="n"/>
      <c r="O130" s="3" t="inlineStr">
        <is>
          <t>kgCO2e/product</t>
        </is>
      </c>
      <c r="P130" s="7" t="n"/>
      <c r="Q130" s="4" t="n"/>
      <c r="R130" s="8" t="n"/>
      <c r="S130" s="3" t="inlineStr">
        <is>
          <t>Supplier</t>
        </is>
      </c>
      <c r="T130" s="3" t="inlineStr">
        <is>
          <t>No</t>
        </is>
      </c>
      <c r="U130" s="5" t="n"/>
      <c r="V130" s="3" t="n"/>
      <c r="W130" s="3" t="n"/>
      <c r="X130" s="6" t="n"/>
      <c r="Y130" s="3" t="inlineStr">
        <is>
          <t>kgCO2e/product</t>
        </is>
      </c>
      <c r="Z130" s="3" t="n"/>
      <c r="AA130" s="7" t="n"/>
      <c r="AB130" s="3" t="n"/>
      <c r="AC130" s="3" t="n"/>
      <c r="AD130" s="6" t="n"/>
      <c r="AE130" s="3" t="inlineStr">
        <is>
          <t>kgCO2e/product</t>
        </is>
      </c>
      <c r="AF130" s="3" t="n"/>
      <c r="AG130" s="7" t="n">
        <v>0</v>
      </c>
      <c r="AH130" s="3" t="n"/>
      <c r="AI130" s="3" t="n"/>
      <c r="AJ130" s="3" t="n"/>
      <c r="AK130" s="4">
        <f>IF(COUNT(AH130,AI130,AJ130)=0,"",ROUND(AVERAGE(AH130,AI130,AJ130),3))</f>
        <v/>
      </c>
      <c r="AL130" s="3">
        <f>IF(X130="","",ROUND(X130*IF(H130="",0,H130)*(1+IF(AA130="",0,AA130)),5))</f>
        <v/>
      </c>
      <c r="AM130" s="3" t="inlineStr">
        <is>
          <t>kgCO2e/product</t>
        </is>
      </c>
      <c r="AN130" s="5" t="n"/>
      <c r="AO130" s="9">
        <f>IF(AND($A130&lt;&gt;"",E130=""),"Supplier code empty (High);","")&amp;IF(AND(P130&lt;&gt;"",OR(P130&gt;1,P130&lt;0)),"Incorrect PDS value (High);",IF(AND(P130&lt;&gt;"",P130&gt;0.5),"High PDS value (Medium);",""))&amp;IF(AND(Q130&lt;&gt;"",OR(Q130&gt;5,Q130&lt;1)),"Incorrect DQR value (High);","")&amp;IF(AND(N130&lt;&gt;"",OR(N130&lt;=0,N130&gt;100)),"Unusual PCF value might be wrong (High);","")&amp;IF(AND(AG130&lt;&gt;"",OR(AG130&gt;1,AG130&lt;0)),"Incorrect PDS value (High);",IF(AND(AG130&lt;&gt;"",AG130&gt;0.5),"High PDS value (Medium);",""))&amp;IF(AND(AK130&lt;&gt;"",OR(AK130&gt;5,AK130&lt;1)),"Incorrect DQR value (High);","")&amp;IF(AND(AA130&lt;&gt;"",OR(AA130&gt;1,AA130&lt;0)),"Incorrect scrap rate (High);",IF(AND(AA130&lt;&gt;"",AA130&gt;0.2),"High scrap rate (Medium);",IF(AND($A130&lt;&gt;"",AA130=0),"No scrap rate (No impact);","")))&amp;""</f>
        <v/>
      </c>
      <c r="AP130" s="9" t="n"/>
    </row>
    <row r="131">
      <c r="A131" s="3" t="n"/>
      <c r="B131" s="3" t="n"/>
      <c r="C131" s="3" t="n"/>
      <c r="D131" s="3" t="n"/>
      <c r="E131" s="3" t="n"/>
      <c r="F131" s="3" t="n"/>
      <c r="G131" s="4" t="n"/>
      <c r="H131" s="4" t="n"/>
      <c r="I131" s="3" t="inlineStr">
        <is>
          <t>kg</t>
        </is>
      </c>
      <c r="J131" s="4" t="n"/>
      <c r="K131" s="3" t="inlineStr">
        <is>
          <t>kg</t>
        </is>
      </c>
      <c r="L131" s="3" t="n"/>
      <c r="M131" s="5" t="n"/>
      <c r="N131" s="6" t="n"/>
      <c r="O131" s="3" t="inlineStr">
        <is>
          <t>kgCO2e/product</t>
        </is>
      </c>
      <c r="P131" s="7" t="n"/>
      <c r="Q131" s="4" t="n"/>
      <c r="R131" s="8" t="n"/>
      <c r="S131" s="3" t="inlineStr">
        <is>
          <t>Supplier</t>
        </is>
      </c>
      <c r="T131" s="3" t="inlineStr">
        <is>
          <t>No</t>
        </is>
      </c>
      <c r="U131" s="5" t="n"/>
      <c r="V131" s="3" t="n"/>
      <c r="W131" s="3" t="n"/>
      <c r="X131" s="6" t="n"/>
      <c r="Y131" s="3" t="inlineStr">
        <is>
          <t>kgCO2e/product</t>
        </is>
      </c>
      <c r="Z131" s="3" t="n"/>
      <c r="AA131" s="7" t="n"/>
      <c r="AB131" s="3" t="n"/>
      <c r="AC131" s="3" t="n"/>
      <c r="AD131" s="6" t="n"/>
      <c r="AE131" s="3" t="inlineStr">
        <is>
          <t>kgCO2e/product</t>
        </is>
      </c>
      <c r="AF131" s="3" t="n"/>
      <c r="AG131" s="7" t="n">
        <v>0</v>
      </c>
      <c r="AH131" s="3" t="n"/>
      <c r="AI131" s="3" t="n"/>
      <c r="AJ131" s="3" t="n"/>
      <c r="AK131" s="4">
        <f>IF(COUNT(AH131,AI131,AJ131)=0,"",ROUND(AVERAGE(AH131,AI131,AJ131),3))</f>
        <v/>
      </c>
      <c r="AL131" s="3">
        <f>IF(X131="","",ROUND(X131*IF(H131="",0,H131)*(1+IF(AA131="",0,AA131)),5))</f>
        <v/>
      </c>
      <c r="AM131" s="3" t="inlineStr">
        <is>
          <t>kgCO2e/product</t>
        </is>
      </c>
      <c r="AN131" s="5" t="n"/>
      <c r="AO131" s="9">
        <f>IF(AND($A131&lt;&gt;"",E131=""),"Supplier code empty (High);","")&amp;IF(AND(P131&lt;&gt;"",OR(P131&gt;1,P131&lt;0)),"Incorrect PDS value (High);",IF(AND(P131&lt;&gt;"",P131&gt;0.5),"High PDS value (Medium);",""))&amp;IF(AND(Q131&lt;&gt;"",OR(Q131&gt;5,Q131&lt;1)),"Incorrect DQR value (High);","")&amp;IF(AND(N131&lt;&gt;"",OR(N131&lt;=0,N131&gt;100)),"Unusual PCF value might be wrong (High);","")&amp;IF(AND(AG131&lt;&gt;"",OR(AG131&gt;1,AG131&lt;0)),"Incorrect PDS value (High);",IF(AND(AG131&lt;&gt;"",AG131&gt;0.5),"High PDS value (Medium);",""))&amp;IF(AND(AK131&lt;&gt;"",OR(AK131&gt;5,AK131&lt;1)),"Incorrect DQR value (High);","")&amp;IF(AND(AA131&lt;&gt;"",OR(AA131&gt;1,AA131&lt;0)),"Incorrect scrap rate (High);",IF(AND(AA131&lt;&gt;"",AA131&gt;0.2),"High scrap rate (Medium);",IF(AND($A131&lt;&gt;"",AA131=0),"No scrap rate (No impact);","")))&amp;""</f>
        <v/>
      </c>
      <c r="AP131" s="9" t="n"/>
    </row>
    <row r="132">
      <c r="A132" s="3" t="n"/>
      <c r="B132" s="3" t="n"/>
      <c r="C132" s="3" t="n"/>
      <c r="D132" s="3" t="n"/>
      <c r="E132" s="3" t="n"/>
      <c r="F132" s="3" t="n"/>
      <c r="G132" s="4" t="n"/>
      <c r="H132" s="4" t="n"/>
      <c r="I132" s="3" t="inlineStr">
        <is>
          <t>kg</t>
        </is>
      </c>
      <c r="J132" s="4" t="n"/>
      <c r="K132" s="3" t="inlineStr">
        <is>
          <t>kg</t>
        </is>
      </c>
      <c r="L132" s="3" t="n"/>
      <c r="M132" s="5" t="n"/>
      <c r="N132" s="6" t="n"/>
      <c r="O132" s="3" t="inlineStr">
        <is>
          <t>kgCO2e/product</t>
        </is>
      </c>
      <c r="P132" s="7" t="n"/>
      <c r="Q132" s="4" t="n"/>
      <c r="R132" s="8" t="n"/>
      <c r="S132" s="3" t="inlineStr">
        <is>
          <t>Supplier</t>
        </is>
      </c>
      <c r="T132" s="3" t="inlineStr">
        <is>
          <t>No</t>
        </is>
      </c>
      <c r="U132" s="5" t="n"/>
      <c r="V132" s="3" t="n"/>
      <c r="W132" s="3" t="n"/>
      <c r="X132" s="6" t="n"/>
      <c r="Y132" s="3" t="inlineStr">
        <is>
          <t>kgCO2e/product</t>
        </is>
      </c>
      <c r="Z132" s="3" t="n"/>
      <c r="AA132" s="7" t="n"/>
      <c r="AB132" s="3" t="n"/>
      <c r="AC132" s="3" t="n"/>
      <c r="AD132" s="6" t="n"/>
      <c r="AE132" s="3" t="inlineStr">
        <is>
          <t>kgCO2e/product</t>
        </is>
      </c>
      <c r="AF132" s="3" t="n"/>
      <c r="AG132" s="7" t="n">
        <v>0</v>
      </c>
      <c r="AH132" s="3" t="n"/>
      <c r="AI132" s="3" t="n"/>
      <c r="AJ132" s="3" t="n"/>
      <c r="AK132" s="4">
        <f>IF(COUNT(AH132,AI132,AJ132)=0,"",ROUND(AVERAGE(AH132,AI132,AJ132),3))</f>
        <v/>
      </c>
      <c r="AL132" s="3">
        <f>IF(X132="","",ROUND(X132*IF(H132="",0,H132)*(1+IF(AA132="",0,AA132)),5))</f>
        <v/>
      </c>
      <c r="AM132" s="3" t="inlineStr">
        <is>
          <t>kgCO2e/product</t>
        </is>
      </c>
      <c r="AN132" s="5" t="n"/>
      <c r="AO132" s="9">
        <f>IF(AND($A132&lt;&gt;"",E132=""),"Supplier code empty (High);","")&amp;IF(AND(P132&lt;&gt;"",OR(P132&gt;1,P132&lt;0)),"Incorrect PDS value (High);",IF(AND(P132&lt;&gt;"",P132&gt;0.5),"High PDS value (Medium);",""))&amp;IF(AND(Q132&lt;&gt;"",OR(Q132&gt;5,Q132&lt;1)),"Incorrect DQR value (High);","")&amp;IF(AND(N132&lt;&gt;"",OR(N132&lt;=0,N132&gt;100)),"Unusual PCF value might be wrong (High);","")&amp;IF(AND(AG132&lt;&gt;"",OR(AG132&gt;1,AG132&lt;0)),"Incorrect PDS value (High);",IF(AND(AG132&lt;&gt;"",AG132&gt;0.5),"High PDS value (Medium);",""))&amp;IF(AND(AK132&lt;&gt;"",OR(AK132&gt;5,AK132&lt;1)),"Incorrect DQR value (High);","")&amp;IF(AND(AA132&lt;&gt;"",OR(AA132&gt;1,AA132&lt;0)),"Incorrect scrap rate (High);",IF(AND(AA132&lt;&gt;"",AA132&gt;0.2),"High scrap rate (Medium);",IF(AND($A132&lt;&gt;"",AA132=0),"No scrap rate (No impact);","")))&amp;""</f>
        <v/>
      </c>
      <c r="AP132" s="9" t="n"/>
    </row>
    <row r="133">
      <c r="A133" s="3" t="n"/>
      <c r="B133" s="3" t="n"/>
      <c r="C133" s="3" t="n"/>
      <c r="D133" s="3" t="n"/>
      <c r="E133" s="3" t="n"/>
      <c r="F133" s="3" t="n"/>
      <c r="G133" s="4" t="n"/>
      <c r="H133" s="4" t="n"/>
      <c r="I133" s="3" t="inlineStr">
        <is>
          <t>kg</t>
        </is>
      </c>
      <c r="J133" s="4" t="n"/>
      <c r="K133" s="3" t="inlineStr">
        <is>
          <t>kg</t>
        </is>
      </c>
      <c r="L133" s="3" t="n"/>
      <c r="M133" s="5" t="n"/>
      <c r="N133" s="6" t="n"/>
      <c r="O133" s="3" t="inlineStr">
        <is>
          <t>kgCO2e/product</t>
        </is>
      </c>
      <c r="P133" s="7" t="n"/>
      <c r="Q133" s="4" t="n"/>
      <c r="R133" s="8" t="n"/>
      <c r="S133" s="3" t="inlineStr">
        <is>
          <t>Supplier</t>
        </is>
      </c>
      <c r="T133" s="3" t="inlineStr">
        <is>
          <t>No</t>
        </is>
      </c>
      <c r="U133" s="5" t="n"/>
      <c r="V133" s="3" t="n"/>
      <c r="W133" s="3" t="n"/>
      <c r="X133" s="6" t="n"/>
      <c r="Y133" s="3" t="inlineStr">
        <is>
          <t>kgCO2e/product</t>
        </is>
      </c>
      <c r="Z133" s="3" t="n"/>
      <c r="AA133" s="7" t="n"/>
      <c r="AB133" s="3" t="n"/>
      <c r="AC133" s="3" t="n"/>
      <c r="AD133" s="6" t="n"/>
      <c r="AE133" s="3" t="inlineStr">
        <is>
          <t>kgCO2e/product</t>
        </is>
      </c>
      <c r="AF133" s="3" t="n"/>
      <c r="AG133" s="7" t="n">
        <v>0</v>
      </c>
      <c r="AH133" s="3" t="n"/>
      <c r="AI133" s="3" t="n"/>
      <c r="AJ133" s="3" t="n"/>
      <c r="AK133" s="4">
        <f>IF(COUNT(AH133,AI133,AJ133)=0,"",ROUND(AVERAGE(AH133,AI133,AJ133),3))</f>
        <v/>
      </c>
      <c r="AL133" s="3">
        <f>IF(X133="","",ROUND(X133*IF(H133="",0,H133)*(1+IF(AA133="",0,AA133)),5))</f>
        <v/>
      </c>
      <c r="AM133" s="3" t="inlineStr">
        <is>
          <t>kgCO2e/product</t>
        </is>
      </c>
      <c r="AN133" s="5" t="n"/>
      <c r="AO133" s="9">
        <f>IF(AND($A133&lt;&gt;"",E133=""),"Supplier code empty (High);","")&amp;IF(AND(P133&lt;&gt;"",OR(P133&gt;1,P133&lt;0)),"Incorrect PDS value (High);",IF(AND(P133&lt;&gt;"",P133&gt;0.5),"High PDS value (Medium);",""))&amp;IF(AND(Q133&lt;&gt;"",OR(Q133&gt;5,Q133&lt;1)),"Incorrect DQR value (High);","")&amp;IF(AND(N133&lt;&gt;"",OR(N133&lt;=0,N133&gt;100)),"Unusual PCF value might be wrong (High);","")&amp;IF(AND(AG133&lt;&gt;"",OR(AG133&gt;1,AG133&lt;0)),"Incorrect PDS value (High);",IF(AND(AG133&lt;&gt;"",AG133&gt;0.5),"High PDS value (Medium);",""))&amp;IF(AND(AK133&lt;&gt;"",OR(AK133&gt;5,AK133&lt;1)),"Incorrect DQR value (High);","")&amp;IF(AND(AA133&lt;&gt;"",OR(AA133&gt;1,AA133&lt;0)),"Incorrect scrap rate (High);",IF(AND(AA133&lt;&gt;"",AA133&gt;0.2),"High scrap rate (Medium);",IF(AND($A133&lt;&gt;"",AA133=0),"No scrap rate (No impact);","")))&amp;""</f>
        <v/>
      </c>
      <c r="AP133" s="9" t="n"/>
    </row>
    <row r="134">
      <c r="A134" s="3" t="n"/>
      <c r="B134" s="3" t="n"/>
      <c r="C134" s="3" t="n"/>
      <c r="D134" s="3" t="n"/>
      <c r="E134" s="3" t="n"/>
      <c r="F134" s="3" t="n"/>
      <c r="G134" s="4" t="n"/>
      <c r="H134" s="4" t="n"/>
      <c r="I134" s="3" t="inlineStr">
        <is>
          <t>kg</t>
        </is>
      </c>
      <c r="J134" s="4" t="n"/>
      <c r="K134" s="3" t="inlineStr">
        <is>
          <t>kg</t>
        </is>
      </c>
      <c r="L134" s="3" t="n"/>
      <c r="M134" s="5" t="n"/>
      <c r="N134" s="6" t="n"/>
      <c r="O134" s="3" t="inlineStr">
        <is>
          <t>kgCO2e/product</t>
        </is>
      </c>
      <c r="P134" s="7" t="n"/>
      <c r="Q134" s="4" t="n"/>
      <c r="R134" s="8" t="n"/>
      <c r="S134" s="3" t="inlineStr">
        <is>
          <t>Supplier</t>
        </is>
      </c>
      <c r="T134" s="3" t="inlineStr">
        <is>
          <t>No</t>
        </is>
      </c>
      <c r="U134" s="5" t="n"/>
      <c r="V134" s="3" t="n"/>
      <c r="W134" s="3" t="n"/>
      <c r="X134" s="6" t="n"/>
      <c r="Y134" s="3" t="inlineStr">
        <is>
          <t>kgCO2e/product</t>
        </is>
      </c>
      <c r="Z134" s="3" t="n"/>
      <c r="AA134" s="7" t="n"/>
      <c r="AB134" s="3" t="n"/>
      <c r="AC134" s="3" t="n"/>
      <c r="AD134" s="6" t="n"/>
      <c r="AE134" s="3" t="inlineStr">
        <is>
          <t>kgCO2e/product</t>
        </is>
      </c>
      <c r="AF134" s="3" t="n"/>
      <c r="AG134" s="7" t="n">
        <v>0</v>
      </c>
      <c r="AH134" s="3" t="n"/>
      <c r="AI134" s="3" t="n"/>
      <c r="AJ134" s="3" t="n"/>
      <c r="AK134" s="4">
        <f>IF(COUNT(AH134,AI134,AJ134)=0,"",ROUND(AVERAGE(AH134,AI134,AJ134),3))</f>
        <v/>
      </c>
      <c r="AL134" s="3">
        <f>IF(X134="","",ROUND(X134*IF(H134="",0,H134)*(1+IF(AA134="",0,AA134)),5))</f>
        <v/>
      </c>
      <c r="AM134" s="3" t="inlineStr">
        <is>
          <t>kgCO2e/product</t>
        </is>
      </c>
      <c r="AN134" s="5" t="n"/>
      <c r="AO134" s="9">
        <f>IF(AND($A134&lt;&gt;"",E134=""),"Supplier code empty (High);","")&amp;IF(AND(P134&lt;&gt;"",OR(P134&gt;1,P134&lt;0)),"Incorrect PDS value (High);",IF(AND(P134&lt;&gt;"",P134&gt;0.5),"High PDS value (Medium);",""))&amp;IF(AND(Q134&lt;&gt;"",OR(Q134&gt;5,Q134&lt;1)),"Incorrect DQR value (High);","")&amp;IF(AND(N134&lt;&gt;"",OR(N134&lt;=0,N134&gt;100)),"Unusual PCF value might be wrong (High);","")&amp;IF(AND(AG134&lt;&gt;"",OR(AG134&gt;1,AG134&lt;0)),"Incorrect PDS value (High);",IF(AND(AG134&lt;&gt;"",AG134&gt;0.5),"High PDS value (Medium);",""))&amp;IF(AND(AK134&lt;&gt;"",OR(AK134&gt;5,AK134&lt;1)),"Incorrect DQR value (High);","")&amp;IF(AND(AA134&lt;&gt;"",OR(AA134&gt;1,AA134&lt;0)),"Incorrect scrap rate (High);",IF(AND(AA134&lt;&gt;"",AA134&gt;0.2),"High scrap rate (Medium);",IF(AND($A134&lt;&gt;"",AA134=0),"No scrap rate (No impact);","")))&amp;""</f>
        <v/>
      </c>
      <c r="AP134" s="9" t="n"/>
    </row>
    <row r="135">
      <c r="A135" s="3" t="n"/>
      <c r="B135" s="3" t="n"/>
      <c r="C135" s="3" t="n"/>
      <c r="D135" s="3" t="n"/>
      <c r="E135" s="3" t="n"/>
      <c r="F135" s="3" t="n"/>
      <c r="G135" s="4" t="n"/>
      <c r="H135" s="4" t="n"/>
      <c r="I135" s="3" t="inlineStr">
        <is>
          <t>kg</t>
        </is>
      </c>
      <c r="J135" s="4" t="n"/>
      <c r="K135" s="3" t="inlineStr">
        <is>
          <t>kg</t>
        </is>
      </c>
      <c r="L135" s="3" t="n"/>
      <c r="M135" s="5" t="n"/>
      <c r="N135" s="6" t="n"/>
      <c r="O135" s="3" t="inlineStr">
        <is>
          <t>kgCO2e/product</t>
        </is>
      </c>
      <c r="P135" s="7" t="n"/>
      <c r="Q135" s="4" t="n"/>
      <c r="R135" s="8" t="n"/>
      <c r="S135" s="3" t="inlineStr">
        <is>
          <t>Supplier</t>
        </is>
      </c>
      <c r="T135" s="3" t="inlineStr">
        <is>
          <t>No</t>
        </is>
      </c>
      <c r="U135" s="5" t="n"/>
      <c r="V135" s="3" t="n"/>
      <c r="W135" s="3" t="n"/>
      <c r="X135" s="6" t="n"/>
      <c r="Y135" s="3" t="inlineStr">
        <is>
          <t>kgCO2e/product</t>
        </is>
      </c>
      <c r="Z135" s="3" t="n"/>
      <c r="AA135" s="7" t="n"/>
      <c r="AB135" s="3" t="n"/>
      <c r="AC135" s="3" t="n"/>
      <c r="AD135" s="6" t="n"/>
      <c r="AE135" s="3" t="inlineStr">
        <is>
          <t>kgCO2e/product</t>
        </is>
      </c>
      <c r="AF135" s="3" t="n"/>
      <c r="AG135" s="7" t="n">
        <v>0</v>
      </c>
      <c r="AH135" s="3" t="n"/>
      <c r="AI135" s="3" t="n"/>
      <c r="AJ135" s="3" t="n"/>
      <c r="AK135" s="4">
        <f>IF(COUNT(AH135,AI135,AJ135)=0,"",ROUND(AVERAGE(AH135,AI135,AJ135),3))</f>
        <v/>
      </c>
      <c r="AL135" s="3">
        <f>IF(X135="","",ROUND(X135*IF(H135="",0,H135)*(1+IF(AA135="",0,AA135)),5))</f>
        <v/>
      </c>
      <c r="AM135" s="3" t="inlineStr">
        <is>
          <t>kgCO2e/product</t>
        </is>
      </c>
      <c r="AN135" s="5" t="n"/>
      <c r="AO135" s="9">
        <f>IF(AND($A135&lt;&gt;"",E135=""),"Supplier code empty (High);","")&amp;IF(AND(P135&lt;&gt;"",OR(P135&gt;1,P135&lt;0)),"Incorrect PDS value (High);",IF(AND(P135&lt;&gt;"",P135&gt;0.5),"High PDS value (Medium);",""))&amp;IF(AND(Q135&lt;&gt;"",OR(Q135&gt;5,Q135&lt;1)),"Incorrect DQR value (High);","")&amp;IF(AND(N135&lt;&gt;"",OR(N135&lt;=0,N135&gt;100)),"Unusual PCF value might be wrong (High);","")&amp;IF(AND(AG135&lt;&gt;"",OR(AG135&gt;1,AG135&lt;0)),"Incorrect PDS value (High);",IF(AND(AG135&lt;&gt;"",AG135&gt;0.5),"High PDS value (Medium);",""))&amp;IF(AND(AK135&lt;&gt;"",OR(AK135&gt;5,AK135&lt;1)),"Incorrect DQR value (High);","")&amp;IF(AND(AA135&lt;&gt;"",OR(AA135&gt;1,AA135&lt;0)),"Incorrect scrap rate (High);",IF(AND(AA135&lt;&gt;"",AA135&gt;0.2),"High scrap rate (Medium);",IF(AND($A135&lt;&gt;"",AA135=0),"No scrap rate (No impact);","")))&amp;""</f>
        <v/>
      </c>
      <c r="AP135" s="9" t="n"/>
    </row>
    <row r="136">
      <c r="A136" s="3" t="n"/>
      <c r="B136" s="3" t="n"/>
      <c r="C136" s="3" t="n"/>
      <c r="D136" s="3" t="n"/>
      <c r="E136" s="3" t="n"/>
      <c r="F136" s="3" t="n"/>
      <c r="G136" s="4" t="n"/>
      <c r="H136" s="4" t="n"/>
      <c r="I136" s="3" t="inlineStr">
        <is>
          <t>kg</t>
        </is>
      </c>
      <c r="J136" s="4" t="n"/>
      <c r="K136" s="3" t="inlineStr">
        <is>
          <t>kg</t>
        </is>
      </c>
      <c r="L136" s="3" t="n"/>
      <c r="M136" s="5" t="n"/>
      <c r="N136" s="6" t="n"/>
      <c r="O136" s="3" t="inlineStr">
        <is>
          <t>kgCO2e/product</t>
        </is>
      </c>
      <c r="P136" s="7" t="n"/>
      <c r="Q136" s="4" t="n"/>
      <c r="R136" s="8" t="n"/>
      <c r="S136" s="3" t="inlineStr">
        <is>
          <t>Supplier</t>
        </is>
      </c>
      <c r="T136" s="3" t="inlineStr">
        <is>
          <t>No</t>
        </is>
      </c>
      <c r="U136" s="5" t="n"/>
      <c r="V136" s="3" t="n"/>
      <c r="W136" s="3" t="n"/>
      <c r="X136" s="6" t="n"/>
      <c r="Y136" s="3" t="inlineStr">
        <is>
          <t>kgCO2e/product</t>
        </is>
      </c>
      <c r="Z136" s="3" t="n"/>
      <c r="AA136" s="7" t="n"/>
      <c r="AB136" s="3" t="n"/>
      <c r="AC136" s="3" t="n"/>
      <c r="AD136" s="6" t="n"/>
      <c r="AE136" s="3" t="inlineStr">
        <is>
          <t>kgCO2e/product</t>
        </is>
      </c>
      <c r="AF136" s="3" t="n"/>
      <c r="AG136" s="7" t="n">
        <v>0</v>
      </c>
      <c r="AH136" s="3" t="n"/>
      <c r="AI136" s="3" t="n"/>
      <c r="AJ136" s="3" t="n"/>
      <c r="AK136" s="4">
        <f>IF(COUNT(AH136,AI136,AJ136)=0,"",ROUND(AVERAGE(AH136,AI136,AJ136),3))</f>
        <v/>
      </c>
      <c r="AL136" s="3">
        <f>IF(X136="","",ROUND(X136*IF(H136="",0,H136)*(1+IF(AA136="",0,AA136)),5))</f>
        <v/>
      </c>
      <c r="AM136" s="3" t="inlineStr">
        <is>
          <t>kgCO2e/product</t>
        </is>
      </c>
      <c r="AN136" s="5" t="n"/>
      <c r="AO136" s="9">
        <f>IF(AND($A136&lt;&gt;"",E136=""),"Supplier code empty (High);","")&amp;IF(AND(P136&lt;&gt;"",OR(P136&gt;1,P136&lt;0)),"Incorrect PDS value (High);",IF(AND(P136&lt;&gt;"",P136&gt;0.5),"High PDS value (Medium);",""))&amp;IF(AND(Q136&lt;&gt;"",OR(Q136&gt;5,Q136&lt;1)),"Incorrect DQR value (High);","")&amp;IF(AND(N136&lt;&gt;"",OR(N136&lt;=0,N136&gt;100)),"Unusual PCF value might be wrong (High);","")&amp;IF(AND(AG136&lt;&gt;"",OR(AG136&gt;1,AG136&lt;0)),"Incorrect PDS value (High);",IF(AND(AG136&lt;&gt;"",AG136&gt;0.5),"High PDS value (Medium);",""))&amp;IF(AND(AK136&lt;&gt;"",OR(AK136&gt;5,AK136&lt;1)),"Incorrect DQR value (High);","")&amp;IF(AND(AA136&lt;&gt;"",OR(AA136&gt;1,AA136&lt;0)),"Incorrect scrap rate (High);",IF(AND(AA136&lt;&gt;"",AA136&gt;0.2),"High scrap rate (Medium);",IF(AND($A136&lt;&gt;"",AA136=0),"No scrap rate (No impact);","")))&amp;""</f>
        <v/>
      </c>
      <c r="AP136" s="9" t="n"/>
    </row>
    <row r="137">
      <c r="A137" s="3" t="n"/>
      <c r="B137" s="3" t="n"/>
      <c r="C137" s="3" t="n"/>
      <c r="D137" s="3" t="n"/>
      <c r="E137" s="3" t="n"/>
      <c r="F137" s="3" t="n"/>
      <c r="G137" s="4" t="n"/>
      <c r="H137" s="4" t="n"/>
      <c r="I137" s="3" t="inlineStr">
        <is>
          <t>kg</t>
        </is>
      </c>
      <c r="J137" s="4" t="n"/>
      <c r="K137" s="3" t="inlineStr">
        <is>
          <t>kg</t>
        </is>
      </c>
      <c r="L137" s="3" t="n"/>
      <c r="M137" s="5" t="n"/>
      <c r="N137" s="6" t="n"/>
      <c r="O137" s="3" t="inlineStr">
        <is>
          <t>kgCO2e/product</t>
        </is>
      </c>
      <c r="P137" s="7" t="n"/>
      <c r="Q137" s="4" t="n"/>
      <c r="R137" s="8" t="n"/>
      <c r="S137" s="3" t="inlineStr">
        <is>
          <t>Supplier</t>
        </is>
      </c>
      <c r="T137" s="3" t="inlineStr">
        <is>
          <t>No</t>
        </is>
      </c>
      <c r="U137" s="5" t="n"/>
      <c r="V137" s="3" t="n"/>
      <c r="W137" s="3" t="n"/>
      <c r="X137" s="6" t="n"/>
      <c r="Y137" s="3" t="inlineStr">
        <is>
          <t>kgCO2e/product</t>
        </is>
      </c>
      <c r="Z137" s="3" t="n"/>
      <c r="AA137" s="7" t="n"/>
      <c r="AB137" s="3" t="n"/>
      <c r="AC137" s="3" t="n"/>
      <c r="AD137" s="6" t="n"/>
      <c r="AE137" s="3" t="inlineStr">
        <is>
          <t>kgCO2e/product</t>
        </is>
      </c>
      <c r="AF137" s="3" t="n"/>
      <c r="AG137" s="7" t="n">
        <v>0</v>
      </c>
      <c r="AH137" s="3" t="n"/>
      <c r="AI137" s="3" t="n"/>
      <c r="AJ137" s="3" t="n"/>
      <c r="AK137" s="4">
        <f>IF(COUNT(AH137,AI137,AJ137)=0,"",ROUND(AVERAGE(AH137,AI137,AJ137),3))</f>
        <v/>
      </c>
      <c r="AL137" s="3">
        <f>IF(X137="","",ROUND(X137*IF(H137="",0,H137)*(1+IF(AA137="",0,AA137)),5))</f>
        <v/>
      </c>
      <c r="AM137" s="3" t="inlineStr">
        <is>
          <t>kgCO2e/product</t>
        </is>
      </c>
      <c r="AN137" s="5" t="n"/>
      <c r="AO137" s="9">
        <f>IF(AND($A137&lt;&gt;"",E137=""),"Supplier code empty (High);","")&amp;IF(AND(P137&lt;&gt;"",OR(P137&gt;1,P137&lt;0)),"Incorrect PDS value (High);",IF(AND(P137&lt;&gt;"",P137&gt;0.5),"High PDS value (Medium);",""))&amp;IF(AND(Q137&lt;&gt;"",OR(Q137&gt;5,Q137&lt;1)),"Incorrect DQR value (High);","")&amp;IF(AND(N137&lt;&gt;"",OR(N137&lt;=0,N137&gt;100)),"Unusual PCF value might be wrong (High);","")&amp;IF(AND(AG137&lt;&gt;"",OR(AG137&gt;1,AG137&lt;0)),"Incorrect PDS value (High);",IF(AND(AG137&lt;&gt;"",AG137&gt;0.5),"High PDS value (Medium);",""))&amp;IF(AND(AK137&lt;&gt;"",OR(AK137&gt;5,AK137&lt;1)),"Incorrect DQR value (High);","")&amp;IF(AND(AA137&lt;&gt;"",OR(AA137&gt;1,AA137&lt;0)),"Incorrect scrap rate (High);",IF(AND(AA137&lt;&gt;"",AA137&gt;0.2),"High scrap rate (Medium);",IF(AND($A137&lt;&gt;"",AA137=0),"No scrap rate (No impact);","")))&amp;""</f>
        <v/>
      </c>
      <c r="AP137" s="9" t="n"/>
    </row>
    <row r="138">
      <c r="A138" s="3" t="n"/>
      <c r="B138" s="3" t="n"/>
      <c r="C138" s="3" t="n"/>
      <c r="D138" s="3" t="n"/>
      <c r="E138" s="3" t="n"/>
      <c r="F138" s="3" t="n"/>
      <c r="G138" s="4" t="n"/>
      <c r="H138" s="4" t="n"/>
      <c r="I138" s="3" t="inlineStr">
        <is>
          <t>kg</t>
        </is>
      </c>
      <c r="J138" s="4" t="n"/>
      <c r="K138" s="3" t="inlineStr">
        <is>
          <t>kg</t>
        </is>
      </c>
      <c r="L138" s="3" t="n"/>
      <c r="M138" s="5" t="n"/>
      <c r="N138" s="6" t="n"/>
      <c r="O138" s="3" t="inlineStr">
        <is>
          <t>kgCO2e/product</t>
        </is>
      </c>
      <c r="P138" s="7" t="n"/>
      <c r="Q138" s="4" t="n"/>
      <c r="R138" s="8" t="n"/>
      <c r="S138" s="3" t="inlineStr">
        <is>
          <t>Supplier</t>
        </is>
      </c>
      <c r="T138" s="3" t="inlineStr">
        <is>
          <t>No</t>
        </is>
      </c>
      <c r="U138" s="5" t="n"/>
      <c r="V138" s="3" t="n"/>
      <c r="W138" s="3" t="n"/>
      <c r="X138" s="6" t="n"/>
      <c r="Y138" s="3" t="inlineStr">
        <is>
          <t>kgCO2e/product</t>
        </is>
      </c>
      <c r="Z138" s="3" t="n"/>
      <c r="AA138" s="7" t="n"/>
      <c r="AB138" s="3" t="n"/>
      <c r="AC138" s="3" t="n"/>
      <c r="AD138" s="6" t="n"/>
      <c r="AE138" s="3" t="inlineStr">
        <is>
          <t>kgCO2e/product</t>
        </is>
      </c>
      <c r="AF138" s="3" t="n"/>
      <c r="AG138" s="7" t="n">
        <v>0</v>
      </c>
      <c r="AH138" s="3" t="n"/>
      <c r="AI138" s="3" t="n"/>
      <c r="AJ138" s="3" t="n"/>
      <c r="AK138" s="4">
        <f>IF(COUNT(AH138,AI138,AJ138)=0,"",ROUND(AVERAGE(AH138,AI138,AJ138),3))</f>
        <v/>
      </c>
      <c r="AL138" s="3">
        <f>IF(X138="","",ROUND(X138*IF(H138="",0,H138)*(1+IF(AA138="",0,AA138)),5))</f>
        <v/>
      </c>
      <c r="AM138" s="3" t="inlineStr">
        <is>
          <t>kgCO2e/product</t>
        </is>
      </c>
      <c r="AN138" s="5" t="n"/>
      <c r="AO138" s="9">
        <f>IF(AND($A138&lt;&gt;"",E138=""),"Supplier code empty (High);","")&amp;IF(AND(P138&lt;&gt;"",OR(P138&gt;1,P138&lt;0)),"Incorrect PDS value (High);",IF(AND(P138&lt;&gt;"",P138&gt;0.5),"High PDS value (Medium);",""))&amp;IF(AND(Q138&lt;&gt;"",OR(Q138&gt;5,Q138&lt;1)),"Incorrect DQR value (High);","")&amp;IF(AND(N138&lt;&gt;"",OR(N138&lt;=0,N138&gt;100)),"Unusual PCF value might be wrong (High);","")&amp;IF(AND(AG138&lt;&gt;"",OR(AG138&gt;1,AG138&lt;0)),"Incorrect PDS value (High);",IF(AND(AG138&lt;&gt;"",AG138&gt;0.5),"High PDS value (Medium);",""))&amp;IF(AND(AK138&lt;&gt;"",OR(AK138&gt;5,AK138&lt;1)),"Incorrect DQR value (High);","")&amp;IF(AND(AA138&lt;&gt;"",OR(AA138&gt;1,AA138&lt;0)),"Incorrect scrap rate (High);",IF(AND(AA138&lt;&gt;"",AA138&gt;0.2),"High scrap rate (Medium);",IF(AND($A138&lt;&gt;"",AA138=0),"No scrap rate (No impact);","")))&amp;""</f>
        <v/>
      </c>
      <c r="AP138" s="9" t="n"/>
    </row>
    <row r="139">
      <c r="A139" s="3" t="n"/>
      <c r="B139" s="3" t="n"/>
      <c r="C139" s="3" t="n"/>
      <c r="D139" s="3" t="n"/>
      <c r="E139" s="3" t="n"/>
      <c r="F139" s="3" t="n"/>
      <c r="G139" s="4" t="n"/>
      <c r="H139" s="4" t="n"/>
      <c r="I139" s="3" t="inlineStr">
        <is>
          <t>kg</t>
        </is>
      </c>
      <c r="J139" s="4" t="n"/>
      <c r="K139" s="3" t="inlineStr">
        <is>
          <t>kg</t>
        </is>
      </c>
      <c r="L139" s="3" t="n"/>
      <c r="M139" s="5" t="n"/>
      <c r="N139" s="6" t="n"/>
      <c r="O139" s="3" t="inlineStr">
        <is>
          <t>kgCO2e/product</t>
        </is>
      </c>
      <c r="P139" s="7" t="n"/>
      <c r="Q139" s="4" t="n"/>
      <c r="R139" s="8" t="n"/>
      <c r="S139" s="3" t="inlineStr">
        <is>
          <t>Supplier</t>
        </is>
      </c>
      <c r="T139" s="3" t="inlineStr">
        <is>
          <t>No</t>
        </is>
      </c>
      <c r="U139" s="5" t="n"/>
      <c r="V139" s="3" t="n"/>
      <c r="W139" s="3" t="n"/>
      <c r="X139" s="6" t="n"/>
      <c r="Y139" s="3" t="inlineStr">
        <is>
          <t>kgCO2e/product</t>
        </is>
      </c>
      <c r="Z139" s="3" t="n"/>
      <c r="AA139" s="7" t="n"/>
      <c r="AB139" s="3" t="n"/>
      <c r="AC139" s="3" t="n"/>
      <c r="AD139" s="6" t="n"/>
      <c r="AE139" s="3" t="inlineStr">
        <is>
          <t>kgCO2e/product</t>
        </is>
      </c>
      <c r="AF139" s="3" t="n"/>
      <c r="AG139" s="7" t="n">
        <v>0</v>
      </c>
      <c r="AH139" s="3" t="n"/>
      <c r="AI139" s="3" t="n"/>
      <c r="AJ139" s="3" t="n"/>
      <c r="AK139" s="4">
        <f>IF(COUNT(AH139,AI139,AJ139)=0,"",ROUND(AVERAGE(AH139,AI139,AJ139),3))</f>
        <v/>
      </c>
      <c r="AL139" s="3">
        <f>IF(X139="","",ROUND(X139*IF(H139="",0,H139)*(1+IF(AA139="",0,AA139)),5))</f>
        <v/>
      </c>
      <c r="AM139" s="3" t="inlineStr">
        <is>
          <t>kgCO2e/product</t>
        </is>
      </c>
      <c r="AN139" s="5" t="n"/>
      <c r="AO139" s="9">
        <f>IF(AND($A139&lt;&gt;"",E139=""),"Supplier code empty (High);","")&amp;IF(AND(P139&lt;&gt;"",OR(P139&gt;1,P139&lt;0)),"Incorrect PDS value (High);",IF(AND(P139&lt;&gt;"",P139&gt;0.5),"High PDS value (Medium);",""))&amp;IF(AND(Q139&lt;&gt;"",OR(Q139&gt;5,Q139&lt;1)),"Incorrect DQR value (High);","")&amp;IF(AND(N139&lt;&gt;"",OR(N139&lt;=0,N139&gt;100)),"Unusual PCF value might be wrong (High);","")&amp;IF(AND(AG139&lt;&gt;"",OR(AG139&gt;1,AG139&lt;0)),"Incorrect PDS value (High);",IF(AND(AG139&lt;&gt;"",AG139&gt;0.5),"High PDS value (Medium);",""))&amp;IF(AND(AK139&lt;&gt;"",OR(AK139&gt;5,AK139&lt;1)),"Incorrect DQR value (High);","")&amp;IF(AND(AA139&lt;&gt;"",OR(AA139&gt;1,AA139&lt;0)),"Incorrect scrap rate (High);",IF(AND(AA139&lt;&gt;"",AA139&gt;0.2),"High scrap rate (Medium);",IF(AND($A139&lt;&gt;"",AA139=0),"No scrap rate (No impact);","")))&amp;""</f>
        <v/>
      </c>
      <c r="AP139" s="9" t="n"/>
    </row>
    <row r="140">
      <c r="A140" s="3" t="n"/>
      <c r="B140" s="3" t="n"/>
      <c r="C140" s="3" t="n"/>
      <c r="D140" s="3" t="n"/>
      <c r="E140" s="3" t="n"/>
      <c r="F140" s="3" t="n"/>
      <c r="G140" s="4" t="n"/>
      <c r="H140" s="4" t="n"/>
      <c r="I140" s="3" t="inlineStr">
        <is>
          <t>kg</t>
        </is>
      </c>
      <c r="J140" s="4" t="n"/>
      <c r="K140" s="3" t="inlineStr">
        <is>
          <t>kg</t>
        </is>
      </c>
      <c r="L140" s="3" t="n"/>
      <c r="M140" s="5" t="n"/>
      <c r="N140" s="6" t="n"/>
      <c r="O140" s="3" t="inlineStr">
        <is>
          <t>kgCO2e/product</t>
        </is>
      </c>
      <c r="P140" s="7" t="n"/>
      <c r="Q140" s="4" t="n"/>
      <c r="R140" s="8" t="n"/>
      <c r="S140" s="3" t="inlineStr">
        <is>
          <t>Supplier</t>
        </is>
      </c>
      <c r="T140" s="3" t="inlineStr">
        <is>
          <t>No</t>
        </is>
      </c>
      <c r="U140" s="5" t="n"/>
      <c r="V140" s="3" t="n"/>
      <c r="W140" s="3" t="n"/>
      <c r="X140" s="6" t="n"/>
      <c r="Y140" s="3" t="inlineStr">
        <is>
          <t>kgCO2e/product</t>
        </is>
      </c>
      <c r="Z140" s="3" t="n"/>
      <c r="AA140" s="7" t="n"/>
      <c r="AB140" s="3" t="n"/>
      <c r="AC140" s="3" t="n"/>
      <c r="AD140" s="6" t="n"/>
      <c r="AE140" s="3" t="inlineStr">
        <is>
          <t>kgCO2e/product</t>
        </is>
      </c>
      <c r="AF140" s="3" t="n"/>
      <c r="AG140" s="7" t="n">
        <v>0</v>
      </c>
      <c r="AH140" s="3" t="n"/>
      <c r="AI140" s="3" t="n"/>
      <c r="AJ140" s="3" t="n"/>
      <c r="AK140" s="4">
        <f>IF(COUNT(AH140,AI140,AJ140)=0,"",ROUND(AVERAGE(AH140,AI140,AJ140),3))</f>
        <v/>
      </c>
      <c r="AL140" s="3">
        <f>IF(X140="","",ROUND(X140*IF(H140="",0,H140)*(1+IF(AA140="",0,AA140)),5))</f>
        <v/>
      </c>
      <c r="AM140" s="3" t="inlineStr">
        <is>
          <t>kgCO2e/product</t>
        </is>
      </c>
      <c r="AN140" s="5" t="n"/>
      <c r="AO140" s="9">
        <f>IF(AND($A140&lt;&gt;"",E140=""),"Supplier code empty (High);","")&amp;IF(AND(P140&lt;&gt;"",OR(P140&gt;1,P140&lt;0)),"Incorrect PDS value (High);",IF(AND(P140&lt;&gt;"",P140&gt;0.5),"High PDS value (Medium);",""))&amp;IF(AND(Q140&lt;&gt;"",OR(Q140&gt;5,Q140&lt;1)),"Incorrect DQR value (High);","")&amp;IF(AND(N140&lt;&gt;"",OR(N140&lt;=0,N140&gt;100)),"Unusual PCF value might be wrong (High);","")&amp;IF(AND(AG140&lt;&gt;"",OR(AG140&gt;1,AG140&lt;0)),"Incorrect PDS value (High);",IF(AND(AG140&lt;&gt;"",AG140&gt;0.5),"High PDS value (Medium);",""))&amp;IF(AND(AK140&lt;&gt;"",OR(AK140&gt;5,AK140&lt;1)),"Incorrect DQR value (High);","")&amp;IF(AND(AA140&lt;&gt;"",OR(AA140&gt;1,AA140&lt;0)),"Incorrect scrap rate (High);",IF(AND(AA140&lt;&gt;"",AA140&gt;0.2),"High scrap rate (Medium);",IF(AND($A140&lt;&gt;"",AA140=0),"No scrap rate (No impact);","")))&amp;""</f>
        <v/>
      </c>
      <c r="AP140" s="9" t="n"/>
    </row>
    <row r="141">
      <c r="A141" s="3" t="n"/>
      <c r="B141" s="3" t="n"/>
      <c r="C141" s="3" t="n"/>
      <c r="D141" s="3" t="n"/>
      <c r="E141" s="3" t="n"/>
      <c r="F141" s="3" t="n"/>
      <c r="G141" s="4" t="n"/>
      <c r="H141" s="4" t="n"/>
      <c r="I141" s="3" t="inlineStr">
        <is>
          <t>kg</t>
        </is>
      </c>
      <c r="J141" s="4" t="n"/>
      <c r="K141" s="3" t="inlineStr">
        <is>
          <t>kg</t>
        </is>
      </c>
      <c r="L141" s="3" t="n"/>
      <c r="M141" s="5" t="n"/>
      <c r="N141" s="6" t="n"/>
      <c r="O141" s="3" t="inlineStr">
        <is>
          <t>kgCO2e/product</t>
        </is>
      </c>
      <c r="P141" s="7" t="n"/>
      <c r="Q141" s="4" t="n"/>
      <c r="R141" s="8" t="n"/>
      <c r="S141" s="3" t="inlineStr">
        <is>
          <t>Supplier</t>
        </is>
      </c>
      <c r="T141" s="3" t="inlineStr">
        <is>
          <t>No</t>
        </is>
      </c>
      <c r="U141" s="5" t="n"/>
      <c r="V141" s="3" t="n"/>
      <c r="W141" s="3" t="n"/>
      <c r="X141" s="6" t="n"/>
      <c r="Y141" s="3" t="inlineStr">
        <is>
          <t>kgCO2e/product</t>
        </is>
      </c>
      <c r="Z141" s="3" t="n"/>
      <c r="AA141" s="7" t="n"/>
      <c r="AB141" s="3" t="n"/>
      <c r="AC141" s="3" t="n"/>
      <c r="AD141" s="6" t="n"/>
      <c r="AE141" s="3" t="inlineStr">
        <is>
          <t>kgCO2e/product</t>
        </is>
      </c>
      <c r="AF141" s="3" t="n"/>
      <c r="AG141" s="7" t="n">
        <v>0</v>
      </c>
      <c r="AH141" s="3" t="n"/>
      <c r="AI141" s="3" t="n"/>
      <c r="AJ141" s="3" t="n"/>
      <c r="AK141" s="4">
        <f>IF(COUNT(AH141,AI141,AJ141)=0,"",ROUND(AVERAGE(AH141,AI141,AJ141),3))</f>
        <v/>
      </c>
      <c r="AL141" s="3">
        <f>IF(X141="","",ROUND(X141*IF(H141="",0,H141)*(1+IF(AA141="",0,AA141)),5))</f>
        <v/>
      </c>
      <c r="AM141" s="3" t="inlineStr">
        <is>
          <t>kgCO2e/product</t>
        </is>
      </c>
      <c r="AN141" s="5" t="n"/>
      <c r="AO141" s="9">
        <f>IF(AND($A141&lt;&gt;"",E141=""),"Supplier code empty (High);","")&amp;IF(AND(P141&lt;&gt;"",OR(P141&gt;1,P141&lt;0)),"Incorrect PDS value (High);",IF(AND(P141&lt;&gt;"",P141&gt;0.5),"High PDS value (Medium);",""))&amp;IF(AND(Q141&lt;&gt;"",OR(Q141&gt;5,Q141&lt;1)),"Incorrect DQR value (High);","")&amp;IF(AND(N141&lt;&gt;"",OR(N141&lt;=0,N141&gt;100)),"Unusual PCF value might be wrong (High);","")&amp;IF(AND(AG141&lt;&gt;"",OR(AG141&gt;1,AG141&lt;0)),"Incorrect PDS value (High);",IF(AND(AG141&lt;&gt;"",AG141&gt;0.5),"High PDS value (Medium);",""))&amp;IF(AND(AK141&lt;&gt;"",OR(AK141&gt;5,AK141&lt;1)),"Incorrect DQR value (High);","")&amp;IF(AND(AA141&lt;&gt;"",OR(AA141&gt;1,AA141&lt;0)),"Incorrect scrap rate (High);",IF(AND(AA141&lt;&gt;"",AA141&gt;0.2),"High scrap rate (Medium);",IF(AND($A141&lt;&gt;"",AA141=0),"No scrap rate (No impact);","")))&amp;""</f>
        <v/>
      </c>
      <c r="AP141" s="9" t="n"/>
    </row>
    <row r="142">
      <c r="A142" s="3" t="n"/>
      <c r="B142" s="3" t="n"/>
      <c r="C142" s="3" t="n"/>
      <c r="D142" s="3" t="n"/>
      <c r="E142" s="3" t="n"/>
      <c r="F142" s="3" t="n"/>
      <c r="G142" s="4" t="n"/>
      <c r="H142" s="4" t="n"/>
      <c r="I142" s="3" t="inlineStr">
        <is>
          <t>kg</t>
        </is>
      </c>
      <c r="J142" s="4" t="n"/>
      <c r="K142" s="3" t="inlineStr">
        <is>
          <t>kg</t>
        </is>
      </c>
      <c r="L142" s="3" t="n"/>
      <c r="M142" s="5" t="n"/>
      <c r="N142" s="6" t="n"/>
      <c r="O142" s="3" t="inlineStr">
        <is>
          <t>kgCO2e/product</t>
        </is>
      </c>
      <c r="P142" s="7" t="n"/>
      <c r="Q142" s="4" t="n"/>
      <c r="R142" s="8" t="n"/>
      <c r="S142" s="3" t="inlineStr">
        <is>
          <t>Supplier</t>
        </is>
      </c>
      <c r="T142" s="3" t="inlineStr">
        <is>
          <t>No</t>
        </is>
      </c>
      <c r="U142" s="5" t="n"/>
      <c r="V142" s="3" t="n"/>
      <c r="W142" s="3" t="n"/>
      <c r="X142" s="6" t="n"/>
      <c r="Y142" s="3" t="inlineStr">
        <is>
          <t>kgCO2e/product</t>
        </is>
      </c>
      <c r="Z142" s="3" t="n"/>
      <c r="AA142" s="7" t="n"/>
      <c r="AB142" s="3" t="n"/>
      <c r="AC142" s="3" t="n"/>
      <c r="AD142" s="6" t="n"/>
      <c r="AE142" s="3" t="inlineStr">
        <is>
          <t>kgCO2e/product</t>
        </is>
      </c>
      <c r="AF142" s="3" t="n"/>
      <c r="AG142" s="7" t="n">
        <v>0</v>
      </c>
      <c r="AH142" s="3" t="n"/>
      <c r="AI142" s="3" t="n"/>
      <c r="AJ142" s="3" t="n"/>
      <c r="AK142" s="4">
        <f>IF(COUNT(AH142,AI142,AJ142)=0,"",ROUND(AVERAGE(AH142,AI142,AJ142),3))</f>
        <v/>
      </c>
      <c r="AL142" s="3">
        <f>IF(X142="","",ROUND(X142*IF(H142="",0,H142)*(1+IF(AA142="",0,AA142)),5))</f>
        <v/>
      </c>
      <c r="AM142" s="3" t="inlineStr">
        <is>
          <t>kgCO2e/product</t>
        </is>
      </c>
      <c r="AN142" s="5" t="n"/>
      <c r="AO142" s="9">
        <f>IF(AND($A142&lt;&gt;"",E142=""),"Supplier code empty (High);","")&amp;IF(AND(P142&lt;&gt;"",OR(P142&gt;1,P142&lt;0)),"Incorrect PDS value (High);",IF(AND(P142&lt;&gt;"",P142&gt;0.5),"High PDS value (Medium);",""))&amp;IF(AND(Q142&lt;&gt;"",OR(Q142&gt;5,Q142&lt;1)),"Incorrect DQR value (High);","")&amp;IF(AND(N142&lt;&gt;"",OR(N142&lt;=0,N142&gt;100)),"Unusual PCF value might be wrong (High);","")&amp;IF(AND(AG142&lt;&gt;"",OR(AG142&gt;1,AG142&lt;0)),"Incorrect PDS value (High);",IF(AND(AG142&lt;&gt;"",AG142&gt;0.5),"High PDS value (Medium);",""))&amp;IF(AND(AK142&lt;&gt;"",OR(AK142&gt;5,AK142&lt;1)),"Incorrect DQR value (High);","")&amp;IF(AND(AA142&lt;&gt;"",OR(AA142&gt;1,AA142&lt;0)),"Incorrect scrap rate (High);",IF(AND(AA142&lt;&gt;"",AA142&gt;0.2),"High scrap rate (Medium);",IF(AND($A142&lt;&gt;"",AA142=0),"No scrap rate (No impact);","")))&amp;""</f>
        <v/>
      </c>
      <c r="AP142" s="9" t="n"/>
    </row>
    <row r="143">
      <c r="A143" s="3" t="n"/>
      <c r="B143" s="3" t="n"/>
      <c r="C143" s="3" t="n"/>
      <c r="D143" s="3" t="n"/>
      <c r="E143" s="3" t="n"/>
      <c r="F143" s="3" t="n"/>
      <c r="G143" s="4" t="n"/>
      <c r="H143" s="4" t="n"/>
      <c r="I143" s="3" t="inlineStr">
        <is>
          <t>kg</t>
        </is>
      </c>
      <c r="J143" s="4" t="n"/>
      <c r="K143" s="3" t="inlineStr">
        <is>
          <t>kg</t>
        </is>
      </c>
      <c r="L143" s="3" t="n"/>
      <c r="M143" s="5" t="n"/>
      <c r="N143" s="6" t="n"/>
      <c r="O143" s="3" t="inlineStr">
        <is>
          <t>kgCO2e/product</t>
        </is>
      </c>
      <c r="P143" s="7" t="n"/>
      <c r="Q143" s="4" t="n"/>
      <c r="R143" s="8" t="n"/>
      <c r="S143" s="3" t="inlineStr">
        <is>
          <t>Supplier</t>
        </is>
      </c>
      <c r="T143" s="3" t="inlineStr">
        <is>
          <t>No</t>
        </is>
      </c>
      <c r="U143" s="5" t="n"/>
      <c r="V143" s="3" t="n"/>
      <c r="W143" s="3" t="n"/>
      <c r="X143" s="6" t="n"/>
      <c r="Y143" s="3" t="inlineStr">
        <is>
          <t>kgCO2e/product</t>
        </is>
      </c>
      <c r="Z143" s="3" t="n"/>
      <c r="AA143" s="7" t="n"/>
      <c r="AB143" s="3" t="n"/>
      <c r="AC143" s="3" t="n"/>
      <c r="AD143" s="6" t="n"/>
      <c r="AE143" s="3" t="inlineStr">
        <is>
          <t>kgCO2e/product</t>
        </is>
      </c>
      <c r="AF143" s="3" t="n"/>
      <c r="AG143" s="7" t="n">
        <v>0</v>
      </c>
      <c r="AH143" s="3" t="n"/>
      <c r="AI143" s="3" t="n"/>
      <c r="AJ143" s="3" t="n"/>
      <c r="AK143" s="4">
        <f>IF(COUNT(AH143,AI143,AJ143)=0,"",ROUND(AVERAGE(AH143,AI143,AJ143),3))</f>
        <v/>
      </c>
      <c r="AL143" s="3">
        <f>IF(X143="","",ROUND(X143*IF(H143="",0,H143)*(1+IF(AA143="",0,AA143)),5))</f>
        <v/>
      </c>
      <c r="AM143" s="3" t="inlineStr">
        <is>
          <t>kgCO2e/product</t>
        </is>
      </c>
      <c r="AN143" s="5" t="n"/>
      <c r="AO143" s="9">
        <f>IF(AND($A143&lt;&gt;"",E143=""),"Supplier code empty (High);","")&amp;IF(AND(P143&lt;&gt;"",OR(P143&gt;1,P143&lt;0)),"Incorrect PDS value (High);",IF(AND(P143&lt;&gt;"",P143&gt;0.5),"High PDS value (Medium);",""))&amp;IF(AND(Q143&lt;&gt;"",OR(Q143&gt;5,Q143&lt;1)),"Incorrect DQR value (High);","")&amp;IF(AND(N143&lt;&gt;"",OR(N143&lt;=0,N143&gt;100)),"Unusual PCF value might be wrong (High);","")&amp;IF(AND(AG143&lt;&gt;"",OR(AG143&gt;1,AG143&lt;0)),"Incorrect PDS value (High);",IF(AND(AG143&lt;&gt;"",AG143&gt;0.5),"High PDS value (Medium);",""))&amp;IF(AND(AK143&lt;&gt;"",OR(AK143&gt;5,AK143&lt;1)),"Incorrect DQR value (High);","")&amp;IF(AND(AA143&lt;&gt;"",OR(AA143&gt;1,AA143&lt;0)),"Incorrect scrap rate (High);",IF(AND(AA143&lt;&gt;"",AA143&gt;0.2),"High scrap rate (Medium);",IF(AND($A143&lt;&gt;"",AA143=0),"No scrap rate (No impact);","")))&amp;""</f>
        <v/>
      </c>
      <c r="AP143" s="9" t="n"/>
    </row>
    <row r="144">
      <c r="A144" s="3" t="n"/>
      <c r="B144" s="3" t="n"/>
      <c r="C144" s="3" t="n"/>
      <c r="D144" s="3" t="n"/>
      <c r="E144" s="3" t="n"/>
      <c r="F144" s="3" t="n"/>
      <c r="G144" s="4" t="n"/>
      <c r="H144" s="4" t="n"/>
      <c r="I144" s="3" t="inlineStr">
        <is>
          <t>kg</t>
        </is>
      </c>
      <c r="J144" s="4" t="n"/>
      <c r="K144" s="3" t="inlineStr">
        <is>
          <t>kg</t>
        </is>
      </c>
      <c r="L144" s="3" t="n"/>
      <c r="M144" s="5" t="n"/>
      <c r="N144" s="6" t="n"/>
      <c r="O144" s="3" t="inlineStr">
        <is>
          <t>kgCO2e/product</t>
        </is>
      </c>
      <c r="P144" s="7" t="n"/>
      <c r="Q144" s="4" t="n"/>
      <c r="R144" s="8" t="n"/>
      <c r="S144" s="3" t="inlineStr">
        <is>
          <t>Supplier</t>
        </is>
      </c>
      <c r="T144" s="3" t="inlineStr">
        <is>
          <t>No</t>
        </is>
      </c>
      <c r="U144" s="5" t="n"/>
      <c r="V144" s="3" t="n"/>
      <c r="W144" s="3" t="n"/>
      <c r="X144" s="6" t="n"/>
      <c r="Y144" s="3" t="inlineStr">
        <is>
          <t>kgCO2e/product</t>
        </is>
      </c>
      <c r="Z144" s="3" t="n"/>
      <c r="AA144" s="7" t="n"/>
      <c r="AB144" s="3" t="n"/>
      <c r="AC144" s="3" t="n"/>
      <c r="AD144" s="6" t="n"/>
      <c r="AE144" s="3" t="inlineStr">
        <is>
          <t>kgCO2e/product</t>
        </is>
      </c>
      <c r="AF144" s="3" t="n"/>
      <c r="AG144" s="7" t="n">
        <v>0</v>
      </c>
      <c r="AH144" s="3" t="n"/>
      <c r="AI144" s="3" t="n"/>
      <c r="AJ144" s="3" t="n"/>
      <c r="AK144" s="4">
        <f>IF(COUNT(AH144,AI144,AJ144)=0,"",ROUND(AVERAGE(AH144,AI144,AJ144),3))</f>
        <v/>
      </c>
      <c r="AL144" s="3">
        <f>IF(X144="","",ROUND(X144*IF(H144="",0,H144)*(1+IF(AA144="",0,AA144)),5))</f>
        <v/>
      </c>
      <c r="AM144" s="3" t="inlineStr">
        <is>
          <t>kgCO2e/product</t>
        </is>
      </c>
      <c r="AN144" s="5" t="n"/>
      <c r="AO144" s="9">
        <f>IF(AND($A144&lt;&gt;"",E144=""),"Supplier code empty (High);","")&amp;IF(AND(P144&lt;&gt;"",OR(P144&gt;1,P144&lt;0)),"Incorrect PDS value (High);",IF(AND(P144&lt;&gt;"",P144&gt;0.5),"High PDS value (Medium);",""))&amp;IF(AND(Q144&lt;&gt;"",OR(Q144&gt;5,Q144&lt;1)),"Incorrect DQR value (High);","")&amp;IF(AND(N144&lt;&gt;"",OR(N144&lt;=0,N144&gt;100)),"Unusual PCF value might be wrong (High);","")&amp;IF(AND(AG144&lt;&gt;"",OR(AG144&gt;1,AG144&lt;0)),"Incorrect PDS value (High);",IF(AND(AG144&lt;&gt;"",AG144&gt;0.5),"High PDS value (Medium);",""))&amp;IF(AND(AK144&lt;&gt;"",OR(AK144&gt;5,AK144&lt;1)),"Incorrect DQR value (High);","")&amp;IF(AND(AA144&lt;&gt;"",OR(AA144&gt;1,AA144&lt;0)),"Incorrect scrap rate (High);",IF(AND(AA144&lt;&gt;"",AA144&gt;0.2),"High scrap rate (Medium);",IF(AND($A144&lt;&gt;"",AA144=0),"No scrap rate (No impact);","")))&amp;""</f>
        <v/>
      </c>
      <c r="AP144" s="9" t="n"/>
    </row>
    <row r="145">
      <c r="A145" s="3" t="n"/>
      <c r="B145" s="3" t="n"/>
      <c r="C145" s="3" t="n"/>
      <c r="D145" s="3" t="n"/>
      <c r="E145" s="3" t="n"/>
      <c r="F145" s="3" t="n"/>
      <c r="G145" s="4" t="n"/>
      <c r="H145" s="4" t="n"/>
      <c r="I145" s="3" t="inlineStr">
        <is>
          <t>kg</t>
        </is>
      </c>
      <c r="J145" s="4" t="n"/>
      <c r="K145" s="3" t="inlineStr">
        <is>
          <t>kg</t>
        </is>
      </c>
      <c r="L145" s="3" t="n"/>
      <c r="M145" s="5" t="n"/>
      <c r="N145" s="6" t="n"/>
      <c r="O145" s="3" t="inlineStr">
        <is>
          <t>kgCO2e/product</t>
        </is>
      </c>
      <c r="P145" s="7" t="n"/>
      <c r="Q145" s="4" t="n"/>
      <c r="R145" s="8" t="n"/>
      <c r="S145" s="3" t="inlineStr">
        <is>
          <t>Supplier</t>
        </is>
      </c>
      <c r="T145" s="3" t="inlineStr">
        <is>
          <t>No</t>
        </is>
      </c>
      <c r="U145" s="5" t="n"/>
      <c r="V145" s="3" t="n"/>
      <c r="W145" s="3" t="n"/>
      <c r="X145" s="6" t="n"/>
      <c r="Y145" s="3" t="inlineStr">
        <is>
          <t>kgCO2e/product</t>
        </is>
      </c>
      <c r="Z145" s="3" t="n"/>
      <c r="AA145" s="7" t="n"/>
      <c r="AB145" s="3" t="n"/>
      <c r="AC145" s="3" t="n"/>
      <c r="AD145" s="6" t="n"/>
      <c r="AE145" s="3" t="inlineStr">
        <is>
          <t>kgCO2e/product</t>
        </is>
      </c>
      <c r="AF145" s="3" t="n"/>
      <c r="AG145" s="7" t="n">
        <v>0</v>
      </c>
      <c r="AH145" s="3" t="n"/>
      <c r="AI145" s="3" t="n"/>
      <c r="AJ145" s="3" t="n"/>
      <c r="AK145" s="4">
        <f>IF(COUNT(AH145,AI145,AJ145)=0,"",ROUND(AVERAGE(AH145,AI145,AJ145),3))</f>
        <v/>
      </c>
      <c r="AL145" s="3">
        <f>IF(X145="","",ROUND(X145*IF(H145="",0,H145)*(1+IF(AA145="",0,AA145)),5))</f>
        <v/>
      </c>
      <c r="AM145" s="3" t="inlineStr">
        <is>
          <t>kgCO2e/product</t>
        </is>
      </c>
      <c r="AN145" s="5" t="n"/>
      <c r="AO145" s="9">
        <f>IF(AND($A145&lt;&gt;"",E145=""),"Supplier code empty (High);","")&amp;IF(AND(P145&lt;&gt;"",OR(P145&gt;1,P145&lt;0)),"Incorrect PDS value (High);",IF(AND(P145&lt;&gt;"",P145&gt;0.5),"High PDS value (Medium);",""))&amp;IF(AND(Q145&lt;&gt;"",OR(Q145&gt;5,Q145&lt;1)),"Incorrect DQR value (High);","")&amp;IF(AND(N145&lt;&gt;"",OR(N145&lt;=0,N145&gt;100)),"Unusual PCF value might be wrong (High);","")&amp;IF(AND(AG145&lt;&gt;"",OR(AG145&gt;1,AG145&lt;0)),"Incorrect PDS value (High);",IF(AND(AG145&lt;&gt;"",AG145&gt;0.5),"High PDS value (Medium);",""))&amp;IF(AND(AK145&lt;&gt;"",OR(AK145&gt;5,AK145&lt;1)),"Incorrect DQR value (High);","")&amp;IF(AND(AA145&lt;&gt;"",OR(AA145&gt;1,AA145&lt;0)),"Incorrect scrap rate (High);",IF(AND(AA145&lt;&gt;"",AA145&gt;0.2),"High scrap rate (Medium);",IF(AND($A145&lt;&gt;"",AA145=0),"No scrap rate (No impact);","")))&amp;""</f>
        <v/>
      </c>
      <c r="AP145" s="9" t="n"/>
    </row>
    <row r="146">
      <c r="A146" s="3" t="n"/>
      <c r="B146" s="3" t="n"/>
      <c r="C146" s="3" t="n"/>
      <c r="D146" s="3" t="n"/>
      <c r="E146" s="3" t="n"/>
      <c r="F146" s="3" t="n"/>
      <c r="G146" s="4" t="n"/>
      <c r="H146" s="4" t="n"/>
      <c r="I146" s="3" t="inlineStr">
        <is>
          <t>kg</t>
        </is>
      </c>
      <c r="J146" s="4" t="n"/>
      <c r="K146" s="3" t="inlineStr">
        <is>
          <t>kg</t>
        </is>
      </c>
      <c r="L146" s="3" t="n"/>
      <c r="M146" s="5" t="n"/>
      <c r="N146" s="6" t="n"/>
      <c r="O146" s="3" t="inlineStr">
        <is>
          <t>kgCO2e/product</t>
        </is>
      </c>
      <c r="P146" s="7" t="n"/>
      <c r="Q146" s="4" t="n"/>
      <c r="R146" s="8" t="n"/>
      <c r="S146" s="3" t="inlineStr">
        <is>
          <t>Supplier</t>
        </is>
      </c>
      <c r="T146" s="3" t="inlineStr">
        <is>
          <t>No</t>
        </is>
      </c>
      <c r="U146" s="5" t="n"/>
      <c r="V146" s="3" t="n"/>
      <c r="W146" s="3" t="n"/>
      <c r="X146" s="6" t="n"/>
      <c r="Y146" s="3" t="inlineStr">
        <is>
          <t>kgCO2e/product</t>
        </is>
      </c>
      <c r="Z146" s="3" t="n"/>
      <c r="AA146" s="7" t="n"/>
      <c r="AB146" s="3" t="n"/>
      <c r="AC146" s="3" t="n"/>
      <c r="AD146" s="6" t="n"/>
      <c r="AE146" s="3" t="inlineStr">
        <is>
          <t>kgCO2e/product</t>
        </is>
      </c>
      <c r="AF146" s="3" t="n"/>
      <c r="AG146" s="7" t="n">
        <v>0</v>
      </c>
      <c r="AH146" s="3" t="n"/>
      <c r="AI146" s="3" t="n"/>
      <c r="AJ146" s="3" t="n"/>
      <c r="AK146" s="4">
        <f>IF(COUNT(AH146,AI146,AJ146)=0,"",ROUND(AVERAGE(AH146,AI146,AJ146),3))</f>
        <v/>
      </c>
      <c r="AL146" s="3">
        <f>IF(X146="","",ROUND(X146*IF(H146="",0,H146)*(1+IF(AA146="",0,AA146)),5))</f>
        <v/>
      </c>
      <c r="AM146" s="3" t="inlineStr">
        <is>
          <t>kgCO2e/product</t>
        </is>
      </c>
      <c r="AN146" s="5" t="n"/>
      <c r="AO146" s="9">
        <f>IF(AND($A146&lt;&gt;"",E146=""),"Supplier code empty (High);","")&amp;IF(AND(P146&lt;&gt;"",OR(P146&gt;1,P146&lt;0)),"Incorrect PDS value (High);",IF(AND(P146&lt;&gt;"",P146&gt;0.5),"High PDS value (Medium);",""))&amp;IF(AND(Q146&lt;&gt;"",OR(Q146&gt;5,Q146&lt;1)),"Incorrect DQR value (High);","")&amp;IF(AND(N146&lt;&gt;"",OR(N146&lt;=0,N146&gt;100)),"Unusual PCF value might be wrong (High);","")&amp;IF(AND(AG146&lt;&gt;"",OR(AG146&gt;1,AG146&lt;0)),"Incorrect PDS value (High);",IF(AND(AG146&lt;&gt;"",AG146&gt;0.5),"High PDS value (Medium);",""))&amp;IF(AND(AK146&lt;&gt;"",OR(AK146&gt;5,AK146&lt;1)),"Incorrect DQR value (High);","")&amp;IF(AND(AA146&lt;&gt;"",OR(AA146&gt;1,AA146&lt;0)),"Incorrect scrap rate (High);",IF(AND(AA146&lt;&gt;"",AA146&gt;0.2),"High scrap rate (Medium);",IF(AND($A146&lt;&gt;"",AA146=0),"No scrap rate (No impact);","")))&amp;""</f>
        <v/>
      </c>
      <c r="AP146" s="9" t="n"/>
    </row>
    <row r="147">
      <c r="A147" s="3" t="n"/>
      <c r="B147" s="3" t="n"/>
      <c r="C147" s="3" t="n"/>
      <c r="D147" s="3" t="n"/>
      <c r="E147" s="3" t="n"/>
      <c r="F147" s="3" t="n"/>
      <c r="G147" s="4" t="n"/>
      <c r="H147" s="4" t="n"/>
      <c r="I147" s="3" t="inlineStr">
        <is>
          <t>kg</t>
        </is>
      </c>
      <c r="J147" s="4" t="n"/>
      <c r="K147" s="3" t="inlineStr">
        <is>
          <t>kg</t>
        </is>
      </c>
      <c r="L147" s="3" t="n"/>
      <c r="M147" s="5" t="n"/>
      <c r="N147" s="6" t="n"/>
      <c r="O147" s="3" t="inlineStr">
        <is>
          <t>kgCO2e/product</t>
        </is>
      </c>
      <c r="P147" s="7" t="n"/>
      <c r="Q147" s="4" t="n"/>
      <c r="R147" s="8" t="n"/>
      <c r="S147" s="3" t="inlineStr">
        <is>
          <t>Supplier</t>
        </is>
      </c>
      <c r="T147" s="3" t="inlineStr">
        <is>
          <t>No</t>
        </is>
      </c>
      <c r="U147" s="5" t="n"/>
      <c r="V147" s="3" t="n"/>
      <c r="W147" s="3" t="n"/>
      <c r="X147" s="6" t="n"/>
      <c r="Y147" s="3" t="inlineStr">
        <is>
          <t>kgCO2e/product</t>
        </is>
      </c>
      <c r="Z147" s="3" t="n"/>
      <c r="AA147" s="7" t="n"/>
      <c r="AB147" s="3" t="n"/>
      <c r="AC147" s="3" t="n"/>
      <c r="AD147" s="6" t="n"/>
      <c r="AE147" s="3" t="inlineStr">
        <is>
          <t>kgCO2e/product</t>
        </is>
      </c>
      <c r="AF147" s="3" t="n"/>
      <c r="AG147" s="7" t="n">
        <v>0</v>
      </c>
      <c r="AH147" s="3" t="n"/>
      <c r="AI147" s="3" t="n"/>
      <c r="AJ147" s="3" t="n"/>
      <c r="AK147" s="4">
        <f>IF(COUNT(AH147,AI147,AJ147)=0,"",ROUND(AVERAGE(AH147,AI147,AJ147),3))</f>
        <v/>
      </c>
      <c r="AL147" s="3">
        <f>IF(X147="","",ROUND(X147*IF(H147="",0,H147)*(1+IF(AA147="",0,AA147)),5))</f>
        <v/>
      </c>
      <c r="AM147" s="3" t="inlineStr">
        <is>
          <t>kgCO2e/product</t>
        </is>
      </c>
      <c r="AN147" s="5" t="n"/>
      <c r="AO147" s="9">
        <f>IF(AND($A147&lt;&gt;"",E147=""),"Supplier code empty (High);","")&amp;IF(AND(P147&lt;&gt;"",OR(P147&gt;1,P147&lt;0)),"Incorrect PDS value (High);",IF(AND(P147&lt;&gt;"",P147&gt;0.5),"High PDS value (Medium);",""))&amp;IF(AND(Q147&lt;&gt;"",OR(Q147&gt;5,Q147&lt;1)),"Incorrect DQR value (High);","")&amp;IF(AND(N147&lt;&gt;"",OR(N147&lt;=0,N147&gt;100)),"Unusual PCF value might be wrong (High);","")&amp;IF(AND(AG147&lt;&gt;"",OR(AG147&gt;1,AG147&lt;0)),"Incorrect PDS value (High);",IF(AND(AG147&lt;&gt;"",AG147&gt;0.5),"High PDS value (Medium);",""))&amp;IF(AND(AK147&lt;&gt;"",OR(AK147&gt;5,AK147&lt;1)),"Incorrect DQR value (High);","")&amp;IF(AND(AA147&lt;&gt;"",OR(AA147&gt;1,AA147&lt;0)),"Incorrect scrap rate (High);",IF(AND(AA147&lt;&gt;"",AA147&gt;0.2),"High scrap rate (Medium);",IF(AND($A147&lt;&gt;"",AA147=0),"No scrap rate (No impact);","")))&amp;""</f>
        <v/>
      </c>
      <c r="AP147" s="9" t="n"/>
    </row>
    <row r="148">
      <c r="A148" s="3" t="n"/>
      <c r="B148" s="3" t="n"/>
      <c r="C148" s="3" t="n"/>
      <c r="D148" s="3" t="n"/>
      <c r="E148" s="3" t="n"/>
      <c r="F148" s="3" t="n"/>
      <c r="G148" s="4" t="n"/>
      <c r="H148" s="4" t="n"/>
      <c r="I148" s="3" t="inlineStr">
        <is>
          <t>kg</t>
        </is>
      </c>
      <c r="J148" s="4" t="n"/>
      <c r="K148" s="3" t="inlineStr">
        <is>
          <t>kg</t>
        </is>
      </c>
      <c r="L148" s="3" t="n"/>
      <c r="M148" s="5" t="n"/>
      <c r="N148" s="6" t="n"/>
      <c r="O148" s="3" t="inlineStr">
        <is>
          <t>kgCO2e/product</t>
        </is>
      </c>
      <c r="P148" s="7" t="n"/>
      <c r="Q148" s="4" t="n"/>
      <c r="R148" s="8" t="n"/>
      <c r="S148" s="3" t="inlineStr">
        <is>
          <t>Supplier</t>
        </is>
      </c>
      <c r="T148" s="3" t="inlineStr">
        <is>
          <t>No</t>
        </is>
      </c>
      <c r="U148" s="5" t="n"/>
      <c r="V148" s="3" t="n"/>
      <c r="W148" s="3" t="n"/>
      <c r="X148" s="6" t="n"/>
      <c r="Y148" s="3" t="inlineStr">
        <is>
          <t>kgCO2e/product</t>
        </is>
      </c>
      <c r="Z148" s="3" t="n"/>
      <c r="AA148" s="7" t="n"/>
      <c r="AB148" s="3" t="n"/>
      <c r="AC148" s="3" t="n"/>
      <c r="AD148" s="6" t="n"/>
      <c r="AE148" s="3" t="inlineStr">
        <is>
          <t>kgCO2e/product</t>
        </is>
      </c>
      <c r="AF148" s="3" t="n"/>
      <c r="AG148" s="7" t="n">
        <v>0</v>
      </c>
      <c r="AH148" s="3" t="n"/>
      <c r="AI148" s="3" t="n"/>
      <c r="AJ148" s="3" t="n"/>
      <c r="AK148" s="4">
        <f>IF(COUNT(AH148,AI148,AJ148)=0,"",ROUND(AVERAGE(AH148,AI148,AJ148),3))</f>
        <v/>
      </c>
      <c r="AL148" s="3">
        <f>IF(X148="","",ROUND(X148*IF(H148="",0,H148)*(1+IF(AA148="",0,AA148)),5))</f>
        <v/>
      </c>
      <c r="AM148" s="3" t="inlineStr">
        <is>
          <t>kgCO2e/product</t>
        </is>
      </c>
      <c r="AN148" s="5" t="n"/>
      <c r="AO148" s="9">
        <f>IF(AND($A148&lt;&gt;"",E148=""),"Supplier code empty (High);","")&amp;IF(AND(P148&lt;&gt;"",OR(P148&gt;1,P148&lt;0)),"Incorrect PDS value (High);",IF(AND(P148&lt;&gt;"",P148&gt;0.5),"High PDS value (Medium);",""))&amp;IF(AND(Q148&lt;&gt;"",OR(Q148&gt;5,Q148&lt;1)),"Incorrect DQR value (High);","")&amp;IF(AND(N148&lt;&gt;"",OR(N148&lt;=0,N148&gt;100)),"Unusual PCF value might be wrong (High);","")&amp;IF(AND(AG148&lt;&gt;"",OR(AG148&gt;1,AG148&lt;0)),"Incorrect PDS value (High);",IF(AND(AG148&lt;&gt;"",AG148&gt;0.5),"High PDS value (Medium);",""))&amp;IF(AND(AK148&lt;&gt;"",OR(AK148&gt;5,AK148&lt;1)),"Incorrect DQR value (High);","")&amp;IF(AND(AA148&lt;&gt;"",OR(AA148&gt;1,AA148&lt;0)),"Incorrect scrap rate (High);",IF(AND(AA148&lt;&gt;"",AA148&gt;0.2),"High scrap rate (Medium);",IF(AND($A148&lt;&gt;"",AA148=0),"No scrap rate (No impact);","")))&amp;""</f>
        <v/>
      </c>
      <c r="AP148" s="9" t="n"/>
    </row>
    <row r="149">
      <c r="A149" s="3" t="n"/>
      <c r="B149" s="3" t="n"/>
      <c r="C149" s="3" t="n"/>
      <c r="D149" s="3" t="n"/>
      <c r="E149" s="3" t="n"/>
      <c r="F149" s="3" t="n"/>
      <c r="G149" s="4" t="n"/>
      <c r="H149" s="4" t="n"/>
      <c r="I149" s="3" t="inlineStr">
        <is>
          <t>kg</t>
        </is>
      </c>
      <c r="J149" s="4" t="n"/>
      <c r="K149" s="3" t="inlineStr">
        <is>
          <t>kg</t>
        </is>
      </c>
      <c r="L149" s="3" t="n"/>
      <c r="M149" s="5" t="n"/>
      <c r="N149" s="6" t="n"/>
      <c r="O149" s="3" t="inlineStr">
        <is>
          <t>kgCO2e/product</t>
        </is>
      </c>
      <c r="P149" s="7" t="n"/>
      <c r="Q149" s="4" t="n"/>
      <c r="R149" s="8" t="n"/>
      <c r="S149" s="3" t="inlineStr">
        <is>
          <t>Supplier</t>
        </is>
      </c>
      <c r="T149" s="3" t="inlineStr">
        <is>
          <t>No</t>
        </is>
      </c>
      <c r="U149" s="5" t="n"/>
      <c r="V149" s="3" t="n"/>
      <c r="W149" s="3" t="n"/>
      <c r="X149" s="6" t="n"/>
      <c r="Y149" s="3" t="inlineStr">
        <is>
          <t>kgCO2e/product</t>
        </is>
      </c>
      <c r="Z149" s="3" t="n"/>
      <c r="AA149" s="7" t="n"/>
      <c r="AB149" s="3" t="n"/>
      <c r="AC149" s="3" t="n"/>
      <c r="AD149" s="6" t="n"/>
      <c r="AE149" s="3" t="inlineStr">
        <is>
          <t>kgCO2e/product</t>
        </is>
      </c>
      <c r="AF149" s="3" t="n"/>
      <c r="AG149" s="7" t="n">
        <v>0</v>
      </c>
      <c r="AH149" s="3" t="n"/>
      <c r="AI149" s="3" t="n"/>
      <c r="AJ149" s="3" t="n"/>
      <c r="AK149" s="4">
        <f>IF(COUNT(AH149,AI149,AJ149)=0,"",ROUND(AVERAGE(AH149,AI149,AJ149),3))</f>
        <v/>
      </c>
      <c r="AL149" s="3">
        <f>IF(X149="","",ROUND(X149*IF(H149="",0,H149)*(1+IF(AA149="",0,AA149)),5))</f>
        <v/>
      </c>
      <c r="AM149" s="3" t="inlineStr">
        <is>
          <t>kgCO2e/product</t>
        </is>
      </c>
      <c r="AN149" s="5" t="n"/>
      <c r="AO149" s="9">
        <f>IF(AND($A149&lt;&gt;"",E149=""),"Supplier code empty (High);","")&amp;IF(AND(P149&lt;&gt;"",OR(P149&gt;1,P149&lt;0)),"Incorrect PDS value (High);",IF(AND(P149&lt;&gt;"",P149&gt;0.5),"High PDS value (Medium);",""))&amp;IF(AND(Q149&lt;&gt;"",OR(Q149&gt;5,Q149&lt;1)),"Incorrect DQR value (High);","")&amp;IF(AND(N149&lt;&gt;"",OR(N149&lt;=0,N149&gt;100)),"Unusual PCF value might be wrong (High);","")&amp;IF(AND(AG149&lt;&gt;"",OR(AG149&gt;1,AG149&lt;0)),"Incorrect PDS value (High);",IF(AND(AG149&lt;&gt;"",AG149&gt;0.5),"High PDS value (Medium);",""))&amp;IF(AND(AK149&lt;&gt;"",OR(AK149&gt;5,AK149&lt;1)),"Incorrect DQR value (High);","")&amp;IF(AND(AA149&lt;&gt;"",OR(AA149&gt;1,AA149&lt;0)),"Incorrect scrap rate (High);",IF(AND(AA149&lt;&gt;"",AA149&gt;0.2),"High scrap rate (Medium);",IF(AND($A149&lt;&gt;"",AA149=0),"No scrap rate (No impact);","")))&amp;""</f>
        <v/>
      </c>
      <c r="AP149" s="9" t="n"/>
    </row>
    <row r="150">
      <c r="A150" s="3" t="n"/>
      <c r="B150" s="3" t="n"/>
      <c r="C150" s="3" t="n"/>
      <c r="D150" s="3" t="n"/>
      <c r="E150" s="3" t="n"/>
      <c r="F150" s="3" t="n"/>
      <c r="G150" s="4" t="n"/>
      <c r="H150" s="4" t="n"/>
      <c r="I150" s="3" t="inlineStr">
        <is>
          <t>kg</t>
        </is>
      </c>
      <c r="J150" s="4" t="n"/>
      <c r="K150" s="3" t="inlineStr">
        <is>
          <t>kg</t>
        </is>
      </c>
      <c r="L150" s="3" t="n"/>
      <c r="M150" s="5" t="n"/>
      <c r="N150" s="6" t="n"/>
      <c r="O150" s="3" t="inlineStr">
        <is>
          <t>kgCO2e/product</t>
        </is>
      </c>
      <c r="P150" s="7" t="n"/>
      <c r="Q150" s="4" t="n"/>
      <c r="R150" s="8" t="n"/>
      <c r="S150" s="3" t="inlineStr">
        <is>
          <t>Supplier</t>
        </is>
      </c>
      <c r="T150" s="3" t="inlineStr">
        <is>
          <t>No</t>
        </is>
      </c>
      <c r="U150" s="5" t="n"/>
      <c r="V150" s="3" t="n"/>
      <c r="W150" s="3" t="n"/>
      <c r="X150" s="6" t="n"/>
      <c r="Y150" s="3" t="inlineStr">
        <is>
          <t>kgCO2e/product</t>
        </is>
      </c>
      <c r="Z150" s="3" t="n"/>
      <c r="AA150" s="7" t="n"/>
      <c r="AB150" s="3" t="n"/>
      <c r="AC150" s="3" t="n"/>
      <c r="AD150" s="6" t="n"/>
      <c r="AE150" s="3" t="inlineStr">
        <is>
          <t>kgCO2e/product</t>
        </is>
      </c>
      <c r="AF150" s="3" t="n"/>
      <c r="AG150" s="7" t="n">
        <v>0</v>
      </c>
      <c r="AH150" s="3" t="n"/>
      <c r="AI150" s="3" t="n"/>
      <c r="AJ150" s="3" t="n"/>
      <c r="AK150" s="4">
        <f>IF(COUNT(AH150,AI150,AJ150)=0,"",ROUND(AVERAGE(AH150,AI150,AJ150),3))</f>
        <v/>
      </c>
      <c r="AL150" s="3">
        <f>IF(X150="","",ROUND(X150*IF(H150="",0,H150)*(1+IF(AA150="",0,AA150)),5))</f>
        <v/>
      </c>
      <c r="AM150" s="3" t="inlineStr">
        <is>
          <t>kgCO2e/product</t>
        </is>
      </c>
      <c r="AN150" s="5" t="n"/>
      <c r="AO150" s="9">
        <f>IF(AND($A150&lt;&gt;"",E150=""),"Supplier code empty (High);","")&amp;IF(AND(P150&lt;&gt;"",OR(P150&gt;1,P150&lt;0)),"Incorrect PDS value (High);",IF(AND(P150&lt;&gt;"",P150&gt;0.5),"High PDS value (Medium);",""))&amp;IF(AND(Q150&lt;&gt;"",OR(Q150&gt;5,Q150&lt;1)),"Incorrect DQR value (High);","")&amp;IF(AND(N150&lt;&gt;"",OR(N150&lt;=0,N150&gt;100)),"Unusual PCF value might be wrong (High);","")&amp;IF(AND(AG150&lt;&gt;"",OR(AG150&gt;1,AG150&lt;0)),"Incorrect PDS value (High);",IF(AND(AG150&lt;&gt;"",AG150&gt;0.5),"High PDS value (Medium);",""))&amp;IF(AND(AK150&lt;&gt;"",OR(AK150&gt;5,AK150&lt;1)),"Incorrect DQR value (High);","")&amp;IF(AND(AA150&lt;&gt;"",OR(AA150&gt;1,AA150&lt;0)),"Incorrect scrap rate (High);",IF(AND(AA150&lt;&gt;"",AA150&gt;0.2),"High scrap rate (Medium);",IF(AND($A150&lt;&gt;"",AA150=0),"No scrap rate (No impact);","")))&amp;""</f>
        <v/>
      </c>
      <c r="AP150" s="9" t="n"/>
    </row>
    <row r="151">
      <c r="A151" s="3" t="n"/>
      <c r="B151" s="3" t="n"/>
      <c r="C151" s="3" t="n"/>
      <c r="D151" s="3" t="n"/>
      <c r="E151" s="3" t="n"/>
      <c r="F151" s="3" t="n"/>
      <c r="G151" s="4" t="n"/>
      <c r="H151" s="4" t="n"/>
      <c r="I151" s="3" t="inlineStr">
        <is>
          <t>kg</t>
        </is>
      </c>
      <c r="J151" s="4" t="n"/>
      <c r="K151" s="3" t="inlineStr">
        <is>
          <t>kg</t>
        </is>
      </c>
      <c r="L151" s="3" t="n"/>
      <c r="M151" s="5" t="n"/>
      <c r="N151" s="6" t="n"/>
      <c r="O151" s="3" t="inlineStr">
        <is>
          <t>kgCO2e/product</t>
        </is>
      </c>
      <c r="P151" s="7" t="n"/>
      <c r="Q151" s="4" t="n"/>
      <c r="R151" s="8" t="n"/>
      <c r="S151" s="3" t="inlineStr">
        <is>
          <t>Supplier</t>
        </is>
      </c>
      <c r="T151" s="3" t="inlineStr">
        <is>
          <t>No</t>
        </is>
      </c>
      <c r="U151" s="5" t="n"/>
      <c r="V151" s="3" t="n"/>
      <c r="W151" s="3" t="n"/>
      <c r="X151" s="6" t="n"/>
      <c r="Y151" s="3" t="inlineStr">
        <is>
          <t>kgCO2e/product</t>
        </is>
      </c>
      <c r="Z151" s="3" t="n"/>
      <c r="AA151" s="7" t="n"/>
      <c r="AB151" s="3" t="n"/>
      <c r="AC151" s="3" t="n"/>
      <c r="AD151" s="6" t="n"/>
      <c r="AE151" s="3" t="inlineStr">
        <is>
          <t>kgCO2e/product</t>
        </is>
      </c>
      <c r="AF151" s="3" t="n"/>
      <c r="AG151" s="7" t="n">
        <v>0</v>
      </c>
      <c r="AH151" s="3" t="n"/>
      <c r="AI151" s="3" t="n"/>
      <c r="AJ151" s="3" t="n"/>
      <c r="AK151" s="4">
        <f>IF(COUNT(AH151,AI151,AJ151)=0,"",ROUND(AVERAGE(AH151,AI151,AJ151),3))</f>
        <v/>
      </c>
      <c r="AL151" s="3">
        <f>IF(X151="","",ROUND(X151*IF(H151="",0,H151)*(1+IF(AA151="",0,AA151)),5))</f>
        <v/>
      </c>
      <c r="AM151" s="3" t="inlineStr">
        <is>
          <t>kgCO2e/product</t>
        </is>
      </c>
      <c r="AN151" s="5" t="n"/>
      <c r="AO151" s="9">
        <f>IF(AND($A151&lt;&gt;"",E151=""),"Supplier code empty (High);","")&amp;IF(AND(P151&lt;&gt;"",OR(P151&gt;1,P151&lt;0)),"Incorrect PDS value (High);",IF(AND(P151&lt;&gt;"",P151&gt;0.5),"High PDS value (Medium);",""))&amp;IF(AND(Q151&lt;&gt;"",OR(Q151&gt;5,Q151&lt;1)),"Incorrect DQR value (High);","")&amp;IF(AND(N151&lt;&gt;"",OR(N151&lt;=0,N151&gt;100)),"Unusual PCF value might be wrong (High);","")&amp;IF(AND(AG151&lt;&gt;"",OR(AG151&gt;1,AG151&lt;0)),"Incorrect PDS value (High);",IF(AND(AG151&lt;&gt;"",AG151&gt;0.5),"High PDS value (Medium);",""))&amp;IF(AND(AK151&lt;&gt;"",OR(AK151&gt;5,AK151&lt;1)),"Incorrect DQR value (High);","")&amp;IF(AND(AA151&lt;&gt;"",OR(AA151&gt;1,AA151&lt;0)),"Incorrect scrap rate (High);",IF(AND(AA151&lt;&gt;"",AA151&gt;0.2),"High scrap rate (Medium);",IF(AND($A151&lt;&gt;"",AA151=0),"No scrap rate (No impact);","")))&amp;""</f>
        <v/>
      </c>
      <c r="AP151" s="9" t="n"/>
    </row>
    <row r="152">
      <c r="A152" s="3" t="n"/>
      <c r="B152" s="3" t="n"/>
      <c r="C152" s="3" t="n"/>
      <c r="D152" s="3" t="n"/>
      <c r="E152" s="3" t="n"/>
      <c r="F152" s="3" t="n"/>
      <c r="G152" s="4" t="n"/>
      <c r="H152" s="4" t="n"/>
      <c r="I152" s="3" t="inlineStr">
        <is>
          <t>kg</t>
        </is>
      </c>
      <c r="J152" s="4" t="n"/>
      <c r="K152" s="3" t="inlineStr">
        <is>
          <t>kg</t>
        </is>
      </c>
      <c r="L152" s="3" t="n"/>
      <c r="M152" s="5" t="n"/>
      <c r="N152" s="6" t="n"/>
      <c r="O152" s="3" t="inlineStr">
        <is>
          <t>kgCO2e/product</t>
        </is>
      </c>
      <c r="P152" s="7" t="n"/>
      <c r="Q152" s="4" t="n"/>
      <c r="R152" s="8" t="n"/>
      <c r="S152" s="3" t="inlineStr">
        <is>
          <t>Supplier</t>
        </is>
      </c>
      <c r="T152" s="3" t="inlineStr">
        <is>
          <t>No</t>
        </is>
      </c>
      <c r="U152" s="5" t="n"/>
      <c r="V152" s="3" t="n"/>
      <c r="W152" s="3" t="n"/>
      <c r="X152" s="6" t="n"/>
      <c r="Y152" s="3" t="inlineStr">
        <is>
          <t>kgCO2e/product</t>
        </is>
      </c>
      <c r="Z152" s="3" t="n"/>
      <c r="AA152" s="7" t="n"/>
      <c r="AB152" s="3" t="n"/>
      <c r="AC152" s="3" t="n"/>
      <c r="AD152" s="6" t="n"/>
      <c r="AE152" s="3" t="inlineStr">
        <is>
          <t>kgCO2e/product</t>
        </is>
      </c>
      <c r="AF152" s="3" t="n"/>
      <c r="AG152" s="7" t="n">
        <v>0</v>
      </c>
      <c r="AH152" s="3" t="n"/>
      <c r="AI152" s="3" t="n"/>
      <c r="AJ152" s="3" t="n"/>
      <c r="AK152" s="4">
        <f>IF(COUNT(AH152,AI152,AJ152)=0,"",ROUND(AVERAGE(AH152,AI152,AJ152),3))</f>
        <v/>
      </c>
      <c r="AL152" s="3">
        <f>IF(X152="","",ROUND(X152*IF(H152="",0,H152)*(1+IF(AA152="",0,AA152)),5))</f>
        <v/>
      </c>
      <c r="AM152" s="3" t="inlineStr">
        <is>
          <t>kgCO2e/product</t>
        </is>
      </c>
      <c r="AN152" s="5" t="n"/>
      <c r="AO152" s="9">
        <f>IF(AND($A152&lt;&gt;"",E152=""),"Supplier code empty (High);","")&amp;IF(AND(P152&lt;&gt;"",OR(P152&gt;1,P152&lt;0)),"Incorrect PDS value (High);",IF(AND(P152&lt;&gt;"",P152&gt;0.5),"High PDS value (Medium);",""))&amp;IF(AND(Q152&lt;&gt;"",OR(Q152&gt;5,Q152&lt;1)),"Incorrect DQR value (High);","")&amp;IF(AND(N152&lt;&gt;"",OR(N152&lt;=0,N152&gt;100)),"Unusual PCF value might be wrong (High);","")&amp;IF(AND(AG152&lt;&gt;"",OR(AG152&gt;1,AG152&lt;0)),"Incorrect PDS value (High);",IF(AND(AG152&lt;&gt;"",AG152&gt;0.5),"High PDS value (Medium);",""))&amp;IF(AND(AK152&lt;&gt;"",OR(AK152&gt;5,AK152&lt;1)),"Incorrect DQR value (High);","")&amp;IF(AND(AA152&lt;&gt;"",OR(AA152&gt;1,AA152&lt;0)),"Incorrect scrap rate (High);",IF(AND(AA152&lt;&gt;"",AA152&gt;0.2),"High scrap rate (Medium);",IF(AND($A152&lt;&gt;"",AA152=0),"No scrap rate (No impact);","")))&amp;""</f>
        <v/>
      </c>
      <c r="AP152" s="9" t="n"/>
    </row>
    <row r="153">
      <c r="A153" s="3" t="n"/>
      <c r="B153" s="3" t="n"/>
      <c r="C153" s="3" t="n"/>
      <c r="D153" s="3" t="n"/>
      <c r="E153" s="3" t="n"/>
      <c r="F153" s="3" t="n"/>
      <c r="G153" s="4" t="n"/>
      <c r="H153" s="4" t="n"/>
      <c r="I153" s="3" t="inlineStr">
        <is>
          <t>kg</t>
        </is>
      </c>
      <c r="J153" s="4" t="n"/>
      <c r="K153" s="3" t="inlineStr">
        <is>
          <t>kg</t>
        </is>
      </c>
      <c r="L153" s="3" t="n"/>
      <c r="M153" s="5" t="n"/>
      <c r="N153" s="6" t="n"/>
      <c r="O153" s="3" t="inlineStr">
        <is>
          <t>kgCO2e/product</t>
        </is>
      </c>
      <c r="P153" s="7" t="n"/>
      <c r="Q153" s="4" t="n"/>
      <c r="R153" s="8" t="n"/>
      <c r="S153" s="3" t="inlineStr">
        <is>
          <t>Supplier</t>
        </is>
      </c>
      <c r="T153" s="3" t="inlineStr">
        <is>
          <t>No</t>
        </is>
      </c>
      <c r="U153" s="5" t="n"/>
      <c r="V153" s="3" t="n"/>
      <c r="W153" s="3" t="n"/>
      <c r="X153" s="6" t="n"/>
      <c r="Y153" s="3" t="inlineStr">
        <is>
          <t>kgCO2e/product</t>
        </is>
      </c>
      <c r="Z153" s="3" t="n"/>
      <c r="AA153" s="7" t="n"/>
      <c r="AB153" s="3" t="n"/>
      <c r="AC153" s="3" t="n"/>
      <c r="AD153" s="6" t="n"/>
      <c r="AE153" s="3" t="inlineStr">
        <is>
          <t>kgCO2e/product</t>
        </is>
      </c>
      <c r="AF153" s="3" t="n"/>
      <c r="AG153" s="7" t="n">
        <v>0</v>
      </c>
      <c r="AH153" s="3" t="n"/>
      <c r="AI153" s="3" t="n"/>
      <c r="AJ153" s="3" t="n"/>
      <c r="AK153" s="4">
        <f>IF(COUNT(AH153,AI153,AJ153)=0,"",ROUND(AVERAGE(AH153,AI153,AJ153),3))</f>
        <v/>
      </c>
      <c r="AL153" s="3">
        <f>IF(X153="","",ROUND(X153*IF(H153="",0,H153)*(1+IF(AA153="",0,AA153)),5))</f>
        <v/>
      </c>
      <c r="AM153" s="3" t="inlineStr">
        <is>
          <t>kgCO2e/product</t>
        </is>
      </c>
      <c r="AN153" s="5" t="n"/>
      <c r="AO153" s="9">
        <f>IF(AND($A153&lt;&gt;"",E153=""),"Supplier code empty (High);","")&amp;IF(AND(P153&lt;&gt;"",OR(P153&gt;1,P153&lt;0)),"Incorrect PDS value (High);",IF(AND(P153&lt;&gt;"",P153&gt;0.5),"High PDS value (Medium);",""))&amp;IF(AND(Q153&lt;&gt;"",OR(Q153&gt;5,Q153&lt;1)),"Incorrect DQR value (High);","")&amp;IF(AND(N153&lt;&gt;"",OR(N153&lt;=0,N153&gt;100)),"Unusual PCF value might be wrong (High);","")&amp;IF(AND(AG153&lt;&gt;"",OR(AG153&gt;1,AG153&lt;0)),"Incorrect PDS value (High);",IF(AND(AG153&lt;&gt;"",AG153&gt;0.5),"High PDS value (Medium);",""))&amp;IF(AND(AK153&lt;&gt;"",OR(AK153&gt;5,AK153&lt;1)),"Incorrect DQR value (High);","")&amp;IF(AND(AA153&lt;&gt;"",OR(AA153&gt;1,AA153&lt;0)),"Incorrect scrap rate (High);",IF(AND(AA153&lt;&gt;"",AA153&gt;0.2),"High scrap rate (Medium);",IF(AND($A153&lt;&gt;"",AA153=0),"No scrap rate (No impact);","")))&amp;""</f>
        <v/>
      </c>
      <c r="AP153" s="9" t="n"/>
    </row>
    <row r="154">
      <c r="A154" s="3" t="n"/>
      <c r="B154" s="3" t="n"/>
      <c r="C154" s="3" t="n"/>
      <c r="D154" s="3" t="n"/>
      <c r="E154" s="3" t="n"/>
      <c r="F154" s="3" t="n"/>
      <c r="G154" s="4" t="n"/>
      <c r="H154" s="4" t="n"/>
      <c r="I154" s="3" t="inlineStr">
        <is>
          <t>kg</t>
        </is>
      </c>
      <c r="J154" s="4" t="n"/>
      <c r="K154" s="3" t="inlineStr">
        <is>
          <t>kg</t>
        </is>
      </c>
      <c r="L154" s="3" t="n"/>
      <c r="M154" s="5" t="n"/>
      <c r="N154" s="6" t="n"/>
      <c r="O154" s="3" t="inlineStr">
        <is>
          <t>kgCO2e/product</t>
        </is>
      </c>
      <c r="P154" s="7" t="n"/>
      <c r="Q154" s="4" t="n"/>
      <c r="R154" s="8" t="n"/>
      <c r="S154" s="3" t="inlineStr">
        <is>
          <t>Supplier</t>
        </is>
      </c>
      <c r="T154" s="3" t="inlineStr">
        <is>
          <t>No</t>
        </is>
      </c>
      <c r="U154" s="5" t="n"/>
      <c r="V154" s="3" t="n"/>
      <c r="W154" s="3" t="n"/>
      <c r="X154" s="6" t="n"/>
      <c r="Y154" s="3" t="inlineStr">
        <is>
          <t>kgCO2e/product</t>
        </is>
      </c>
      <c r="Z154" s="3" t="n"/>
      <c r="AA154" s="7" t="n"/>
      <c r="AB154" s="3" t="n"/>
      <c r="AC154" s="3" t="n"/>
      <c r="AD154" s="6" t="n"/>
      <c r="AE154" s="3" t="inlineStr">
        <is>
          <t>kgCO2e/product</t>
        </is>
      </c>
      <c r="AF154" s="3" t="n"/>
      <c r="AG154" s="7" t="n">
        <v>0</v>
      </c>
      <c r="AH154" s="3" t="n"/>
      <c r="AI154" s="3" t="n"/>
      <c r="AJ154" s="3" t="n"/>
      <c r="AK154" s="4">
        <f>IF(COUNT(AH154,AI154,AJ154)=0,"",ROUND(AVERAGE(AH154,AI154,AJ154),3))</f>
        <v/>
      </c>
      <c r="AL154" s="3">
        <f>IF(X154="","",ROUND(X154*IF(H154="",0,H154)*(1+IF(AA154="",0,AA154)),5))</f>
        <v/>
      </c>
      <c r="AM154" s="3" t="inlineStr">
        <is>
          <t>kgCO2e/product</t>
        </is>
      </c>
      <c r="AN154" s="5" t="n"/>
      <c r="AO154" s="9">
        <f>IF(AND($A154&lt;&gt;"",E154=""),"Supplier code empty (High);","")&amp;IF(AND(P154&lt;&gt;"",OR(P154&gt;1,P154&lt;0)),"Incorrect PDS value (High);",IF(AND(P154&lt;&gt;"",P154&gt;0.5),"High PDS value (Medium);",""))&amp;IF(AND(Q154&lt;&gt;"",OR(Q154&gt;5,Q154&lt;1)),"Incorrect DQR value (High);","")&amp;IF(AND(N154&lt;&gt;"",OR(N154&lt;=0,N154&gt;100)),"Unusual PCF value might be wrong (High);","")&amp;IF(AND(AG154&lt;&gt;"",OR(AG154&gt;1,AG154&lt;0)),"Incorrect PDS value (High);",IF(AND(AG154&lt;&gt;"",AG154&gt;0.5),"High PDS value (Medium);",""))&amp;IF(AND(AK154&lt;&gt;"",OR(AK154&gt;5,AK154&lt;1)),"Incorrect DQR value (High);","")&amp;IF(AND(AA154&lt;&gt;"",OR(AA154&gt;1,AA154&lt;0)),"Incorrect scrap rate (High);",IF(AND(AA154&lt;&gt;"",AA154&gt;0.2),"High scrap rate (Medium);",IF(AND($A154&lt;&gt;"",AA154=0),"No scrap rate (No impact);","")))&amp;""</f>
        <v/>
      </c>
      <c r="AP154" s="9" t="n"/>
    </row>
    <row r="155">
      <c r="A155" s="3" t="n"/>
      <c r="B155" s="3" t="n"/>
      <c r="C155" s="3" t="n"/>
      <c r="D155" s="3" t="n"/>
      <c r="E155" s="3" t="n"/>
      <c r="F155" s="3" t="n"/>
      <c r="G155" s="4" t="n"/>
      <c r="H155" s="4" t="n"/>
      <c r="I155" s="3" t="inlineStr">
        <is>
          <t>kg</t>
        </is>
      </c>
      <c r="J155" s="4" t="n"/>
      <c r="K155" s="3" t="inlineStr">
        <is>
          <t>kg</t>
        </is>
      </c>
      <c r="L155" s="3" t="n"/>
      <c r="M155" s="5" t="n"/>
      <c r="N155" s="6" t="n"/>
      <c r="O155" s="3" t="inlineStr">
        <is>
          <t>kgCO2e/product</t>
        </is>
      </c>
      <c r="P155" s="7" t="n"/>
      <c r="Q155" s="4" t="n"/>
      <c r="R155" s="8" t="n"/>
      <c r="S155" s="3" t="inlineStr">
        <is>
          <t>Supplier</t>
        </is>
      </c>
      <c r="T155" s="3" t="inlineStr">
        <is>
          <t>No</t>
        </is>
      </c>
      <c r="U155" s="5" t="n"/>
      <c r="V155" s="3" t="n"/>
      <c r="W155" s="3" t="n"/>
      <c r="X155" s="6" t="n"/>
      <c r="Y155" s="3" t="inlineStr">
        <is>
          <t>kgCO2e/product</t>
        </is>
      </c>
      <c r="Z155" s="3" t="n"/>
      <c r="AA155" s="7" t="n"/>
      <c r="AB155" s="3" t="n"/>
      <c r="AC155" s="3" t="n"/>
      <c r="AD155" s="6" t="n"/>
      <c r="AE155" s="3" t="inlineStr">
        <is>
          <t>kgCO2e/product</t>
        </is>
      </c>
      <c r="AF155" s="3" t="n"/>
      <c r="AG155" s="7" t="n">
        <v>0</v>
      </c>
      <c r="AH155" s="3" t="n"/>
      <c r="AI155" s="3" t="n"/>
      <c r="AJ155" s="3" t="n"/>
      <c r="AK155" s="4">
        <f>IF(COUNT(AH155,AI155,AJ155)=0,"",ROUND(AVERAGE(AH155,AI155,AJ155),3))</f>
        <v/>
      </c>
      <c r="AL155" s="3">
        <f>IF(X155="","",ROUND(X155*IF(H155="",0,H155)*(1+IF(AA155="",0,AA155)),5))</f>
        <v/>
      </c>
      <c r="AM155" s="3" t="inlineStr">
        <is>
          <t>kgCO2e/product</t>
        </is>
      </c>
      <c r="AN155" s="5" t="n"/>
      <c r="AO155" s="9">
        <f>IF(AND($A155&lt;&gt;"",E155=""),"Supplier code empty (High);","")&amp;IF(AND(P155&lt;&gt;"",OR(P155&gt;1,P155&lt;0)),"Incorrect PDS value (High);",IF(AND(P155&lt;&gt;"",P155&gt;0.5),"High PDS value (Medium);",""))&amp;IF(AND(Q155&lt;&gt;"",OR(Q155&gt;5,Q155&lt;1)),"Incorrect DQR value (High);","")&amp;IF(AND(N155&lt;&gt;"",OR(N155&lt;=0,N155&gt;100)),"Unusual PCF value might be wrong (High);","")&amp;IF(AND(AG155&lt;&gt;"",OR(AG155&gt;1,AG155&lt;0)),"Incorrect PDS value (High);",IF(AND(AG155&lt;&gt;"",AG155&gt;0.5),"High PDS value (Medium);",""))&amp;IF(AND(AK155&lt;&gt;"",OR(AK155&gt;5,AK155&lt;1)),"Incorrect DQR value (High);","")&amp;IF(AND(AA155&lt;&gt;"",OR(AA155&gt;1,AA155&lt;0)),"Incorrect scrap rate (High);",IF(AND(AA155&lt;&gt;"",AA155&gt;0.2),"High scrap rate (Medium);",IF(AND($A155&lt;&gt;"",AA155=0),"No scrap rate (No impact);","")))&amp;""</f>
        <v/>
      </c>
      <c r="AP155" s="9" t="n"/>
    </row>
    <row r="156">
      <c r="A156" s="3" t="n"/>
      <c r="B156" s="3" t="n"/>
      <c r="C156" s="3" t="n"/>
      <c r="D156" s="3" t="n"/>
      <c r="E156" s="3" t="n"/>
      <c r="F156" s="3" t="n"/>
      <c r="G156" s="4" t="n"/>
      <c r="H156" s="4" t="n"/>
      <c r="I156" s="3" t="inlineStr">
        <is>
          <t>kg</t>
        </is>
      </c>
      <c r="J156" s="4" t="n"/>
      <c r="K156" s="3" t="inlineStr">
        <is>
          <t>kg</t>
        </is>
      </c>
      <c r="L156" s="3" t="n"/>
      <c r="M156" s="5" t="n"/>
      <c r="N156" s="6" t="n"/>
      <c r="O156" s="3" t="inlineStr">
        <is>
          <t>kgCO2e/product</t>
        </is>
      </c>
      <c r="P156" s="7" t="n"/>
      <c r="Q156" s="4" t="n"/>
      <c r="R156" s="8" t="n"/>
      <c r="S156" s="3" t="inlineStr">
        <is>
          <t>Supplier</t>
        </is>
      </c>
      <c r="T156" s="3" t="inlineStr">
        <is>
          <t>No</t>
        </is>
      </c>
      <c r="U156" s="5" t="n"/>
      <c r="V156" s="3" t="n"/>
      <c r="W156" s="3" t="n"/>
      <c r="X156" s="6" t="n"/>
      <c r="Y156" s="3" t="inlineStr">
        <is>
          <t>kgCO2e/product</t>
        </is>
      </c>
      <c r="Z156" s="3" t="n"/>
      <c r="AA156" s="7" t="n"/>
      <c r="AB156" s="3" t="n"/>
      <c r="AC156" s="3" t="n"/>
      <c r="AD156" s="6" t="n"/>
      <c r="AE156" s="3" t="inlineStr">
        <is>
          <t>kgCO2e/product</t>
        </is>
      </c>
      <c r="AF156" s="3" t="n"/>
      <c r="AG156" s="7" t="n">
        <v>0</v>
      </c>
      <c r="AH156" s="3" t="n"/>
      <c r="AI156" s="3" t="n"/>
      <c r="AJ156" s="3" t="n"/>
      <c r="AK156" s="4">
        <f>IF(COUNT(AH156,AI156,AJ156)=0,"",ROUND(AVERAGE(AH156,AI156,AJ156),3))</f>
        <v/>
      </c>
      <c r="AL156" s="3">
        <f>IF(X156="","",ROUND(X156*IF(H156="",0,H156)*(1+IF(AA156="",0,AA156)),5))</f>
        <v/>
      </c>
      <c r="AM156" s="3" t="inlineStr">
        <is>
          <t>kgCO2e/product</t>
        </is>
      </c>
      <c r="AN156" s="5" t="n"/>
      <c r="AO156" s="9">
        <f>IF(AND($A156&lt;&gt;"",E156=""),"Supplier code empty (High);","")&amp;IF(AND(P156&lt;&gt;"",OR(P156&gt;1,P156&lt;0)),"Incorrect PDS value (High);",IF(AND(P156&lt;&gt;"",P156&gt;0.5),"High PDS value (Medium);",""))&amp;IF(AND(Q156&lt;&gt;"",OR(Q156&gt;5,Q156&lt;1)),"Incorrect DQR value (High);","")&amp;IF(AND(N156&lt;&gt;"",OR(N156&lt;=0,N156&gt;100)),"Unusual PCF value might be wrong (High);","")&amp;IF(AND(AG156&lt;&gt;"",OR(AG156&gt;1,AG156&lt;0)),"Incorrect PDS value (High);",IF(AND(AG156&lt;&gt;"",AG156&gt;0.5),"High PDS value (Medium);",""))&amp;IF(AND(AK156&lt;&gt;"",OR(AK156&gt;5,AK156&lt;1)),"Incorrect DQR value (High);","")&amp;IF(AND(AA156&lt;&gt;"",OR(AA156&gt;1,AA156&lt;0)),"Incorrect scrap rate (High);",IF(AND(AA156&lt;&gt;"",AA156&gt;0.2),"High scrap rate (Medium);",IF(AND($A156&lt;&gt;"",AA156=0),"No scrap rate (No impact);","")))&amp;""</f>
        <v/>
      </c>
      <c r="AP156" s="9" t="n"/>
    </row>
    <row r="157">
      <c r="A157" s="3" t="n"/>
      <c r="B157" s="3" t="n"/>
      <c r="C157" s="3" t="n"/>
      <c r="D157" s="3" t="n"/>
      <c r="E157" s="3" t="n"/>
      <c r="F157" s="3" t="n"/>
      <c r="G157" s="4" t="n"/>
      <c r="H157" s="4" t="n"/>
      <c r="I157" s="3" t="inlineStr">
        <is>
          <t>kg</t>
        </is>
      </c>
      <c r="J157" s="4" t="n"/>
      <c r="K157" s="3" t="inlineStr">
        <is>
          <t>kg</t>
        </is>
      </c>
      <c r="L157" s="3" t="n"/>
      <c r="M157" s="5" t="n"/>
      <c r="N157" s="6" t="n"/>
      <c r="O157" s="3" t="inlineStr">
        <is>
          <t>kgCO2e/product</t>
        </is>
      </c>
      <c r="P157" s="7" t="n"/>
      <c r="Q157" s="4" t="n"/>
      <c r="R157" s="8" t="n"/>
      <c r="S157" s="3" t="inlineStr">
        <is>
          <t>Supplier</t>
        </is>
      </c>
      <c r="T157" s="3" t="inlineStr">
        <is>
          <t>No</t>
        </is>
      </c>
      <c r="U157" s="5" t="n"/>
      <c r="V157" s="3" t="n"/>
      <c r="W157" s="3" t="n"/>
      <c r="X157" s="6" t="n"/>
      <c r="Y157" s="3" t="inlineStr">
        <is>
          <t>kgCO2e/product</t>
        </is>
      </c>
      <c r="Z157" s="3" t="n"/>
      <c r="AA157" s="7" t="n"/>
      <c r="AB157" s="3" t="n"/>
      <c r="AC157" s="3" t="n"/>
      <c r="AD157" s="6" t="n"/>
      <c r="AE157" s="3" t="inlineStr">
        <is>
          <t>kgCO2e/product</t>
        </is>
      </c>
      <c r="AF157" s="3" t="n"/>
      <c r="AG157" s="7" t="n">
        <v>0</v>
      </c>
      <c r="AH157" s="3" t="n"/>
      <c r="AI157" s="3" t="n"/>
      <c r="AJ157" s="3" t="n"/>
      <c r="AK157" s="4">
        <f>IF(COUNT(AH157,AI157,AJ157)=0,"",ROUND(AVERAGE(AH157,AI157,AJ157),3))</f>
        <v/>
      </c>
      <c r="AL157" s="3">
        <f>IF(X157="","",ROUND(X157*IF(H157="",0,H157)*(1+IF(AA157="",0,AA157)),5))</f>
        <v/>
      </c>
      <c r="AM157" s="3" t="inlineStr">
        <is>
          <t>kgCO2e/product</t>
        </is>
      </c>
      <c r="AN157" s="5" t="n"/>
      <c r="AO157" s="9">
        <f>IF(AND($A157&lt;&gt;"",E157=""),"Supplier code empty (High);","")&amp;IF(AND(P157&lt;&gt;"",OR(P157&gt;1,P157&lt;0)),"Incorrect PDS value (High);",IF(AND(P157&lt;&gt;"",P157&gt;0.5),"High PDS value (Medium);",""))&amp;IF(AND(Q157&lt;&gt;"",OR(Q157&gt;5,Q157&lt;1)),"Incorrect DQR value (High);","")&amp;IF(AND(N157&lt;&gt;"",OR(N157&lt;=0,N157&gt;100)),"Unusual PCF value might be wrong (High);","")&amp;IF(AND(AG157&lt;&gt;"",OR(AG157&gt;1,AG157&lt;0)),"Incorrect PDS value (High);",IF(AND(AG157&lt;&gt;"",AG157&gt;0.5),"High PDS value (Medium);",""))&amp;IF(AND(AK157&lt;&gt;"",OR(AK157&gt;5,AK157&lt;1)),"Incorrect DQR value (High);","")&amp;IF(AND(AA157&lt;&gt;"",OR(AA157&gt;1,AA157&lt;0)),"Incorrect scrap rate (High);",IF(AND(AA157&lt;&gt;"",AA157&gt;0.2),"High scrap rate (Medium);",IF(AND($A157&lt;&gt;"",AA157=0),"No scrap rate (No impact);","")))&amp;""</f>
        <v/>
      </c>
      <c r="AP157" s="9" t="n"/>
    </row>
    <row r="158">
      <c r="A158" s="3" t="n"/>
      <c r="B158" s="3" t="n"/>
      <c r="C158" s="3" t="n"/>
      <c r="D158" s="3" t="n"/>
      <c r="E158" s="3" t="n"/>
      <c r="F158" s="3" t="n"/>
      <c r="G158" s="4" t="n"/>
      <c r="H158" s="4" t="n"/>
      <c r="I158" s="3" t="inlineStr">
        <is>
          <t>kg</t>
        </is>
      </c>
      <c r="J158" s="4" t="n"/>
      <c r="K158" s="3" t="inlineStr">
        <is>
          <t>kg</t>
        </is>
      </c>
      <c r="L158" s="3" t="n"/>
      <c r="M158" s="5" t="n"/>
      <c r="N158" s="6" t="n"/>
      <c r="O158" s="3" t="inlineStr">
        <is>
          <t>kgCO2e/product</t>
        </is>
      </c>
      <c r="P158" s="7" t="n"/>
      <c r="Q158" s="4" t="n"/>
      <c r="R158" s="8" t="n"/>
      <c r="S158" s="3" t="inlineStr">
        <is>
          <t>Supplier</t>
        </is>
      </c>
      <c r="T158" s="3" t="inlineStr">
        <is>
          <t>No</t>
        </is>
      </c>
      <c r="U158" s="5" t="n"/>
      <c r="V158" s="3" t="n"/>
      <c r="W158" s="3" t="n"/>
      <c r="X158" s="6" t="n"/>
      <c r="Y158" s="3" t="inlineStr">
        <is>
          <t>kgCO2e/product</t>
        </is>
      </c>
      <c r="Z158" s="3" t="n"/>
      <c r="AA158" s="7" t="n"/>
      <c r="AB158" s="3" t="n"/>
      <c r="AC158" s="3" t="n"/>
      <c r="AD158" s="6" t="n"/>
      <c r="AE158" s="3" t="inlineStr">
        <is>
          <t>kgCO2e/product</t>
        </is>
      </c>
      <c r="AF158" s="3" t="n"/>
      <c r="AG158" s="7" t="n">
        <v>0</v>
      </c>
      <c r="AH158" s="3" t="n"/>
      <c r="AI158" s="3" t="n"/>
      <c r="AJ158" s="3" t="n"/>
      <c r="AK158" s="4">
        <f>IF(COUNT(AH158,AI158,AJ158)=0,"",ROUND(AVERAGE(AH158,AI158,AJ158),3))</f>
        <v/>
      </c>
      <c r="AL158" s="3">
        <f>IF(X158="","",ROUND(X158*IF(H158="",0,H158)*(1+IF(AA158="",0,AA158)),5))</f>
        <v/>
      </c>
      <c r="AM158" s="3" t="inlineStr">
        <is>
          <t>kgCO2e/product</t>
        </is>
      </c>
      <c r="AN158" s="5" t="n"/>
      <c r="AO158" s="9">
        <f>IF(AND($A158&lt;&gt;"",E158=""),"Supplier code empty (High);","")&amp;IF(AND(P158&lt;&gt;"",OR(P158&gt;1,P158&lt;0)),"Incorrect PDS value (High);",IF(AND(P158&lt;&gt;"",P158&gt;0.5),"High PDS value (Medium);",""))&amp;IF(AND(Q158&lt;&gt;"",OR(Q158&gt;5,Q158&lt;1)),"Incorrect DQR value (High);","")&amp;IF(AND(N158&lt;&gt;"",OR(N158&lt;=0,N158&gt;100)),"Unusual PCF value might be wrong (High);","")&amp;IF(AND(AG158&lt;&gt;"",OR(AG158&gt;1,AG158&lt;0)),"Incorrect PDS value (High);",IF(AND(AG158&lt;&gt;"",AG158&gt;0.5),"High PDS value (Medium);",""))&amp;IF(AND(AK158&lt;&gt;"",OR(AK158&gt;5,AK158&lt;1)),"Incorrect DQR value (High);","")&amp;IF(AND(AA158&lt;&gt;"",OR(AA158&gt;1,AA158&lt;0)),"Incorrect scrap rate (High);",IF(AND(AA158&lt;&gt;"",AA158&gt;0.2),"High scrap rate (Medium);",IF(AND($A158&lt;&gt;"",AA158=0),"No scrap rate (No impact);","")))&amp;""</f>
        <v/>
      </c>
      <c r="AP158" s="9" t="n"/>
    </row>
    <row r="159">
      <c r="A159" s="3" t="n"/>
      <c r="B159" s="3" t="n"/>
      <c r="C159" s="3" t="n"/>
      <c r="D159" s="3" t="n"/>
      <c r="E159" s="3" t="n"/>
      <c r="F159" s="3" t="n"/>
      <c r="G159" s="4" t="n"/>
      <c r="H159" s="4" t="n"/>
      <c r="I159" s="3" t="inlineStr">
        <is>
          <t>kg</t>
        </is>
      </c>
      <c r="J159" s="4" t="n"/>
      <c r="K159" s="3" t="inlineStr">
        <is>
          <t>kg</t>
        </is>
      </c>
      <c r="L159" s="3" t="n"/>
      <c r="M159" s="5" t="n"/>
      <c r="N159" s="6" t="n"/>
      <c r="O159" s="3" t="inlineStr">
        <is>
          <t>kgCO2e/product</t>
        </is>
      </c>
      <c r="P159" s="7" t="n"/>
      <c r="Q159" s="4" t="n"/>
      <c r="R159" s="8" t="n"/>
      <c r="S159" s="3" t="inlineStr">
        <is>
          <t>Supplier</t>
        </is>
      </c>
      <c r="T159" s="3" t="inlineStr">
        <is>
          <t>No</t>
        </is>
      </c>
      <c r="U159" s="5" t="n"/>
      <c r="V159" s="3" t="n"/>
      <c r="W159" s="3" t="n"/>
      <c r="X159" s="6" t="n"/>
      <c r="Y159" s="3" t="inlineStr">
        <is>
          <t>kgCO2e/product</t>
        </is>
      </c>
      <c r="Z159" s="3" t="n"/>
      <c r="AA159" s="7" t="n"/>
      <c r="AB159" s="3" t="n"/>
      <c r="AC159" s="3" t="n"/>
      <c r="AD159" s="6" t="n"/>
      <c r="AE159" s="3" t="inlineStr">
        <is>
          <t>kgCO2e/product</t>
        </is>
      </c>
      <c r="AF159" s="3" t="n"/>
      <c r="AG159" s="7" t="n">
        <v>0</v>
      </c>
      <c r="AH159" s="3" t="n"/>
      <c r="AI159" s="3" t="n"/>
      <c r="AJ159" s="3" t="n"/>
      <c r="AK159" s="4">
        <f>IF(COUNT(AH159,AI159,AJ159)=0,"",ROUND(AVERAGE(AH159,AI159,AJ159),3))</f>
        <v/>
      </c>
      <c r="AL159" s="3">
        <f>IF(X159="","",ROUND(X159*IF(H159="",0,H159)*(1+IF(AA159="",0,AA159)),5))</f>
        <v/>
      </c>
      <c r="AM159" s="3" t="inlineStr">
        <is>
          <t>kgCO2e/product</t>
        </is>
      </c>
      <c r="AN159" s="5" t="n"/>
      <c r="AO159" s="9">
        <f>IF(AND($A159&lt;&gt;"",E159=""),"Supplier code empty (High);","")&amp;IF(AND(P159&lt;&gt;"",OR(P159&gt;1,P159&lt;0)),"Incorrect PDS value (High);",IF(AND(P159&lt;&gt;"",P159&gt;0.5),"High PDS value (Medium);",""))&amp;IF(AND(Q159&lt;&gt;"",OR(Q159&gt;5,Q159&lt;1)),"Incorrect DQR value (High);","")&amp;IF(AND(N159&lt;&gt;"",OR(N159&lt;=0,N159&gt;100)),"Unusual PCF value might be wrong (High);","")&amp;IF(AND(AG159&lt;&gt;"",OR(AG159&gt;1,AG159&lt;0)),"Incorrect PDS value (High);",IF(AND(AG159&lt;&gt;"",AG159&gt;0.5),"High PDS value (Medium);",""))&amp;IF(AND(AK159&lt;&gt;"",OR(AK159&gt;5,AK159&lt;1)),"Incorrect DQR value (High);","")&amp;IF(AND(AA159&lt;&gt;"",OR(AA159&gt;1,AA159&lt;0)),"Incorrect scrap rate (High);",IF(AND(AA159&lt;&gt;"",AA159&gt;0.2),"High scrap rate (Medium);",IF(AND($A159&lt;&gt;"",AA159=0),"No scrap rate (No impact);","")))&amp;""</f>
        <v/>
      </c>
      <c r="AP159" s="9" t="n"/>
    </row>
    <row r="160">
      <c r="A160" s="3" t="n"/>
      <c r="B160" s="3" t="n"/>
      <c r="C160" s="3" t="n"/>
      <c r="D160" s="3" t="n"/>
      <c r="E160" s="3" t="n"/>
      <c r="F160" s="3" t="n"/>
      <c r="G160" s="4" t="n"/>
      <c r="H160" s="4" t="n"/>
      <c r="I160" s="3" t="inlineStr">
        <is>
          <t>kg</t>
        </is>
      </c>
      <c r="J160" s="4" t="n"/>
      <c r="K160" s="3" t="inlineStr">
        <is>
          <t>kg</t>
        </is>
      </c>
      <c r="L160" s="3" t="n"/>
      <c r="M160" s="5" t="n"/>
      <c r="N160" s="6" t="n"/>
      <c r="O160" s="3" t="inlineStr">
        <is>
          <t>kgCO2e/product</t>
        </is>
      </c>
      <c r="P160" s="7" t="n"/>
      <c r="Q160" s="4" t="n"/>
      <c r="R160" s="8" t="n"/>
      <c r="S160" s="3" t="inlineStr">
        <is>
          <t>Supplier</t>
        </is>
      </c>
      <c r="T160" s="3" t="inlineStr">
        <is>
          <t>No</t>
        </is>
      </c>
      <c r="U160" s="5" t="n"/>
      <c r="V160" s="3" t="n"/>
      <c r="W160" s="3" t="n"/>
      <c r="X160" s="6" t="n"/>
      <c r="Y160" s="3" t="inlineStr">
        <is>
          <t>kgCO2e/product</t>
        </is>
      </c>
      <c r="Z160" s="3" t="n"/>
      <c r="AA160" s="7" t="n"/>
      <c r="AB160" s="3" t="n"/>
      <c r="AC160" s="3" t="n"/>
      <c r="AD160" s="6" t="n"/>
      <c r="AE160" s="3" t="inlineStr">
        <is>
          <t>kgCO2e/product</t>
        </is>
      </c>
      <c r="AF160" s="3" t="n"/>
      <c r="AG160" s="7" t="n">
        <v>0</v>
      </c>
      <c r="AH160" s="3" t="n"/>
      <c r="AI160" s="3" t="n"/>
      <c r="AJ160" s="3" t="n"/>
      <c r="AK160" s="4">
        <f>IF(COUNT(AH160,AI160,AJ160)=0,"",ROUND(AVERAGE(AH160,AI160,AJ160),3))</f>
        <v/>
      </c>
      <c r="AL160" s="3">
        <f>IF(X160="","",ROUND(X160*IF(H160="",0,H160)*(1+IF(AA160="",0,AA160)),5))</f>
        <v/>
      </c>
      <c r="AM160" s="3" t="inlineStr">
        <is>
          <t>kgCO2e/product</t>
        </is>
      </c>
      <c r="AN160" s="5" t="n"/>
      <c r="AO160" s="9">
        <f>IF(AND($A160&lt;&gt;"",E160=""),"Supplier code empty (High);","")&amp;IF(AND(P160&lt;&gt;"",OR(P160&gt;1,P160&lt;0)),"Incorrect PDS value (High);",IF(AND(P160&lt;&gt;"",P160&gt;0.5),"High PDS value (Medium);",""))&amp;IF(AND(Q160&lt;&gt;"",OR(Q160&gt;5,Q160&lt;1)),"Incorrect DQR value (High);","")&amp;IF(AND(N160&lt;&gt;"",OR(N160&lt;=0,N160&gt;100)),"Unusual PCF value might be wrong (High);","")&amp;IF(AND(AG160&lt;&gt;"",OR(AG160&gt;1,AG160&lt;0)),"Incorrect PDS value (High);",IF(AND(AG160&lt;&gt;"",AG160&gt;0.5),"High PDS value (Medium);",""))&amp;IF(AND(AK160&lt;&gt;"",OR(AK160&gt;5,AK160&lt;1)),"Incorrect DQR value (High);","")&amp;IF(AND(AA160&lt;&gt;"",OR(AA160&gt;1,AA160&lt;0)),"Incorrect scrap rate (High);",IF(AND(AA160&lt;&gt;"",AA160&gt;0.2),"High scrap rate (Medium);",IF(AND($A160&lt;&gt;"",AA160=0),"No scrap rate (No impact);","")))&amp;""</f>
        <v/>
      </c>
      <c r="AP160" s="9" t="n"/>
    </row>
    <row r="161">
      <c r="A161" s="3" t="n"/>
      <c r="B161" s="3" t="n"/>
      <c r="C161" s="3" t="n"/>
      <c r="D161" s="3" t="n"/>
      <c r="E161" s="3" t="n"/>
      <c r="F161" s="3" t="n"/>
      <c r="G161" s="4" t="n"/>
      <c r="H161" s="4" t="n"/>
      <c r="I161" s="3" t="inlineStr">
        <is>
          <t>kg</t>
        </is>
      </c>
      <c r="J161" s="4" t="n"/>
      <c r="K161" s="3" t="inlineStr">
        <is>
          <t>kg</t>
        </is>
      </c>
      <c r="L161" s="3" t="n"/>
      <c r="M161" s="5" t="n"/>
      <c r="N161" s="6" t="n"/>
      <c r="O161" s="3" t="inlineStr">
        <is>
          <t>kgCO2e/product</t>
        </is>
      </c>
      <c r="P161" s="7" t="n"/>
      <c r="Q161" s="4" t="n"/>
      <c r="R161" s="8" t="n"/>
      <c r="S161" s="3" t="inlineStr">
        <is>
          <t>Supplier</t>
        </is>
      </c>
      <c r="T161" s="3" t="inlineStr">
        <is>
          <t>No</t>
        </is>
      </c>
      <c r="U161" s="5" t="n"/>
      <c r="V161" s="3" t="n"/>
      <c r="W161" s="3" t="n"/>
      <c r="X161" s="6" t="n"/>
      <c r="Y161" s="3" t="inlineStr">
        <is>
          <t>kgCO2e/product</t>
        </is>
      </c>
      <c r="Z161" s="3" t="n"/>
      <c r="AA161" s="7" t="n"/>
      <c r="AB161" s="3" t="n"/>
      <c r="AC161" s="3" t="n"/>
      <c r="AD161" s="6" t="n"/>
      <c r="AE161" s="3" t="inlineStr">
        <is>
          <t>kgCO2e/product</t>
        </is>
      </c>
      <c r="AF161" s="3" t="n"/>
      <c r="AG161" s="7" t="n">
        <v>0</v>
      </c>
      <c r="AH161" s="3" t="n"/>
      <c r="AI161" s="3" t="n"/>
      <c r="AJ161" s="3" t="n"/>
      <c r="AK161" s="4">
        <f>IF(COUNT(AH161,AI161,AJ161)=0,"",ROUND(AVERAGE(AH161,AI161,AJ161),3))</f>
        <v/>
      </c>
      <c r="AL161" s="3">
        <f>IF(X161="","",ROUND(X161*IF(H161="",0,H161)*(1+IF(AA161="",0,AA161)),5))</f>
        <v/>
      </c>
      <c r="AM161" s="3" t="inlineStr">
        <is>
          <t>kgCO2e/product</t>
        </is>
      </c>
      <c r="AN161" s="5" t="n"/>
      <c r="AO161" s="9">
        <f>IF(AND($A161&lt;&gt;"",E161=""),"Supplier code empty (High);","")&amp;IF(AND(P161&lt;&gt;"",OR(P161&gt;1,P161&lt;0)),"Incorrect PDS value (High);",IF(AND(P161&lt;&gt;"",P161&gt;0.5),"High PDS value (Medium);",""))&amp;IF(AND(Q161&lt;&gt;"",OR(Q161&gt;5,Q161&lt;1)),"Incorrect DQR value (High);","")&amp;IF(AND(N161&lt;&gt;"",OR(N161&lt;=0,N161&gt;100)),"Unusual PCF value might be wrong (High);","")&amp;IF(AND(AG161&lt;&gt;"",OR(AG161&gt;1,AG161&lt;0)),"Incorrect PDS value (High);",IF(AND(AG161&lt;&gt;"",AG161&gt;0.5),"High PDS value (Medium);",""))&amp;IF(AND(AK161&lt;&gt;"",OR(AK161&gt;5,AK161&lt;1)),"Incorrect DQR value (High);","")&amp;IF(AND(AA161&lt;&gt;"",OR(AA161&gt;1,AA161&lt;0)),"Incorrect scrap rate (High);",IF(AND(AA161&lt;&gt;"",AA161&gt;0.2),"High scrap rate (Medium);",IF(AND($A161&lt;&gt;"",AA161=0),"No scrap rate (No impact);","")))&amp;""</f>
        <v/>
      </c>
      <c r="AP161" s="9" t="n"/>
    </row>
    <row r="162">
      <c r="A162" s="3" t="n"/>
      <c r="B162" s="3" t="n"/>
      <c r="C162" s="3" t="n"/>
      <c r="D162" s="3" t="n"/>
      <c r="E162" s="3" t="n"/>
      <c r="F162" s="3" t="n"/>
      <c r="G162" s="4" t="n"/>
      <c r="H162" s="4" t="n"/>
      <c r="I162" s="3" t="inlineStr">
        <is>
          <t>kg</t>
        </is>
      </c>
      <c r="J162" s="4" t="n"/>
      <c r="K162" s="3" t="inlineStr">
        <is>
          <t>kg</t>
        </is>
      </c>
      <c r="L162" s="3" t="n"/>
      <c r="M162" s="5" t="n"/>
      <c r="N162" s="6" t="n"/>
      <c r="O162" s="3" t="inlineStr">
        <is>
          <t>kgCO2e/product</t>
        </is>
      </c>
      <c r="P162" s="7" t="n"/>
      <c r="Q162" s="4" t="n"/>
      <c r="R162" s="8" t="n"/>
      <c r="S162" s="3" t="inlineStr">
        <is>
          <t>Supplier</t>
        </is>
      </c>
      <c r="T162" s="3" t="inlineStr">
        <is>
          <t>No</t>
        </is>
      </c>
      <c r="U162" s="5" t="n"/>
      <c r="V162" s="3" t="n"/>
      <c r="W162" s="3" t="n"/>
      <c r="X162" s="6" t="n"/>
      <c r="Y162" s="3" t="inlineStr">
        <is>
          <t>kgCO2e/product</t>
        </is>
      </c>
      <c r="Z162" s="3" t="n"/>
      <c r="AA162" s="7" t="n"/>
      <c r="AB162" s="3" t="n"/>
      <c r="AC162" s="3" t="n"/>
      <c r="AD162" s="6" t="n"/>
      <c r="AE162" s="3" t="inlineStr">
        <is>
          <t>kgCO2e/product</t>
        </is>
      </c>
      <c r="AF162" s="3" t="n"/>
      <c r="AG162" s="7" t="n">
        <v>0</v>
      </c>
      <c r="AH162" s="3" t="n"/>
      <c r="AI162" s="3" t="n"/>
      <c r="AJ162" s="3" t="n"/>
      <c r="AK162" s="4">
        <f>IF(COUNT(AH162,AI162,AJ162)=0,"",ROUND(AVERAGE(AH162,AI162,AJ162),3))</f>
        <v/>
      </c>
      <c r="AL162" s="3">
        <f>IF(X162="","",ROUND(X162*IF(H162="",0,H162)*(1+IF(AA162="",0,AA162)),5))</f>
        <v/>
      </c>
      <c r="AM162" s="3" t="inlineStr">
        <is>
          <t>kgCO2e/product</t>
        </is>
      </c>
      <c r="AN162" s="5" t="n"/>
      <c r="AO162" s="9">
        <f>IF(AND($A162&lt;&gt;"",E162=""),"Supplier code empty (High);","")&amp;IF(AND(P162&lt;&gt;"",OR(P162&gt;1,P162&lt;0)),"Incorrect PDS value (High);",IF(AND(P162&lt;&gt;"",P162&gt;0.5),"High PDS value (Medium);",""))&amp;IF(AND(Q162&lt;&gt;"",OR(Q162&gt;5,Q162&lt;1)),"Incorrect DQR value (High);","")&amp;IF(AND(N162&lt;&gt;"",OR(N162&lt;=0,N162&gt;100)),"Unusual PCF value might be wrong (High);","")&amp;IF(AND(AG162&lt;&gt;"",OR(AG162&gt;1,AG162&lt;0)),"Incorrect PDS value (High);",IF(AND(AG162&lt;&gt;"",AG162&gt;0.5),"High PDS value (Medium);",""))&amp;IF(AND(AK162&lt;&gt;"",OR(AK162&gt;5,AK162&lt;1)),"Incorrect DQR value (High);","")&amp;IF(AND(AA162&lt;&gt;"",OR(AA162&gt;1,AA162&lt;0)),"Incorrect scrap rate (High);",IF(AND(AA162&lt;&gt;"",AA162&gt;0.2),"High scrap rate (Medium);",IF(AND($A162&lt;&gt;"",AA162=0),"No scrap rate (No impact);","")))&amp;""</f>
        <v/>
      </c>
      <c r="AP162" s="9" t="n"/>
    </row>
    <row r="163">
      <c r="A163" s="3" t="n"/>
      <c r="B163" s="3" t="n"/>
      <c r="C163" s="3" t="n"/>
      <c r="D163" s="3" t="n"/>
      <c r="E163" s="3" t="n"/>
      <c r="F163" s="3" t="n"/>
      <c r="G163" s="4" t="n"/>
      <c r="H163" s="4" t="n"/>
      <c r="I163" s="3" t="inlineStr">
        <is>
          <t>kg</t>
        </is>
      </c>
      <c r="J163" s="4" t="n"/>
      <c r="K163" s="3" t="inlineStr">
        <is>
          <t>kg</t>
        </is>
      </c>
      <c r="L163" s="3" t="n"/>
      <c r="M163" s="5" t="n"/>
      <c r="N163" s="6" t="n"/>
      <c r="O163" s="3" t="inlineStr">
        <is>
          <t>kgCO2e/product</t>
        </is>
      </c>
      <c r="P163" s="7" t="n"/>
      <c r="Q163" s="4" t="n"/>
      <c r="R163" s="8" t="n"/>
      <c r="S163" s="3" t="inlineStr">
        <is>
          <t>Supplier</t>
        </is>
      </c>
      <c r="T163" s="3" t="inlineStr">
        <is>
          <t>No</t>
        </is>
      </c>
      <c r="U163" s="5" t="n"/>
      <c r="V163" s="3" t="n"/>
      <c r="W163" s="3" t="n"/>
      <c r="X163" s="6" t="n"/>
      <c r="Y163" s="3" t="inlineStr">
        <is>
          <t>kgCO2e/product</t>
        </is>
      </c>
      <c r="Z163" s="3" t="n"/>
      <c r="AA163" s="7" t="n"/>
      <c r="AB163" s="3" t="n"/>
      <c r="AC163" s="3" t="n"/>
      <c r="AD163" s="6" t="n"/>
      <c r="AE163" s="3" t="inlineStr">
        <is>
          <t>kgCO2e/product</t>
        </is>
      </c>
      <c r="AF163" s="3" t="n"/>
      <c r="AG163" s="7" t="n">
        <v>0</v>
      </c>
      <c r="AH163" s="3" t="n"/>
      <c r="AI163" s="3" t="n"/>
      <c r="AJ163" s="3" t="n"/>
      <c r="AK163" s="4">
        <f>IF(COUNT(AH163,AI163,AJ163)=0,"",ROUND(AVERAGE(AH163,AI163,AJ163),3))</f>
        <v/>
      </c>
      <c r="AL163" s="3">
        <f>IF(X163="","",ROUND(X163*IF(H163="",0,H163)*(1+IF(AA163="",0,AA163)),5))</f>
        <v/>
      </c>
      <c r="AM163" s="3" t="inlineStr">
        <is>
          <t>kgCO2e/product</t>
        </is>
      </c>
      <c r="AN163" s="5" t="n"/>
      <c r="AO163" s="9">
        <f>IF(AND($A163&lt;&gt;"",E163=""),"Supplier code empty (High);","")&amp;IF(AND(P163&lt;&gt;"",OR(P163&gt;1,P163&lt;0)),"Incorrect PDS value (High);",IF(AND(P163&lt;&gt;"",P163&gt;0.5),"High PDS value (Medium);",""))&amp;IF(AND(Q163&lt;&gt;"",OR(Q163&gt;5,Q163&lt;1)),"Incorrect DQR value (High);","")&amp;IF(AND(N163&lt;&gt;"",OR(N163&lt;=0,N163&gt;100)),"Unusual PCF value might be wrong (High);","")&amp;IF(AND(AG163&lt;&gt;"",OR(AG163&gt;1,AG163&lt;0)),"Incorrect PDS value (High);",IF(AND(AG163&lt;&gt;"",AG163&gt;0.5),"High PDS value (Medium);",""))&amp;IF(AND(AK163&lt;&gt;"",OR(AK163&gt;5,AK163&lt;1)),"Incorrect DQR value (High);","")&amp;IF(AND(AA163&lt;&gt;"",OR(AA163&gt;1,AA163&lt;0)),"Incorrect scrap rate (High);",IF(AND(AA163&lt;&gt;"",AA163&gt;0.2),"High scrap rate (Medium);",IF(AND($A163&lt;&gt;"",AA163=0),"No scrap rate (No impact);","")))&amp;""</f>
        <v/>
      </c>
      <c r="AP163" s="9" t="n"/>
    </row>
    <row r="164">
      <c r="A164" s="3" t="n"/>
      <c r="B164" s="3" t="n"/>
      <c r="C164" s="3" t="n"/>
      <c r="D164" s="3" t="n"/>
      <c r="E164" s="3" t="n"/>
      <c r="F164" s="3" t="n"/>
      <c r="G164" s="4" t="n"/>
      <c r="H164" s="4" t="n"/>
      <c r="I164" s="3" t="inlineStr">
        <is>
          <t>kg</t>
        </is>
      </c>
      <c r="J164" s="4" t="n"/>
      <c r="K164" s="3" t="inlineStr">
        <is>
          <t>kg</t>
        </is>
      </c>
      <c r="L164" s="3" t="n"/>
      <c r="M164" s="5" t="n"/>
      <c r="N164" s="6" t="n"/>
      <c r="O164" s="3" t="inlineStr">
        <is>
          <t>kgCO2e/product</t>
        </is>
      </c>
      <c r="P164" s="7" t="n"/>
      <c r="Q164" s="4" t="n"/>
      <c r="R164" s="8" t="n"/>
      <c r="S164" s="3" t="inlineStr">
        <is>
          <t>Supplier</t>
        </is>
      </c>
      <c r="T164" s="3" t="inlineStr">
        <is>
          <t>No</t>
        </is>
      </c>
      <c r="U164" s="5" t="n"/>
      <c r="V164" s="3" t="n"/>
      <c r="W164" s="3" t="n"/>
      <c r="X164" s="6" t="n"/>
      <c r="Y164" s="3" t="inlineStr">
        <is>
          <t>kgCO2e/product</t>
        </is>
      </c>
      <c r="Z164" s="3" t="n"/>
      <c r="AA164" s="7" t="n"/>
      <c r="AB164" s="3" t="n"/>
      <c r="AC164" s="3" t="n"/>
      <c r="AD164" s="6" t="n"/>
      <c r="AE164" s="3" t="inlineStr">
        <is>
          <t>kgCO2e/product</t>
        </is>
      </c>
      <c r="AF164" s="3" t="n"/>
      <c r="AG164" s="7" t="n">
        <v>0</v>
      </c>
      <c r="AH164" s="3" t="n"/>
      <c r="AI164" s="3" t="n"/>
      <c r="AJ164" s="3" t="n"/>
      <c r="AK164" s="4">
        <f>IF(COUNT(AH164,AI164,AJ164)=0,"",ROUND(AVERAGE(AH164,AI164,AJ164),3))</f>
        <v/>
      </c>
      <c r="AL164" s="3">
        <f>IF(X164="","",ROUND(X164*IF(H164="",0,H164)*(1+IF(AA164="",0,AA164)),5))</f>
        <v/>
      </c>
      <c r="AM164" s="3" t="inlineStr">
        <is>
          <t>kgCO2e/product</t>
        </is>
      </c>
      <c r="AN164" s="5" t="n"/>
      <c r="AO164" s="9">
        <f>IF(AND($A164&lt;&gt;"",E164=""),"Supplier code empty (High);","")&amp;IF(AND(P164&lt;&gt;"",OR(P164&gt;1,P164&lt;0)),"Incorrect PDS value (High);",IF(AND(P164&lt;&gt;"",P164&gt;0.5),"High PDS value (Medium);",""))&amp;IF(AND(Q164&lt;&gt;"",OR(Q164&gt;5,Q164&lt;1)),"Incorrect DQR value (High);","")&amp;IF(AND(N164&lt;&gt;"",OR(N164&lt;=0,N164&gt;100)),"Unusual PCF value might be wrong (High);","")&amp;IF(AND(AG164&lt;&gt;"",OR(AG164&gt;1,AG164&lt;0)),"Incorrect PDS value (High);",IF(AND(AG164&lt;&gt;"",AG164&gt;0.5),"High PDS value (Medium);",""))&amp;IF(AND(AK164&lt;&gt;"",OR(AK164&gt;5,AK164&lt;1)),"Incorrect DQR value (High);","")&amp;IF(AND(AA164&lt;&gt;"",OR(AA164&gt;1,AA164&lt;0)),"Incorrect scrap rate (High);",IF(AND(AA164&lt;&gt;"",AA164&gt;0.2),"High scrap rate (Medium);",IF(AND($A164&lt;&gt;"",AA164=0),"No scrap rate (No impact);","")))&amp;""</f>
        <v/>
      </c>
      <c r="AP164" s="9" t="n"/>
    </row>
    <row r="165">
      <c r="A165" s="3" t="n"/>
      <c r="B165" s="3" t="n"/>
      <c r="C165" s="3" t="n"/>
      <c r="D165" s="3" t="n"/>
      <c r="E165" s="3" t="n"/>
      <c r="F165" s="3" t="n"/>
      <c r="G165" s="4" t="n"/>
      <c r="H165" s="4" t="n"/>
      <c r="I165" s="3" t="inlineStr">
        <is>
          <t>kg</t>
        </is>
      </c>
      <c r="J165" s="4" t="n"/>
      <c r="K165" s="3" t="inlineStr">
        <is>
          <t>kg</t>
        </is>
      </c>
      <c r="L165" s="3" t="n"/>
      <c r="M165" s="5" t="n"/>
      <c r="N165" s="6" t="n"/>
      <c r="O165" s="3" t="inlineStr">
        <is>
          <t>kgCO2e/product</t>
        </is>
      </c>
      <c r="P165" s="7" t="n"/>
      <c r="Q165" s="4" t="n"/>
      <c r="R165" s="8" t="n"/>
      <c r="S165" s="3" t="inlineStr">
        <is>
          <t>Supplier</t>
        </is>
      </c>
      <c r="T165" s="3" t="inlineStr">
        <is>
          <t>No</t>
        </is>
      </c>
      <c r="U165" s="5" t="n"/>
      <c r="V165" s="3" t="n"/>
      <c r="W165" s="3" t="n"/>
      <c r="X165" s="6" t="n"/>
      <c r="Y165" s="3" t="inlineStr">
        <is>
          <t>kgCO2e/product</t>
        </is>
      </c>
      <c r="Z165" s="3" t="n"/>
      <c r="AA165" s="7" t="n"/>
      <c r="AB165" s="3" t="n"/>
      <c r="AC165" s="3" t="n"/>
      <c r="AD165" s="6" t="n"/>
      <c r="AE165" s="3" t="inlineStr">
        <is>
          <t>kgCO2e/product</t>
        </is>
      </c>
      <c r="AF165" s="3" t="n"/>
      <c r="AG165" s="7" t="n">
        <v>0</v>
      </c>
      <c r="AH165" s="3" t="n"/>
      <c r="AI165" s="3" t="n"/>
      <c r="AJ165" s="3" t="n"/>
      <c r="AK165" s="4">
        <f>IF(COUNT(AH165,AI165,AJ165)=0,"",ROUND(AVERAGE(AH165,AI165,AJ165),3))</f>
        <v/>
      </c>
      <c r="AL165" s="3">
        <f>IF(X165="","",ROUND(X165*IF(H165="",0,H165)*(1+IF(AA165="",0,AA165)),5))</f>
        <v/>
      </c>
      <c r="AM165" s="3" t="inlineStr">
        <is>
          <t>kgCO2e/product</t>
        </is>
      </c>
      <c r="AN165" s="5" t="n"/>
      <c r="AO165" s="9">
        <f>IF(AND($A165&lt;&gt;"",E165=""),"Supplier code empty (High);","")&amp;IF(AND(P165&lt;&gt;"",OR(P165&gt;1,P165&lt;0)),"Incorrect PDS value (High);",IF(AND(P165&lt;&gt;"",P165&gt;0.5),"High PDS value (Medium);",""))&amp;IF(AND(Q165&lt;&gt;"",OR(Q165&gt;5,Q165&lt;1)),"Incorrect DQR value (High);","")&amp;IF(AND(N165&lt;&gt;"",OR(N165&lt;=0,N165&gt;100)),"Unusual PCF value might be wrong (High);","")&amp;IF(AND(AG165&lt;&gt;"",OR(AG165&gt;1,AG165&lt;0)),"Incorrect PDS value (High);",IF(AND(AG165&lt;&gt;"",AG165&gt;0.5),"High PDS value (Medium);",""))&amp;IF(AND(AK165&lt;&gt;"",OR(AK165&gt;5,AK165&lt;1)),"Incorrect DQR value (High);","")&amp;IF(AND(AA165&lt;&gt;"",OR(AA165&gt;1,AA165&lt;0)),"Incorrect scrap rate (High);",IF(AND(AA165&lt;&gt;"",AA165&gt;0.2),"High scrap rate (Medium);",IF(AND($A165&lt;&gt;"",AA165=0),"No scrap rate (No impact);","")))&amp;""</f>
        <v/>
      </c>
      <c r="AP165" s="9" t="n"/>
    </row>
    <row r="166">
      <c r="A166" s="3" t="n"/>
      <c r="B166" s="3" t="n"/>
      <c r="C166" s="3" t="n"/>
      <c r="D166" s="3" t="n"/>
      <c r="E166" s="3" t="n"/>
      <c r="F166" s="3" t="n"/>
      <c r="G166" s="4" t="n"/>
      <c r="H166" s="4" t="n"/>
      <c r="I166" s="3" t="inlineStr">
        <is>
          <t>kg</t>
        </is>
      </c>
      <c r="J166" s="4" t="n"/>
      <c r="K166" s="3" t="inlineStr">
        <is>
          <t>kg</t>
        </is>
      </c>
      <c r="L166" s="3" t="n"/>
      <c r="M166" s="5" t="n"/>
      <c r="N166" s="6" t="n"/>
      <c r="O166" s="3" t="inlineStr">
        <is>
          <t>kgCO2e/product</t>
        </is>
      </c>
      <c r="P166" s="7" t="n"/>
      <c r="Q166" s="4" t="n"/>
      <c r="R166" s="8" t="n"/>
      <c r="S166" s="3" t="inlineStr">
        <is>
          <t>Supplier</t>
        </is>
      </c>
      <c r="T166" s="3" t="inlineStr">
        <is>
          <t>No</t>
        </is>
      </c>
      <c r="U166" s="5" t="n"/>
      <c r="V166" s="3" t="n"/>
      <c r="W166" s="3" t="n"/>
      <c r="X166" s="6" t="n"/>
      <c r="Y166" s="3" t="inlineStr">
        <is>
          <t>kgCO2e/product</t>
        </is>
      </c>
      <c r="Z166" s="3" t="n"/>
      <c r="AA166" s="7" t="n"/>
      <c r="AB166" s="3" t="n"/>
      <c r="AC166" s="3" t="n"/>
      <c r="AD166" s="6" t="n"/>
      <c r="AE166" s="3" t="inlineStr">
        <is>
          <t>kgCO2e/product</t>
        </is>
      </c>
      <c r="AF166" s="3" t="n"/>
      <c r="AG166" s="7" t="n">
        <v>0</v>
      </c>
      <c r="AH166" s="3" t="n"/>
      <c r="AI166" s="3" t="n"/>
      <c r="AJ166" s="3" t="n"/>
      <c r="AK166" s="4">
        <f>IF(COUNT(AH166,AI166,AJ166)=0,"",ROUND(AVERAGE(AH166,AI166,AJ166),3))</f>
        <v/>
      </c>
      <c r="AL166" s="3">
        <f>IF(X166="","",ROUND(X166*IF(H166="",0,H166)*(1+IF(AA166="",0,AA166)),5))</f>
        <v/>
      </c>
      <c r="AM166" s="3" t="inlineStr">
        <is>
          <t>kgCO2e/product</t>
        </is>
      </c>
      <c r="AN166" s="5" t="n"/>
      <c r="AO166" s="9">
        <f>IF(AND($A166&lt;&gt;"",E166=""),"Supplier code empty (High);","")&amp;IF(AND(P166&lt;&gt;"",OR(P166&gt;1,P166&lt;0)),"Incorrect PDS value (High);",IF(AND(P166&lt;&gt;"",P166&gt;0.5),"High PDS value (Medium);",""))&amp;IF(AND(Q166&lt;&gt;"",OR(Q166&gt;5,Q166&lt;1)),"Incorrect DQR value (High);","")&amp;IF(AND(N166&lt;&gt;"",OR(N166&lt;=0,N166&gt;100)),"Unusual PCF value might be wrong (High);","")&amp;IF(AND(AG166&lt;&gt;"",OR(AG166&gt;1,AG166&lt;0)),"Incorrect PDS value (High);",IF(AND(AG166&lt;&gt;"",AG166&gt;0.5),"High PDS value (Medium);",""))&amp;IF(AND(AK166&lt;&gt;"",OR(AK166&gt;5,AK166&lt;1)),"Incorrect DQR value (High);","")&amp;IF(AND(AA166&lt;&gt;"",OR(AA166&gt;1,AA166&lt;0)),"Incorrect scrap rate (High);",IF(AND(AA166&lt;&gt;"",AA166&gt;0.2),"High scrap rate (Medium);",IF(AND($A166&lt;&gt;"",AA166=0),"No scrap rate (No impact);","")))&amp;""</f>
        <v/>
      </c>
      <c r="AP166" s="9" t="n"/>
    </row>
    <row r="167">
      <c r="A167" s="3" t="n"/>
      <c r="B167" s="3" t="n"/>
      <c r="C167" s="3" t="n"/>
      <c r="D167" s="3" t="n"/>
      <c r="E167" s="3" t="n"/>
      <c r="F167" s="3" t="n"/>
      <c r="G167" s="4" t="n"/>
      <c r="H167" s="4" t="n"/>
      <c r="I167" s="3" t="inlineStr">
        <is>
          <t>kg</t>
        </is>
      </c>
      <c r="J167" s="4" t="n"/>
      <c r="K167" s="3" t="inlineStr">
        <is>
          <t>kg</t>
        </is>
      </c>
      <c r="L167" s="3" t="n"/>
      <c r="M167" s="5" t="n"/>
      <c r="N167" s="6" t="n"/>
      <c r="O167" s="3" t="inlineStr">
        <is>
          <t>kgCO2e/product</t>
        </is>
      </c>
      <c r="P167" s="7" t="n"/>
      <c r="Q167" s="4" t="n"/>
      <c r="R167" s="8" t="n"/>
      <c r="S167" s="3" t="inlineStr">
        <is>
          <t>Supplier</t>
        </is>
      </c>
      <c r="T167" s="3" t="inlineStr">
        <is>
          <t>No</t>
        </is>
      </c>
      <c r="U167" s="5" t="n"/>
      <c r="V167" s="3" t="n"/>
      <c r="W167" s="3" t="n"/>
      <c r="X167" s="6" t="n"/>
      <c r="Y167" s="3" t="inlineStr">
        <is>
          <t>kgCO2e/product</t>
        </is>
      </c>
      <c r="Z167" s="3" t="n"/>
      <c r="AA167" s="7" t="n"/>
      <c r="AB167" s="3" t="n"/>
      <c r="AC167" s="3" t="n"/>
      <c r="AD167" s="6" t="n"/>
      <c r="AE167" s="3" t="inlineStr">
        <is>
          <t>kgCO2e/product</t>
        </is>
      </c>
      <c r="AF167" s="3" t="n"/>
      <c r="AG167" s="7" t="n">
        <v>0</v>
      </c>
      <c r="AH167" s="3" t="n"/>
      <c r="AI167" s="3" t="n"/>
      <c r="AJ167" s="3" t="n"/>
      <c r="AK167" s="4">
        <f>IF(COUNT(AH167,AI167,AJ167)=0,"",ROUND(AVERAGE(AH167,AI167,AJ167),3))</f>
        <v/>
      </c>
      <c r="AL167" s="3">
        <f>IF(X167="","",ROUND(X167*IF(H167="",0,H167)*(1+IF(AA167="",0,AA167)),5))</f>
        <v/>
      </c>
      <c r="AM167" s="3" t="inlineStr">
        <is>
          <t>kgCO2e/product</t>
        </is>
      </c>
      <c r="AN167" s="5" t="n"/>
      <c r="AO167" s="9">
        <f>IF(AND($A167&lt;&gt;"",E167=""),"Supplier code empty (High);","")&amp;IF(AND(P167&lt;&gt;"",OR(P167&gt;1,P167&lt;0)),"Incorrect PDS value (High);",IF(AND(P167&lt;&gt;"",P167&gt;0.5),"High PDS value (Medium);",""))&amp;IF(AND(Q167&lt;&gt;"",OR(Q167&gt;5,Q167&lt;1)),"Incorrect DQR value (High);","")&amp;IF(AND(N167&lt;&gt;"",OR(N167&lt;=0,N167&gt;100)),"Unusual PCF value might be wrong (High);","")&amp;IF(AND(AG167&lt;&gt;"",OR(AG167&gt;1,AG167&lt;0)),"Incorrect PDS value (High);",IF(AND(AG167&lt;&gt;"",AG167&gt;0.5),"High PDS value (Medium);",""))&amp;IF(AND(AK167&lt;&gt;"",OR(AK167&gt;5,AK167&lt;1)),"Incorrect DQR value (High);","")&amp;IF(AND(AA167&lt;&gt;"",OR(AA167&gt;1,AA167&lt;0)),"Incorrect scrap rate (High);",IF(AND(AA167&lt;&gt;"",AA167&gt;0.2),"High scrap rate (Medium);",IF(AND($A167&lt;&gt;"",AA167=0),"No scrap rate (No impact);","")))&amp;""</f>
        <v/>
      </c>
      <c r="AP167" s="9" t="n"/>
    </row>
    <row r="168">
      <c r="A168" s="3" t="n"/>
      <c r="B168" s="3" t="n"/>
      <c r="C168" s="3" t="n"/>
      <c r="D168" s="3" t="n"/>
      <c r="E168" s="3" t="n"/>
      <c r="F168" s="3" t="n"/>
      <c r="G168" s="4" t="n"/>
      <c r="H168" s="4" t="n"/>
      <c r="I168" s="3" t="inlineStr">
        <is>
          <t>kg</t>
        </is>
      </c>
      <c r="J168" s="4" t="n"/>
      <c r="K168" s="3" t="inlineStr">
        <is>
          <t>kg</t>
        </is>
      </c>
      <c r="L168" s="3" t="n"/>
      <c r="M168" s="5" t="n"/>
      <c r="N168" s="6" t="n"/>
      <c r="O168" s="3" t="inlineStr">
        <is>
          <t>kgCO2e/product</t>
        </is>
      </c>
      <c r="P168" s="7" t="n"/>
      <c r="Q168" s="4" t="n"/>
      <c r="R168" s="8" t="n"/>
      <c r="S168" s="3" t="inlineStr">
        <is>
          <t>Supplier</t>
        </is>
      </c>
      <c r="T168" s="3" t="inlineStr">
        <is>
          <t>No</t>
        </is>
      </c>
      <c r="U168" s="5" t="n"/>
      <c r="V168" s="3" t="n"/>
      <c r="W168" s="3" t="n"/>
      <c r="X168" s="6" t="n"/>
      <c r="Y168" s="3" t="inlineStr">
        <is>
          <t>kgCO2e/product</t>
        </is>
      </c>
      <c r="Z168" s="3" t="n"/>
      <c r="AA168" s="7" t="n"/>
      <c r="AB168" s="3" t="n"/>
      <c r="AC168" s="3" t="n"/>
      <c r="AD168" s="6" t="n"/>
      <c r="AE168" s="3" t="inlineStr">
        <is>
          <t>kgCO2e/product</t>
        </is>
      </c>
      <c r="AF168" s="3" t="n"/>
      <c r="AG168" s="7" t="n">
        <v>0</v>
      </c>
      <c r="AH168" s="3" t="n"/>
      <c r="AI168" s="3" t="n"/>
      <c r="AJ168" s="3" t="n"/>
      <c r="AK168" s="4">
        <f>IF(COUNT(AH168,AI168,AJ168)=0,"",ROUND(AVERAGE(AH168,AI168,AJ168),3))</f>
        <v/>
      </c>
      <c r="AL168" s="3">
        <f>IF(X168="","",ROUND(X168*IF(H168="",0,H168)*(1+IF(AA168="",0,AA168)),5))</f>
        <v/>
      </c>
      <c r="AM168" s="3" t="inlineStr">
        <is>
          <t>kgCO2e/product</t>
        </is>
      </c>
      <c r="AN168" s="5" t="n"/>
      <c r="AO168" s="9">
        <f>IF(AND($A168&lt;&gt;"",E168=""),"Supplier code empty (High);","")&amp;IF(AND(P168&lt;&gt;"",OR(P168&gt;1,P168&lt;0)),"Incorrect PDS value (High);",IF(AND(P168&lt;&gt;"",P168&gt;0.5),"High PDS value (Medium);",""))&amp;IF(AND(Q168&lt;&gt;"",OR(Q168&gt;5,Q168&lt;1)),"Incorrect DQR value (High);","")&amp;IF(AND(N168&lt;&gt;"",OR(N168&lt;=0,N168&gt;100)),"Unusual PCF value might be wrong (High);","")&amp;IF(AND(AG168&lt;&gt;"",OR(AG168&gt;1,AG168&lt;0)),"Incorrect PDS value (High);",IF(AND(AG168&lt;&gt;"",AG168&gt;0.5),"High PDS value (Medium);",""))&amp;IF(AND(AK168&lt;&gt;"",OR(AK168&gt;5,AK168&lt;1)),"Incorrect DQR value (High);","")&amp;IF(AND(AA168&lt;&gt;"",OR(AA168&gt;1,AA168&lt;0)),"Incorrect scrap rate (High);",IF(AND(AA168&lt;&gt;"",AA168&gt;0.2),"High scrap rate (Medium);",IF(AND($A168&lt;&gt;"",AA168=0),"No scrap rate (No impact);","")))&amp;""</f>
        <v/>
      </c>
      <c r="AP168" s="9" t="n"/>
    </row>
    <row r="169">
      <c r="A169" s="3" t="n"/>
      <c r="B169" s="3" t="n"/>
      <c r="C169" s="3" t="n"/>
      <c r="D169" s="3" t="n"/>
      <c r="E169" s="3" t="n"/>
      <c r="F169" s="3" t="n"/>
      <c r="G169" s="4" t="n"/>
      <c r="H169" s="4" t="n"/>
      <c r="I169" s="3" t="inlineStr">
        <is>
          <t>kg</t>
        </is>
      </c>
      <c r="J169" s="4" t="n"/>
      <c r="K169" s="3" t="inlineStr">
        <is>
          <t>kg</t>
        </is>
      </c>
      <c r="L169" s="3" t="n"/>
      <c r="M169" s="5" t="n"/>
      <c r="N169" s="6" t="n"/>
      <c r="O169" s="3" t="inlineStr">
        <is>
          <t>kgCO2e/product</t>
        </is>
      </c>
      <c r="P169" s="7" t="n"/>
      <c r="Q169" s="4" t="n"/>
      <c r="R169" s="8" t="n"/>
      <c r="S169" s="3" t="inlineStr">
        <is>
          <t>Supplier</t>
        </is>
      </c>
      <c r="T169" s="3" t="inlineStr">
        <is>
          <t>No</t>
        </is>
      </c>
      <c r="U169" s="5" t="n"/>
      <c r="V169" s="3" t="n"/>
      <c r="W169" s="3" t="n"/>
      <c r="X169" s="6" t="n"/>
      <c r="Y169" s="3" t="inlineStr">
        <is>
          <t>kgCO2e/product</t>
        </is>
      </c>
      <c r="Z169" s="3" t="n"/>
      <c r="AA169" s="7" t="n"/>
      <c r="AB169" s="3" t="n"/>
      <c r="AC169" s="3" t="n"/>
      <c r="AD169" s="6" t="n"/>
      <c r="AE169" s="3" t="inlineStr">
        <is>
          <t>kgCO2e/product</t>
        </is>
      </c>
      <c r="AF169" s="3" t="n"/>
      <c r="AG169" s="7" t="n">
        <v>0</v>
      </c>
      <c r="AH169" s="3" t="n"/>
      <c r="AI169" s="3" t="n"/>
      <c r="AJ169" s="3" t="n"/>
      <c r="AK169" s="4">
        <f>IF(COUNT(AH169,AI169,AJ169)=0,"",ROUND(AVERAGE(AH169,AI169,AJ169),3))</f>
        <v/>
      </c>
      <c r="AL169" s="3">
        <f>IF(X169="","",ROUND(X169*IF(H169="",0,H169)*(1+IF(AA169="",0,AA169)),5))</f>
        <v/>
      </c>
      <c r="AM169" s="3" t="inlineStr">
        <is>
          <t>kgCO2e/product</t>
        </is>
      </c>
      <c r="AN169" s="5" t="n"/>
      <c r="AO169" s="9">
        <f>IF(AND($A169&lt;&gt;"",E169=""),"Supplier code empty (High);","")&amp;IF(AND(P169&lt;&gt;"",OR(P169&gt;1,P169&lt;0)),"Incorrect PDS value (High);",IF(AND(P169&lt;&gt;"",P169&gt;0.5),"High PDS value (Medium);",""))&amp;IF(AND(Q169&lt;&gt;"",OR(Q169&gt;5,Q169&lt;1)),"Incorrect DQR value (High);","")&amp;IF(AND(N169&lt;&gt;"",OR(N169&lt;=0,N169&gt;100)),"Unusual PCF value might be wrong (High);","")&amp;IF(AND(AG169&lt;&gt;"",OR(AG169&gt;1,AG169&lt;0)),"Incorrect PDS value (High);",IF(AND(AG169&lt;&gt;"",AG169&gt;0.5),"High PDS value (Medium);",""))&amp;IF(AND(AK169&lt;&gt;"",OR(AK169&gt;5,AK169&lt;1)),"Incorrect DQR value (High);","")&amp;IF(AND(AA169&lt;&gt;"",OR(AA169&gt;1,AA169&lt;0)),"Incorrect scrap rate (High);",IF(AND(AA169&lt;&gt;"",AA169&gt;0.2),"High scrap rate (Medium);",IF(AND($A169&lt;&gt;"",AA169=0),"No scrap rate (No impact);","")))&amp;""</f>
        <v/>
      </c>
      <c r="AP169" s="9" t="n"/>
    </row>
    <row r="170">
      <c r="A170" s="3" t="n"/>
      <c r="B170" s="3" t="n"/>
      <c r="C170" s="3" t="n"/>
      <c r="D170" s="3" t="n"/>
      <c r="E170" s="3" t="n"/>
      <c r="F170" s="3" t="n"/>
      <c r="G170" s="4" t="n"/>
      <c r="H170" s="4" t="n"/>
      <c r="I170" s="3" t="inlineStr">
        <is>
          <t>kg</t>
        </is>
      </c>
      <c r="J170" s="4" t="n"/>
      <c r="K170" s="3" t="inlineStr">
        <is>
          <t>kg</t>
        </is>
      </c>
      <c r="L170" s="3" t="n"/>
      <c r="M170" s="5" t="n"/>
      <c r="N170" s="6" t="n"/>
      <c r="O170" s="3" t="inlineStr">
        <is>
          <t>kgCO2e/product</t>
        </is>
      </c>
      <c r="P170" s="7" t="n"/>
      <c r="Q170" s="4" t="n"/>
      <c r="R170" s="8" t="n"/>
      <c r="S170" s="3" t="inlineStr">
        <is>
          <t>Supplier</t>
        </is>
      </c>
      <c r="T170" s="3" t="inlineStr">
        <is>
          <t>No</t>
        </is>
      </c>
      <c r="U170" s="5" t="n"/>
      <c r="V170" s="3" t="n"/>
      <c r="W170" s="3" t="n"/>
      <c r="X170" s="6" t="n"/>
      <c r="Y170" s="3" t="inlineStr">
        <is>
          <t>kgCO2e/product</t>
        </is>
      </c>
      <c r="Z170" s="3" t="n"/>
      <c r="AA170" s="7" t="n"/>
      <c r="AB170" s="3" t="n"/>
      <c r="AC170" s="3" t="n"/>
      <c r="AD170" s="6" t="n"/>
      <c r="AE170" s="3" t="inlineStr">
        <is>
          <t>kgCO2e/product</t>
        </is>
      </c>
      <c r="AF170" s="3" t="n"/>
      <c r="AG170" s="7" t="n">
        <v>0</v>
      </c>
      <c r="AH170" s="3" t="n"/>
      <c r="AI170" s="3" t="n"/>
      <c r="AJ170" s="3" t="n"/>
      <c r="AK170" s="4">
        <f>IF(COUNT(AH170,AI170,AJ170)=0,"",ROUND(AVERAGE(AH170,AI170,AJ170),3))</f>
        <v/>
      </c>
      <c r="AL170" s="3">
        <f>IF(X170="","",ROUND(X170*IF(H170="",0,H170)*(1+IF(AA170="",0,AA170)),5))</f>
        <v/>
      </c>
      <c r="AM170" s="3" t="inlineStr">
        <is>
          <t>kgCO2e/product</t>
        </is>
      </c>
      <c r="AN170" s="5" t="n"/>
      <c r="AO170" s="9">
        <f>IF(AND($A170&lt;&gt;"",E170=""),"Supplier code empty (High);","")&amp;IF(AND(P170&lt;&gt;"",OR(P170&gt;1,P170&lt;0)),"Incorrect PDS value (High);",IF(AND(P170&lt;&gt;"",P170&gt;0.5),"High PDS value (Medium);",""))&amp;IF(AND(Q170&lt;&gt;"",OR(Q170&gt;5,Q170&lt;1)),"Incorrect DQR value (High);","")&amp;IF(AND(N170&lt;&gt;"",OR(N170&lt;=0,N170&gt;100)),"Unusual PCF value might be wrong (High);","")&amp;IF(AND(AG170&lt;&gt;"",OR(AG170&gt;1,AG170&lt;0)),"Incorrect PDS value (High);",IF(AND(AG170&lt;&gt;"",AG170&gt;0.5),"High PDS value (Medium);",""))&amp;IF(AND(AK170&lt;&gt;"",OR(AK170&gt;5,AK170&lt;1)),"Incorrect DQR value (High);","")&amp;IF(AND(AA170&lt;&gt;"",OR(AA170&gt;1,AA170&lt;0)),"Incorrect scrap rate (High);",IF(AND(AA170&lt;&gt;"",AA170&gt;0.2),"High scrap rate (Medium);",IF(AND($A170&lt;&gt;"",AA170=0),"No scrap rate (No impact);","")))&amp;""</f>
        <v/>
      </c>
      <c r="AP170" s="9" t="n"/>
    </row>
    <row r="171">
      <c r="A171" s="3" t="n"/>
      <c r="B171" s="3" t="n"/>
      <c r="C171" s="3" t="n"/>
      <c r="D171" s="3" t="n"/>
      <c r="E171" s="3" t="n"/>
      <c r="F171" s="3" t="n"/>
      <c r="G171" s="4" t="n"/>
      <c r="H171" s="4" t="n"/>
      <c r="I171" s="3" t="inlineStr">
        <is>
          <t>kg</t>
        </is>
      </c>
      <c r="J171" s="4" t="n"/>
      <c r="K171" s="3" t="inlineStr">
        <is>
          <t>kg</t>
        </is>
      </c>
      <c r="L171" s="3" t="n"/>
      <c r="M171" s="5" t="n"/>
      <c r="N171" s="6" t="n"/>
      <c r="O171" s="3" t="inlineStr">
        <is>
          <t>kgCO2e/product</t>
        </is>
      </c>
      <c r="P171" s="7" t="n"/>
      <c r="Q171" s="4" t="n"/>
      <c r="R171" s="8" t="n"/>
      <c r="S171" s="3" t="inlineStr">
        <is>
          <t>Supplier</t>
        </is>
      </c>
      <c r="T171" s="3" t="inlineStr">
        <is>
          <t>No</t>
        </is>
      </c>
      <c r="U171" s="5" t="n"/>
      <c r="V171" s="3" t="n"/>
      <c r="W171" s="3" t="n"/>
      <c r="X171" s="6" t="n"/>
      <c r="Y171" s="3" t="inlineStr">
        <is>
          <t>kgCO2e/product</t>
        </is>
      </c>
      <c r="Z171" s="3" t="n"/>
      <c r="AA171" s="7" t="n"/>
      <c r="AB171" s="3" t="n"/>
      <c r="AC171" s="3" t="n"/>
      <c r="AD171" s="6" t="n"/>
      <c r="AE171" s="3" t="inlineStr">
        <is>
          <t>kgCO2e/product</t>
        </is>
      </c>
      <c r="AF171" s="3" t="n"/>
      <c r="AG171" s="7" t="n">
        <v>0</v>
      </c>
      <c r="AH171" s="3" t="n"/>
      <c r="AI171" s="3" t="n"/>
      <c r="AJ171" s="3" t="n"/>
      <c r="AK171" s="4">
        <f>IF(COUNT(AH171,AI171,AJ171)=0,"",ROUND(AVERAGE(AH171,AI171,AJ171),3))</f>
        <v/>
      </c>
      <c r="AL171" s="3">
        <f>IF(X171="","",ROUND(X171*IF(H171="",0,H171)*(1+IF(AA171="",0,AA171)),5))</f>
        <v/>
      </c>
      <c r="AM171" s="3" t="inlineStr">
        <is>
          <t>kgCO2e/product</t>
        </is>
      </c>
      <c r="AN171" s="5" t="n"/>
      <c r="AO171" s="9">
        <f>IF(AND($A171&lt;&gt;"",E171=""),"Supplier code empty (High);","")&amp;IF(AND(P171&lt;&gt;"",OR(P171&gt;1,P171&lt;0)),"Incorrect PDS value (High);",IF(AND(P171&lt;&gt;"",P171&gt;0.5),"High PDS value (Medium);",""))&amp;IF(AND(Q171&lt;&gt;"",OR(Q171&gt;5,Q171&lt;1)),"Incorrect DQR value (High);","")&amp;IF(AND(N171&lt;&gt;"",OR(N171&lt;=0,N171&gt;100)),"Unusual PCF value might be wrong (High);","")&amp;IF(AND(AG171&lt;&gt;"",OR(AG171&gt;1,AG171&lt;0)),"Incorrect PDS value (High);",IF(AND(AG171&lt;&gt;"",AG171&gt;0.5),"High PDS value (Medium);",""))&amp;IF(AND(AK171&lt;&gt;"",OR(AK171&gt;5,AK171&lt;1)),"Incorrect DQR value (High);","")&amp;IF(AND(AA171&lt;&gt;"",OR(AA171&gt;1,AA171&lt;0)),"Incorrect scrap rate (High);",IF(AND(AA171&lt;&gt;"",AA171&gt;0.2),"High scrap rate (Medium);",IF(AND($A171&lt;&gt;"",AA171=0),"No scrap rate (No impact);","")))&amp;""</f>
        <v/>
      </c>
      <c r="AP171" s="9" t="n"/>
    </row>
    <row r="172">
      <c r="A172" s="3" t="n"/>
      <c r="B172" s="3" t="n"/>
      <c r="C172" s="3" t="n"/>
      <c r="D172" s="3" t="n"/>
      <c r="E172" s="3" t="n"/>
      <c r="F172" s="3" t="n"/>
      <c r="G172" s="4" t="n"/>
      <c r="H172" s="4" t="n"/>
      <c r="I172" s="3" t="inlineStr">
        <is>
          <t>kg</t>
        </is>
      </c>
      <c r="J172" s="4" t="n"/>
      <c r="K172" s="3" t="inlineStr">
        <is>
          <t>kg</t>
        </is>
      </c>
      <c r="L172" s="3" t="n"/>
      <c r="M172" s="5" t="n"/>
      <c r="N172" s="6" t="n"/>
      <c r="O172" s="3" t="inlineStr">
        <is>
          <t>kgCO2e/product</t>
        </is>
      </c>
      <c r="P172" s="7" t="n"/>
      <c r="Q172" s="4" t="n"/>
      <c r="R172" s="8" t="n"/>
      <c r="S172" s="3" t="inlineStr">
        <is>
          <t>Supplier</t>
        </is>
      </c>
      <c r="T172" s="3" t="inlineStr">
        <is>
          <t>No</t>
        </is>
      </c>
      <c r="U172" s="5" t="n"/>
      <c r="V172" s="3" t="n"/>
      <c r="W172" s="3" t="n"/>
      <c r="X172" s="6" t="n"/>
      <c r="Y172" s="3" t="inlineStr">
        <is>
          <t>kgCO2e/product</t>
        </is>
      </c>
      <c r="Z172" s="3" t="n"/>
      <c r="AA172" s="7" t="n"/>
      <c r="AB172" s="3" t="n"/>
      <c r="AC172" s="3" t="n"/>
      <c r="AD172" s="6" t="n"/>
      <c r="AE172" s="3" t="inlineStr">
        <is>
          <t>kgCO2e/product</t>
        </is>
      </c>
      <c r="AF172" s="3" t="n"/>
      <c r="AG172" s="7" t="n">
        <v>0</v>
      </c>
      <c r="AH172" s="3" t="n"/>
      <c r="AI172" s="3" t="n"/>
      <c r="AJ172" s="3" t="n"/>
      <c r="AK172" s="4">
        <f>IF(COUNT(AH172,AI172,AJ172)=0,"",ROUND(AVERAGE(AH172,AI172,AJ172),3))</f>
        <v/>
      </c>
      <c r="AL172" s="3">
        <f>IF(X172="","",ROUND(X172*IF(H172="",0,H172)*(1+IF(AA172="",0,AA172)),5))</f>
        <v/>
      </c>
      <c r="AM172" s="3" t="inlineStr">
        <is>
          <t>kgCO2e/product</t>
        </is>
      </c>
      <c r="AN172" s="5" t="n"/>
      <c r="AO172" s="9">
        <f>IF(AND($A172&lt;&gt;"",E172=""),"Supplier code empty (High);","")&amp;IF(AND(P172&lt;&gt;"",OR(P172&gt;1,P172&lt;0)),"Incorrect PDS value (High);",IF(AND(P172&lt;&gt;"",P172&gt;0.5),"High PDS value (Medium);",""))&amp;IF(AND(Q172&lt;&gt;"",OR(Q172&gt;5,Q172&lt;1)),"Incorrect DQR value (High);","")&amp;IF(AND(N172&lt;&gt;"",OR(N172&lt;=0,N172&gt;100)),"Unusual PCF value might be wrong (High);","")&amp;IF(AND(AG172&lt;&gt;"",OR(AG172&gt;1,AG172&lt;0)),"Incorrect PDS value (High);",IF(AND(AG172&lt;&gt;"",AG172&gt;0.5),"High PDS value (Medium);",""))&amp;IF(AND(AK172&lt;&gt;"",OR(AK172&gt;5,AK172&lt;1)),"Incorrect DQR value (High);","")&amp;IF(AND(AA172&lt;&gt;"",OR(AA172&gt;1,AA172&lt;0)),"Incorrect scrap rate (High);",IF(AND(AA172&lt;&gt;"",AA172&gt;0.2),"High scrap rate (Medium);",IF(AND($A172&lt;&gt;"",AA172=0),"No scrap rate (No impact);","")))&amp;""</f>
        <v/>
      </c>
      <c r="AP172" s="9" t="n"/>
    </row>
    <row r="173">
      <c r="A173" s="3" t="n"/>
      <c r="B173" s="3" t="n"/>
      <c r="C173" s="3" t="n"/>
      <c r="D173" s="3" t="n"/>
      <c r="E173" s="3" t="n"/>
      <c r="F173" s="3" t="n"/>
      <c r="G173" s="4" t="n"/>
      <c r="H173" s="4" t="n"/>
      <c r="I173" s="3" t="inlineStr">
        <is>
          <t>kg</t>
        </is>
      </c>
      <c r="J173" s="4" t="n"/>
      <c r="K173" s="3" t="inlineStr">
        <is>
          <t>kg</t>
        </is>
      </c>
      <c r="L173" s="3" t="n"/>
      <c r="M173" s="5" t="n"/>
      <c r="N173" s="6" t="n"/>
      <c r="O173" s="3" t="inlineStr">
        <is>
          <t>kgCO2e/product</t>
        </is>
      </c>
      <c r="P173" s="7" t="n"/>
      <c r="Q173" s="4" t="n"/>
      <c r="R173" s="8" t="n"/>
      <c r="S173" s="3" t="inlineStr">
        <is>
          <t>Supplier</t>
        </is>
      </c>
      <c r="T173" s="3" t="inlineStr">
        <is>
          <t>No</t>
        </is>
      </c>
      <c r="U173" s="5" t="n"/>
      <c r="V173" s="3" t="n"/>
      <c r="W173" s="3" t="n"/>
      <c r="X173" s="6" t="n"/>
      <c r="Y173" s="3" t="inlineStr">
        <is>
          <t>kgCO2e/product</t>
        </is>
      </c>
      <c r="Z173" s="3" t="n"/>
      <c r="AA173" s="7" t="n"/>
      <c r="AB173" s="3" t="n"/>
      <c r="AC173" s="3" t="n"/>
      <c r="AD173" s="6" t="n"/>
      <c r="AE173" s="3" t="inlineStr">
        <is>
          <t>kgCO2e/product</t>
        </is>
      </c>
      <c r="AF173" s="3" t="n"/>
      <c r="AG173" s="7" t="n">
        <v>0</v>
      </c>
      <c r="AH173" s="3" t="n"/>
      <c r="AI173" s="3" t="n"/>
      <c r="AJ173" s="3" t="n"/>
      <c r="AK173" s="4">
        <f>IF(COUNT(AH173,AI173,AJ173)=0,"",ROUND(AVERAGE(AH173,AI173,AJ173),3))</f>
        <v/>
      </c>
      <c r="AL173" s="3">
        <f>IF(X173="","",ROUND(X173*IF(H173="",0,H173)*(1+IF(AA173="",0,AA173)),5))</f>
        <v/>
      </c>
      <c r="AM173" s="3" t="inlineStr">
        <is>
          <t>kgCO2e/product</t>
        </is>
      </c>
      <c r="AN173" s="5" t="n"/>
      <c r="AO173" s="9">
        <f>IF(AND($A173&lt;&gt;"",E173=""),"Supplier code empty (High);","")&amp;IF(AND(P173&lt;&gt;"",OR(P173&gt;1,P173&lt;0)),"Incorrect PDS value (High);",IF(AND(P173&lt;&gt;"",P173&gt;0.5),"High PDS value (Medium);",""))&amp;IF(AND(Q173&lt;&gt;"",OR(Q173&gt;5,Q173&lt;1)),"Incorrect DQR value (High);","")&amp;IF(AND(N173&lt;&gt;"",OR(N173&lt;=0,N173&gt;100)),"Unusual PCF value might be wrong (High);","")&amp;IF(AND(AG173&lt;&gt;"",OR(AG173&gt;1,AG173&lt;0)),"Incorrect PDS value (High);",IF(AND(AG173&lt;&gt;"",AG173&gt;0.5),"High PDS value (Medium);",""))&amp;IF(AND(AK173&lt;&gt;"",OR(AK173&gt;5,AK173&lt;1)),"Incorrect DQR value (High);","")&amp;IF(AND(AA173&lt;&gt;"",OR(AA173&gt;1,AA173&lt;0)),"Incorrect scrap rate (High);",IF(AND(AA173&lt;&gt;"",AA173&gt;0.2),"High scrap rate (Medium);",IF(AND($A173&lt;&gt;"",AA173=0),"No scrap rate (No impact);","")))&amp;""</f>
        <v/>
      </c>
      <c r="AP173" s="9" t="n"/>
    </row>
    <row r="174">
      <c r="A174" s="3" t="n"/>
      <c r="B174" s="3" t="n"/>
      <c r="C174" s="3" t="n"/>
      <c r="D174" s="3" t="n"/>
      <c r="E174" s="3" t="n"/>
      <c r="F174" s="3" t="n"/>
      <c r="G174" s="4" t="n"/>
      <c r="H174" s="4" t="n"/>
      <c r="I174" s="3" t="inlineStr">
        <is>
          <t>kg</t>
        </is>
      </c>
      <c r="J174" s="4" t="n"/>
      <c r="K174" s="3" t="inlineStr">
        <is>
          <t>kg</t>
        </is>
      </c>
      <c r="L174" s="3" t="n"/>
      <c r="M174" s="5" t="n"/>
      <c r="N174" s="6" t="n"/>
      <c r="O174" s="3" t="inlineStr">
        <is>
          <t>kgCO2e/product</t>
        </is>
      </c>
      <c r="P174" s="7" t="n"/>
      <c r="Q174" s="4" t="n"/>
      <c r="R174" s="8" t="n"/>
      <c r="S174" s="3" t="inlineStr">
        <is>
          <t>Supplier</t>
        </is>
      </c>
      <c r="T174" s="3" t="inlineStr">
        <is>
          <t>No</t>
        </is>
      </c>
      <c r="U174" s="5" t="n"/>
      <c r="V174" s="3" t="n"/>
      <c r="W174" s="3" t="n"/>
      <c r="X174" s="6" t="n"/>
      <c r="Y174" s="3" t="inlineStr">
        <is>
          <t>kgCO2e/product</t>
        </is>
      </c>
      <c r="Z174" s="3" t="n"/>
      <c r="AA174" s="7" t="n"/>
      <c r="AB174" s="3" t="n"/>
      <c r="AC174" s="3" t="n"/>
      <c r="AD174" s="6" t="n"/>
      <c r="AE174" s="3" t="inlineStr">
        <is>
          <t>kgCO2e/product</t>
        </is>
      </c>
      <c r="AF174" s="3" t="n"/>
      <c r="AG174" s="7" t="n">
        <v>0</v>
      </c>
      <c r="AH174" s="3" t="n"/>
      <c r="AI174" s="3" t="n"/>
      <c r="AJ174" s="3" t="n"/>
      <c r="AK174" s="4">
        <f>IF(COUNT(AH174,AI174,AJ174)=0,"",ROUND(AVERAGE(AH174,AI174,AJ174),3))</f>
        <v/>
      </c>
      <c r="AL174" s="3">
        <f>IF(X174="","",ROUND(X174*IF(H174="",0,H174)*(1+IF(AA174="",0,AA174)),5))</f>
        <v/>
      </c>
      <c r="AM174" s="3" t="inlineStr">
        <is>
          <t>kgCO2e/product</t>
        </is>
      </c>
      <c r="AN174" s="5" t="n"/>
      <c r="AO174" s="9">
        <f>IF(AND($A174&lt;&gt;"",E174=""),"Supplier code empty (High);","")&amp;IF(AND(P174&lt;&gt;"",OR(P174&gt;1,P174&lt;0)),"Incorrect PDS value (High);",IF(AND(P174&lt;&gt;"",P174&gt;0.5),"High PDS value (Medium);",""))&amp;IF(AND(Q174&lt;&gt;"",OR(Q174&gt;5,Q174&lt;1)),"Incorrect DQR value (High);","")&amp;IF(AND(N174&lt;&gt;"",OR(N174&lt;=0,N174&gt;100)),"Unusual PCF value might be wrong (High);","")&amp;IF(AND(AG174&lt;&gt;"",OR(AG174&gt;1,AG174&lt;0)),"Incorrect PDS value (High);",IF(AND(AG174&lt;&gt;"",AG174&gt;0.5),"High PDS value (Medium);",""))&amp;IF(AND(AK174&lt;&gt;"",OR(AK174&gt;5,AK174&lt;1)),"Incorrect DQR value (High);","")&amp;IF(AND(AA174&lt;&gt;"",OR(AA174&gt;1,AA174&lt;0)),"Incorrect scrap rate (High);",IF(AND(AA174&lt;&gt;"",AA174&gt;0.2),"High scrap rate (Medium);",IF(AND($A174&lt;&gt;"",AA174=0),"No scrap rate (No impact);","")))&amp;""</f>
        <v/>
      </c>
      <c r="AP174" s="9" t="n"/>
    </row>
    <row r="175">
      <c r="A175" s="3" t="n"/>
      <c r="B175" s="3" t="n"/>
      <c r="C175" s="3" t="n"/>
      <c r="D175" s="3" t="n"/>
      <c r="E175" s="3" t="n"/>
      <c r="F175" s="3" t="n"/>
      <c r="G175" s="4" t="n"/>
      <c r="H175" s="4" t="n"/>
      <c r="I175" s="3" t="inlineStr">
        <is>
          <t>kg</t>
        </is>
      </c>
      <c r="J175" s="4" t="n"/>
      <c r="K175" s="3" t="inlineStr">
        <is>
          <t>kg</t>
        </is>
      </c>
      <c r="L175" s="3" t="n"/>
      <c r="M175" s="5" t="n"/>
      <c r="N175" s="6" t="n"/>
      <c r="O175" s="3" t="inlineStr">
        <is>
          <t>kgCO2e/product</t>
        </is>
      </c>
      <c r="P175" s="7" t="n"/>
      <c r="Q175" s="4" t="n"/>
      <c r="R175" s="8" t="n"/>
      <c r="S175" s="3" t="inlineStr">
        <is>
          <t>Supplier</t>
        </is>
      </c>
      <c r="T175" s="3" t="inlineStr">
        <is>
          <t>No</t>
        </is>
      </c>
      <c r="U175" s="5" t="n"/>
      <c r="V175" s="3" t="n"/>
      <c r="W175" s="3" t="n"/>
      <c r="X175" s="6" t="n"/>
      <c r="Y175" s="3" t="inlineStr">
        <is>
          <t>kgCO2e/product</t>
        </is>
      </c>
      <c r="Z175" s="3" t="n"/>
      <c r="AA175" s="7" t="n"/>
      <c r="AB175" s="3" t="n"/>
      <c r="AC175" s="3" t="n"/>
      <c r="AD175" s="6" t="n"/>
      <c r="AE175" s="3" t="inlineStr">
        <is>
          <t>kgCO2e/product</t>
        </is>
      </c>
      <c r="AF175" s="3" t="n"/>
      <c r="AG175" s="7" t="n">
        <v>0</v>
      </c>
      <c r="AH175" s="3" t="n"/>
      <c r="AI175" s="3" t="n"/>
      <c r="AJ175" s="3" t="n"/>
      <c r="AK175" s="4">
        <f>IF(COUNT(AH175,AI175,AJ175)=0,"",ROUND(AVERAGE(AH175,AI175,AJ175),3))</f>
        <v/>
      </c>
      <c r="AL175" s="3">
        <f>IF(X175="","",ROUND(X175*IF(H175="",0,H175)*(1+IF(AA175="",0,AA175)),5))</f>
        <v/>
      </c>
      <c r="AM175" s="3" t="inlineStr">
        <is>
          <t>kgCO2e/product</t>
        </is>
      </c>
      <c r="AN175" s="5" t="n"/>
      <c r="AO175" s="9">
        <f>IF(AND($A175&lt;&gt;"",E175=""),"Supplier code empty (High);","")&amp;IF(AND(P175&lt;&gt;"",OR(P175&gt;1,P175&lt;0)),"Incorrect PDS value (High);",IF(AND(P175&lt;&gt;"",P175&gt;0.5),"High PDS value (Medium);",""))&amp;IF(AND(Q175&lt;&gt;"",OR(Q175&gt;5,Q175&lt;1)),"Incorrect DQR value (High);","")&amp;IF(AND(N175&lt;&gt;"",OR(N175&lt;=0,N175&gt;100)),"Unusual PCF value might be wrong (High);","")&amp;IF(AND(AG175&lt;&gt;"",OR(AG175&gt;1,AG175&lt;0)),"Incorrect PDS value (High);",IF(AND(AG175&lt;&gt;"",AG175&gt;0.5),"High PDS value (Medium);",""))&amp;IF(AND(AK175&lt;&gt;"",OR(AK175&gt;5,AK175&lt;1)),"Incorrect DQR value (High);","")&amp;IF(AND(AA175&lt;&gt;"",OR(AA175&gt;1,AA175&lt;0)),"Incorrect scrap rate (High);",IF(AND(AA175&lt;&gt;"",AA175&gt;0.2),"High scrap rate (Medium);",IF(AND($A175&lt;&gt;"",AA175=0),"No scrap rate (No impact);","")))&amp;""</f>
        <v/>
      </c>
      <c r="AP175" s="9" t="n"/>
    </row>
    <row r="176">
      <c r="A176" s="3" t="n"/>
      <c r="B176" s="3" t="n"/>
      <c r="C176" s="3" t="n"/>
      <c r="D176" s="3" t="n"/>
      <c r="E176" s="3" t="n"/>
      <c r="F176" s="3" t="n"/>
      <c r="G176" s="4" t="n"/>
      <c r="H176" s="4" t="n"/>
      <c r="I176" s="3" t="inlineStr">
        <is>
          <t>kg</t>
        </is>
      </c>
      <c r="J176" s="4" t="n"/>
      <c r="K176" s="3" t="inlineStr">
        <is>
          <t>kg</t>
        </is>
      </c>
      <c r="L176" s="3" t="n"/>
      <c r="M176" s="5" t="n"/>
      <c r="N176" s="6" t="n"/>
      <c r="O176" s="3" t="inlineStr">
        <is>
          <t>kgCO2e/product</t>
        </is>
      </c>
      <c r="P176" s="7" t="n"/>
      <c r="Q176" s="4" t="n"/>
      <c r="R176" s="8" t="n"/>
      <c r="S176" s="3" t="inlineStr">
        <is>
          <t>Supplier</t>
        </is>
      </c>
      <c r="T176" s="3" t="inlineStr">
        <is>
          <t>No</t>
        </is>
      </c>
      <c r="U176" s="5" t="n"/>
      <c r="V176" s="3" t="n"/>
      <c r="W176" s="3" t="n"/>
      <c r="X176" s="6" t="n"/>
      <c r="Y176" s="3" t="inlineStr">
        <is>
          <t>kgCO2e/product</t>
        </is>
      </c>
      <c r="Z176" s="3" t="n"/>
      <c r="AA176" s="7" t="n"/>
      <c r="AB176" s="3" t="n"/>
      <c r="AC176" s="3" t="n"/>
      <c r="AD176" s="6" t="n"/>
      <c r="AE176" s="3" t="inlineStr">
        <is>
          <t>kgCO2e/product</t>
        </is>
      </c>
      <c r="AF176" s="3" t="n"/>
      <c r="AG176" s="7" t="n">
        <v>0</v>
      </c>
      <c r="AH176" s="3" t="n"/>
      <c r="AI176" s="3" t="n"/>
      <c r="AJ176" s="3" t="n"/>
      <c r="AK176" s="4">
        <f>IF(COUNT(AH176,AI176,AJ176)=0,"",ROUND(AVERAGE(AH176,AI176,AJ176),3))</f>
        <v/>
      </c>
      <c r="AL176" s="3">
        <f>IF(X176="","",ROUND(X176*IF(H176="",0,H176)*(1+IF(AA176="",0,AA176)),5))</f>
        <v/>
      </c>
      <c r="AM176" s="3" t="inlineStr">
        <is>
          <t>kgCO2e/product</t>
        </is>
      </c>
      <c r="AN176" s="5" t="n"/>
      <c r="AO176" s="9">
        <f>IF(AND($A176&lt;&gt;"",E176=""),"Supplier code empty (High);","")&amp;IF(AND(P176&lt;&gt;"",OR(P176&gt;1,P176&lt;0)),"Incorrect PDS value (High);",IF(AND(P176&lt;&gt;"",P176&gt;0.5),"High PDS value (Medium);",""))&amp;IF(AND(Q176&lt;&gt;"",OR(Q176&gt;5,Q176&lt;1)),"Incorrect DQR value (High);","")&amp;IF(AND(N176&lt;&gt;"",OR(N176&lt;=0,N176&gt;100)),"Unusual PCF value might be wrong (High);","")&amp;IF(AND(AG176&lt;&gt;"",OR(AG176&gt;1,AG176&lt;0)),"Incorrect PDS value (High);",IF(AND(AG176&lt;&gt;"",AG176&gt;0.5),"High PDS value (Medium);",""))&amp;IF(AND(AK176&lt;&gt;"",OR(AK176&gt;5,AK176&lt;1)),"Incorrect DQR value (High);","")&amp;IF(AND(AA176&lt;&gt;"",OR(AA176&gt;1,AA176&lt;0)),"Incorrect scrap rate (High);",IF(AND(AA176&lt;&gt;"",AA176&gt;0.2),"High scrap rate (Medium);",IF(AND($A176&lt;&gt;"",AA176=0),"No scrap rate (No impact);","")))&amp;""</f>
        <v/>
      </c>
      <c r="AP176" s="9" t="n"/>
    </row>
    <row r="177">
      <c r="A177" s="3" t="n"/>
      <c r="B177" s="3" t="n"/>
      <c r="C177" s="3" t="n"/>
      <c r="D177" s="3" t="n"/>
      <c r="E177" s="3" t="n"/>
      <c r="F177" s="3" t="n"/>
      <c r="G177" s="4" t="n"/>
      <c r="H177" s="4" t="n"/>
      <c r="I177" s="3" t="inlineStr">
        <is>
          <t>kg</t>
        </is>
      </c>
      <c r="J177" s="4" t="n"/>
      <c r="K177" s="3" t="inlineStr">
        <is>
          <t>kg</t>
        </is>
      </c>
      <c r="L177" s="3" t="n"/>
      <c r="M177" s="5" t="n"/>
      <c r="N177" s="6" t="n"/>
      <c r="O177" s="3" t="inlineStr">
        <is>
          <t>kgCO2e/product</t>
        </is>
      </c>
      <c r="P177" s="7" t="n"/>
      <c r="Q177" s="4" t="n"/>
      <c r="R177" s="8" t="n"/>
      <c r="S177" s="3" t="inlineStr">
        <is>
          <t>Supplier</t>
        </is>
      </c>
      <c r="T177" s="3" t="inlineStr">
        <is>
          <t>No</t>
        </is>
      </c>
      <c r="U177" s="5" t="n"/>
      <c r="V177" s="3" t="n"/>
      <c r="W177" s="3" t="n"/>
      <c r="X177" s="6" t="n"/>
      <c r="Y177" s="3" t="inlineStr">
        <is>
          <t>kgCO2e/product</t>
        </is>
      </c>
      <c r="Z177" s="3" t="n"/>
      <c r="AA177" s="7" t="n"/>
      <c r="AB177" s="3" t="n"/>
      <c r="AC177" s="3" t="n"/>
      <c r="AD177" s="6" t="n"/>
      <c r="AE177" s="3" t="inlineStr">
        <is>
          <t>kgCO2e/product</t>
        </is>
      </c>
      <c r="AF177" s="3" t="n"/>
      <c r="AG177" s="7" t="n">
        <v>0</v>
      </c>
      <c r="AH177" s="3" t="n"/>
      <c r="AI177" s="3" t="n"/>
      <c r="AJ177" s="3" t="n"/>
      <c r="AK177" s="4">
        <f>IF(COUNT(AH177,AI177,AJ177)=0,"",ROUND(AVERAGE(AH177,AI177,AJ177),3))</f>
        <v/>
      </c>
      <c r="AL177" s="3">
        <f>IF(X177="","",ROUND(X177*IF(H177="",0,H177)*(1+IF(AA177="",0,AA177)),5))</f>
        <v/>
      </c>
      <c r="AM177" s="3" t="inlineStr">
        <is>
          <t>kgCO2e/product</t>
        </is>
      </c>
      <c r="AN177" s="5" t="n"/>
      <c r="AO177" s="9">
        <f>IF(AND($A177&lt;&gt;"",E177=""),"Supplier code empty (High);","")&amp;IF(AND(P177&lt;&gt;"",OR(P177&gt;1,P177&lt;0)),"Incorrect PDS value (High);",IF(AND(P177&lt;&gt;"",P177&gt;0.5),"High PDS value (Medium);",""))&amp;IF(AND(Q177&lt;&gt;"",OR(Q177&gt;5,Q177&lt;1)),"Incorrect DQR value (High);","")&amp;IF(AND(N177&lt;&gt;"",OR(N177&lt;=0,N177&gt;100)),"Unusual PCF value might be wrong (High);","")&amp;IF(AND(AG177&lt;&gt;"",OR(AG177&gt;1,AG177&lt;0)),"Incorrect PDS value (High);",IF(AND(AG177&lt;&gt;"",AG177&gt;0.5),"High PDS value (Medium);",""))&amp;IF(AND(AK177&lt;&gt;"",OR(AK177&gt;5,AK177&lt;1)),"Incorrect DQR value (High);","")&amp;IF(AND(AA177&lt;&gt;"",OR(AA177&gt;1,AA177&lt;0)),"Incorrect scrap rate (High);",IF(AND(AA177&lt;&gt;"",AA177&gt;0.2),"High scrap rate (Medium);",IF(AND($A177&lt;&gt;"",AA177=0),"No scrap rate (No impact);","")))&amp;""</f>
        <v/>
      </c>
      <c r="AP177" s="9" t="n"/>
    </row>
    <row r="178">
      <c r="A178" s="3" t="n"/>
      <c r="B178" s="3" t="n"/>
      <c r="C178" s="3" t="n"/>
      <c r="D178" s="3" t="n"/>
      <c r="E178" s="3" t="n"/>
      <c r="F178" s="3" t="n"/>
      <c r="G178" s="4" t="n"/>
      <c r="H178" s="4" t="n"/>
      <c r="I178" s="3" t="inlineStr">
        <is>
          <t>kg</t>
        </is>
      </c>
      <c r="J178" s="4" t="n"/>
      <c r="K178" s="3" t="inlineStr">
        <is>
          <t>kg</t>
        </is>
      </c>
      <c r="L178" s="3" t="n"/>
      <c r="M178" s="5" t="n"/>
      <c r="N178" s="6" t="n"/>
      <c r="O178" s="3" t="inlineStr">
        <is>
          <t>kgCO2e/product</t>
        </is>
      </c>
      <c r="P178" s="7" t="n"/>
      <c r="Q178" s="4" t="n"/>
      <c r="R178" s="8" t="n"/>
      <c r="S178" s="3" t="inlineStr">
        <is>
          <t>Supplier</t>
        </is>
      </c>
      <c r="T178" s="3" t="inlineStr">
        <is>
          <t>No</t>
        </is>
      </c>
      <c r="U178" s="5" t="n"/>
      <c r="V178" s="3" t="n"/>
      <c r="W178" s="3" t="n"/>
      <c r="X178" s="6" t="n"/>
      <c r="Y178" s="3" t="inlineStr">
        <is>
          <t>kgCO2e/product</t>
        </is>
      </c>
      <c r="Z178" s="3" t="n"/>
      <c r="AA178" s="7" t="n"/>
      <c r="AB178" s="3" t="n"/>
      <c r="AC178" s="3" t="n"/>
      <c r="AD178" s="6" t="n"/>
      <c r="AE178" s="3" t="inlineStr">
        <is>
          <t>kgCO2e/product</t>
        </is>
      </c>
      <c r="AF178" s="3" t="n"/>
      <c r="AG178" s="7" t="n">
        <v>0</v>
      </c>
      <c r="AH178" s="3" t="n"/>
      <c r="AI178" s="3" t="n"/>
      <c r="AJ178" s="3" t="n"/>
      <c r="AK178" s="4">
        <f>IF(COUNT(AH178,AI178,AJ178)=0,"",ROUND(AVERAGE(AH178,AI178,AJ178),3))</f>
        <v/>
      </c>
      <c r="AL178" s="3">
        <f>IF(X178="","",ROUND(X178*IF(H178="",0,H178)*(1+IF(AA178="",0,AA178)),5))</f>
        <v/>
      </c>
      <c r="AM178" s="3" t="inlineStr">
        <is>
          <t>kgCO2e/product</t>
        </is>
      </c>
      <c r="AN178" s="5" t="n"/>
      <c r="AO178" s="9">
        <f>IF(AND($A178&lt;&gt;"",E178=""),"Supplier code empty (High);","")&amp;IF(AND(P178&lt;&gt;"",OR(P178&gt;1,P178&lt;0)),"Incorrect PDS value (High);",IF(AND(P178&lt;&gt;"",P178&gt;0.5),"High PDS value (Medium);",""))&amp;IF(AND(Q178&lt;&gt;"",OR(Q178&gt;5,Q178&lt;1)),"Incorrect DQR value (High);","")&amp;IF(AND(N178&lt;&gt;"",OR(N178&lt;=0,N178&gt;100)),"Unusual PCF value might be wrong (High);","")&amp;IF(AND(AG178&lt;&gt;"",OR(AG178&gt;1,AG178&lt;0)),"Incorrect PDS value (High);",IF(AND(AG178&lt;&gt;"",AG178&gt;0.5),"High PDS value (Medium);",""))&amp;IF(AND(AK178&lt;&gt;"",OR(AK178&gt;5,AK178&lt;1)),"Incorrect DQR value (High);","")&amp;IF(AND(AA178&lt;&gt;"",OR(AA178&gt;1,AA178&lt;0)),"Incorrect scrap rate (High);",IF(AND(AA178&lt;&gt;"",AA178&gt;0.2),"High scrap rate (Medium);",IF(AND($A178&lt;&gt;"",AA178=0),"No scrap rate (No impact);","")))&amp;""</f>
        <v/>
      </c>
      <c r="AP178" s="9" t="n"/>
    </row>
    <row r="179">
      <c r="A179" s="3" t="n"/>
      <c r="B179" s="3" t="n"/>
      <c r="C179" s="3" t="n"/>
      <c r="D179" s="3" t="n"/>
      <c r="E179" s="3" t="n"/>
      <c r="F179" s="3" t="n"/>
      <c r="G179" s="4" t="n"/>
      <c r="H179" s="4" t="n"/>
      <c r="I179" s="3" t="inlineStr">
        <is>
          <t>kg</t>
        </is>
      </c>
      <c r="J179" s="4" t="n"/>
      <c r="K179" s="3" t="inlineStr">
        <is>
          <t>kg</t>
        </is>
      </c>
      <c r="L179" s="3" t="n"/>
      <c r="M179" s="5" t="n"/>
      <c r="N179" s="6" t="n"/>
      <c r="O179" s="3" t="inlineStr">
        <is>
          <t>kgCO2e/product</t>
        </is>
      </c>
      <c r="P179" s="7" t="n"/>
      <c r="Q179" s="4" t="n"/>
      <c r="R179" s="8" t="n"/>
      <c r="S179" s="3" t="inlineStr">
        <is>
          <t>Supplier</t>
        </is>
      </c>
      <c r="T179" s="3" t="inlineStr">
        <is>
          <t>No</t>
        </is>
      </c>
      <c r="U179" s="5" t="n"/>
      <c r="V179" s="3" t="n"/>
      <c r="W179" s="3" t="n"/>
      <c r="X179" s="6" t="n"/>
      <c r="Y179" s="3" t="inlineStr">
        <is>
          <t>kgCO2e/product</t>
        </is>
      </c>
      <c r="Z179" s="3" t="n"/>
      <c r="AA179" s="7" t="n"/>
      <c r="AB179" s="3" t="n"/>
      <c r="AC179" s="3" t="n"/>
      <c r="AD179" s="6" t="n"/>
      <c r="AE179" s="3" t="inlineStr">
        <is>
          <t>kgCO2e/product</t>
        </is>
      </c>
      <c r="AF179" s="3" t="n"/>
      <c r="AG179" s="7" t="n">
        <v>0</v>
      </c>
      <c r="AH179" s="3" t="n"/>
      <c r="AI179" s="3" t="n"/>
      <c r="AJ179" s="3" t="n"/>
      <c r="AK179" s="4">
        <f>IF(COUNT(AH179,AI179,AJ179)=0,"",ROUND(AVERAGE(AH179,AI179,AJ179),3))</f>
        <v/>
      </c>
      <c r="AL179" s="3">
        <f>IF(X179="","",ROUND(X179*IF(H179="",0,H179)*(1+IF(AA179="",0,AA179)),5))</f>
        <v/>
      </c>
      <c r="AM179" s="3" t="inlineStr">
        <is>
          <t>kgCO2e/product</t>
        </is>
      </c>
      <c r="AN179" s="5" t="n"/>
      <c r="AO179" s="9">
        <f>IF(AND($A179&lt;&gt;"",E179=""),"Supplier code empty (High);","")&amp;IF(AND(P179&lt;&gt;"",OR(P179&gt;1,P179&lt;0)),"Incorrect PDS value (High);",IF(AND(P179&lt;&gt;"",P179&gt;0.5),"High PDS value (Medium);",""))&amp;IF(AND(Q179&lt;&gt;"",OR(Q179&gt;5,Q179&lt;1)),"Incorrect DQR value (High);","")&amp;IF(AND(N179&lt;&gt;"",OR(N179&lt;=0,N179&gt;100)),"Unusual PCF value might be wrong (High);","")&amp;IF(AND(AG179&lt;&gt;"",OR(AG179&gt;1,AG179&lt;0)),"Incorrect PDS value (High);",IF(AND(AG179&lt;&gt;"",AG179&gt;0.5),"High PDS value (Medium);",""))&amp;IF(AND(AK179&lt;&gt;"",OR(AK179&gt;5,AK179&lt;1)),"Incorrect DQR value (High);","")&amp;IF(AND(AA179&lt;&gt;"",OR(AA179&gt;1,AA179&lt;0)),"Incorrect scrap rate (High);",IF(AND(AA179&lt;&gt;"",AA179&gt;0.2),"High scrap rate (Medium);",IF(AND($A179&lt;&gt;"",AA179=0),"No scrap rate (No impact);","")))&amp;""</f>
        <v/>
      </c>
      <c r="AP179" s="9" t="n"/>
    </row>
    <row r="180">
      <c r="A180" s="3" t="n"/>
      <c r="B180" s="3" t="n"/>
      <c r="C180" s="3" t="n"/>
      <c r="D180" s="3" t="n"/>
      <c r="E180" s="3" t="n"/>
      <c r="F180" s="3" t="n"/>
      <c r="G180" s="4" t="n"/>
      <c r="H180" s="4" t="n"/>
      <c r="I180" s="3" t="inlineStr">
        <is>
          <t>kg</t>
        </is>
      </c>
      <c r="J180" s="4" t="n"/>
      <c r="K180" s="3" t="inlineStr">
        <is>
          <t>kg</t>
        </is>
      </c>
      <c r="L180" s="3" t="n"/>
      <c r="M180" s="5" t="n"/>
      <c r="N180" s="6" t="n"/>
      <c r="O180" s="3" t="inlineStr">
        <is>
          <t>kgCO2e/product</t>
        </is>
      </c>
      <c r="P180" s="7" t="n"/>
      <c r="Q180" s="4" t="n"/>
      <c r="R180" s="8" t="n"/>
      <c r="S180" s="3" t="inlineStr">
        <is>
          <t>Supplier</t>
        </is>
      </c>
      <c r="T180" s="3" t="inlineStr">
        <is>
          <t>No</t>
        </is>
      </c>
      <c r="U180" s="5" t="n"/>
      <c r="V180" s="3" t="n"/>
      <c r="W180" s="3" t="n"/>
      <c r="X180" s="6" t="n"/>
      <c r="Y180" s="3" t="inlineStr">
        <is>
          <t>kgCO2e/product</t>
        </is>
      </c>
      <c r="Z180" s="3" t="n"/>
      <c r="AA180" s="7" t="n"/>
      <c r="AB180" s="3" t="n"/>
      <c r="AC180" s="3" t="n"/>
      <c r="AD180" s="6" t="n"/>
      <c r="AE180" s="3" t="inlineStr">
        <is>
          <t>kgCO2e/product</t>
        </is>
      </c>
      <c r="AF180" s="3" t="n"/>
      <c r="AG180" s="7" t="n">
        <v>0</v>
      </c>
      <c r="AH180" s="3" t="n"/>
      <c r="AI180" s="3" t="n"/>
      <c r="AJ180" s="3" t="n"/>
      <c r="AK180" s="4">
        <f>IF(COUNT(AH180,AI180,AJ180)=0,"",ROUND(AVERAGE(AH180,AI180,AJ180),3))</f>
        <v/>
      </c>
      <c r="AL180" s="3">
        <f>IF(X180="","",ROUND(X180*IF(H180="",0,H180)*(1+IF(AA180="",0,AA180)),5))</f>
        <v/>
      </c>
      <c r="AM180" s="3" t="inlineStr">
        <is>
          <t>kgCO2e/product</t>
        </is>
      </c>
      <c r="AN180" s="5" t="n"/>
      <c r="AO180" s="9">
        <f>IF(AND($A180&lt;&gt;"",E180=""),"Supplier code empty (High);","")&amp;IF(AND(P180&lt;&gt;"",OR(P180&gt;1,P180&lt;0)),"Incorrect PDS value (High);",IF(AND(P180&lt;&gt;"",P180&gt;0.5),"High PDS value (Medium);",""))&amp;IF(AND(Q180&lt;&gt;"",OR(Q180&gt;5,Q180&lt;1)),"Incorrect DQR value (High);","")&amp;IF(AND(N180&lt;&gt;"",OR(N180&lt;=0,N180&gt;100)),"Unusual PCF value might be wrong (High);","")&amp;IF(AND(AG180&lt;&gt;"",OR(AG180&gt;1,AG180&lt;0)),"Incorrect PDS value (High);",IF(AND(AG180&lt;&gt;"",AG180&gt;0.5),"High PDS value (Medium);",""))&amp;IF(AND(AK180&lt;&gt;"",OR(AK180&gt;5,AK180&lt;1)),"Incorrect DQR value (High);","")&amp;IF(AND(AA180&lt;&gt;"",OR(AA180&gt;1,AA180&lt;0)),"Incorrect scrap rate (High);",IF(AND(AA180&lt;&gt;"",AA180&gt;0.2),"High scrap rate (Medium);",IF(AND($A180&lt;&gt;"",AA180=0),"No scrap rate (No impact);","")))&amp;""</f>
        <v/>
      </c>
      <c r="AP180" s="9" t="n"/>
    </row>
    <row r="181">
      <c r="A181" s="3" t="n"/>
      <c r="B181" s="3" t="n"/>
      <c r="C181" s="3" t="n"/>
      <c r="D181" s="3" t="n"/>
      <c r="E181" s="3" t="n"/>
      <c r="F181" s="3" t="n"/>
      <c r="G181" s="4" t="n"/>
      <c r="H181" s="4" t="n"/>
      <c r="I181" s="3" t="inlineStr">
        <is>
          <t>kg</t>
        </is>
      </c>
      <c r="J181" s="4" t="n"/>
      <c r="K181" s="3" t="inlineStr">
        <is>
          <t>kg</t>
        </is>
      </c>
      <c r="L181" s="3" t="n"/>
      <c r="M181" s="5" t="n"/>
      <c r="N181" s="6" t="n"/>
      <c r="O181" s="3" t="inlineStr">
        <is>
          <t>kgCO2e/product</t>
        </is>
      </c>
      <c r="P181" s="7" t="n"/>
      <c r="Q181" s="4" t="n"/>
      <c r="R181" s="8" t="n"/>
      <c r="S181" s="3" t="inlineStr">
        <is>
          <t>Supplier</t>
        </is>
      </c>
      <c r="T181" s="3" t="inlineStr">
        <is>
          <t>No</t>
        </is>
      </c>
      <c r="U181" s="5" t="n"/>
      <c r="V181" s="3" t="n"/>
      <c r="W181" s="3" t="n"/>
      <c r="X181" s="6" t="n"/>
      <c r="Y181" s="3" t="inlineStr">
        <is>
          <t>kgCO2e/product</t>
        </is>
      </c>
      <c r="Z181" s="3" t="n"/>
      <c r="AA181" s="7" t="n"/>
      <c r="AB181" s="3" t="n"/>
      <c r="AC181" s="3" t="n"/>
      <c r="AD181" s="6" t="n"/>
      <c r="AE181" s="3" t="inlineStr">
        <is>
          <t>kgCO2e/product</t>
        </is>
      </c>
      <c r="AF181" s="3" t="n"/>
      <c r="AG181" s="7" t="n">
        <v>0</v>
      </c>
      <c r="AH181" s="3" t="n"/>
      <c r="AI181" s="3" t="n"/>
      <c r="AJ181" s="3" t="n"/>
      <c r="AK181" s="4">
        <f>IF(COUNT(AH181,AI181,AJ181)=0,"",ROUND(AVERAGE(AH181,AI181,AJ181),3))</f>
        <v/>
      </c>
      <c r="AL181" s="3">
        <f>IF(X181="","",ROUND(X181*IF(H181="",0,H181)*(1+IF(AA181="",0,AA181)),5))</f>
        <v/>
      </c>
      <c r="AM181" s="3" t="inlineStr">
        <is>
          <t>kgCO2e/product</t>
        </is>
      </c>
      <c r="AN181" s="5" t="n"/>
      <c r="AO181" s="9">
        <f>IF(AND($A181&lt;&gt;"",E181=""),"Supplier code empty (High);","")&amp;IF(AND(P181&lt;&gt;"",OR(P181&gt;1,P181&lt;0)),"Incorrect PDS value (High);",IF(AND(P181&lt;&gt;"",P181&gt;0.5),"High PDS value (Medium);",""))&amp;IF(AND(Q181&lt;&gt;"",OR(Q181&gt;5,Q181&lt;1)),"Incorrect DQR value (High);","")&amp;IF(AND(N181&lt;&gt;"",OR(N181&lt;=0,N181&gt;100)),"Unusual PCF value might be wrong (High);","")&amp;IF(AND(AG181&lt;&gt;"",OR(AG181&gt;1,AG181&lt;0)),"Incorrect PDS value (High);",IF(AND(AG181&lt;&gt;"",AG181&gt;0.5),"High PDS value (Medium);",""))&amp;IF(AND(AK181&lt;&gt;"",OR(AK181&gt;5,AK181&lt;1)),"Incorrect DQR value (High);","")&amp;IF(AND(AA181&lt;&gt;"",OR(AA181&gt;1,AA181&lt;0)),"Incorrect scrap rate (High);",IF(AND(AA181&lt;&gt;"",AA181&gt;0.2),"High scrap rate (Medium);",IF(AND($A181&lt;&gt;"",AA181=0),"No scrap rate (No impact);","")))&amp;""</f>
        <v/>
      </c>
      <c r="AP181" s="9" t="n"/>
    </row>
    <row r="182">
      <c r="A182" s="3" t="n"/>
      <c r="B182" s="3" t="n"/>
      <c r="C182" s="3" t="n"/>
      <c r="D182" s="3" t="n"/>
      <c r="E182" s="3" t="n"/>
      <c r="F182" s="3" t="n"/>
      <c r="G182" s="4" t="n"/>
      <c r="H182" s="4" t="n"/>
      <c r="I182" s="3" t="inlineStr">
        <is>
          <t>kg</t>
        </is>
      </c>
      <c r="J182" s="4" t="n"/>
      <c r="K182" s="3" t="inlineStr">
        <is>
          <t>kg</t>
        </is>
      </c>
      <c r="L182" s="3" t="n"/>
      <c r="M182" s="5" t="n"/>
      <c r="N182" s="6" t="n"/>
      <c r="O182" s="3" t="inlineStr">
        <is>
          <t>kgCO2e/product</t>
        </is>
      </c>
      <c r="P182" s="7" t="n"/>
      <c r="Q182" s="4" t="n"/>
      <c r="R182" s="8" t="n"/>
      <c r="S182" s="3" t="inlineStr">
        <is>
          <t>Supplier</t>
        </is>
      </c>
      <c r="T182" s="3" t="inlineStr">
        <is>
          <t>No</t>
        </is>
      </c>
      <c r="U182" s="5" t="n"/>
      <c r="V182" s="3" t="n"/>
      <c r="W182" s="3" t="n"/>
      <c r="X182" s="6" t="n"/>
      <c r="Y182" s="3" t="inlineStr">
        <is>
          <t>kgCO2e/product</t>
        </is>
      </c>
      <c r="Z182" s="3" t="n"/>
      <c r="AA182" s="7" t="n"/>
      <c r="AB182" s="3" t="n"/>
      <c r="AC182" s="3" t="n"/>
      <c r="AD182" s="6" t="n"/>
      <c r="AE182" s="3" t="inlineStr">
        <is>
          <t>kgCO2e/product</t>
        </is>
      </c>
      <c r="AF182" s="3" t="n"/>
      <c r="AG182" s="7" t="n">
        <v>0</v>
      </c>
      <c r="AH182" s="3" t="n"/>
      <c r="AI182" s="3" t="n"/>
      <c r="AJ182" s="3" t="n"/>
      <c r="AK182" s="4">
        <f>IF(COUNT(AH182,AI182,AJ182)=0,"",ROUND(AVERAGE(AH182,AI182,AJ182),3))</f>
        <v/>
      </c>
      <c r="AL182" s="3">
        <f>IF(X182="","",ROUND(X182*IF(H182="",0,H182)*(1+IF(AA182="",0,AA182)),5))</f>
        <v/>
      </c>
      <c r="AM182" s="3" t="inlineStr">
        <is>
          <t>kgCO2e/product</t>
        </is>
      </c>
      <c r="AN182" s="5" t="n"/>
      <c r="AO182" s="9">
        <f>IF(AND($A182&lt;&gt;"",E182=""),"Supplier code empty (High);","")&amp;IF(AND(P182&lt;&gt;"",OR(P182&gt;1,P182&lt;0)),"Incorrect PDS value (High);",IF(AND(P182&lt;&gt;"",P182&gt;0.5),"High PDS value (Medium);",""))&amp;IF(AND(Q182&lt;&gt;"",OR(Q182&gt;5,Q182&lt;1)),"Incorrect DQR value (High);","")&amp;IF(AND(N182&lt;&gt;"",OR(N182&lt;=0,N182&gt;100)),"Unusual PCF value might be wrong (High);","")&amp;IF(AND(AG182&lt;&gt;"",OR(AG182&gt;1,AG182&lt;0)),"Incorrect PDS value (High);",IF(AND(AG182&lt;&gt;"",AG182&gt;0.5),"High PDS value (Medium);",""))&amp;IF(AND(AK182&lt;&gt;"",OR(AK182&gt;5,AK182&lt;1)),"Incorrect DQR value (High);","")&amp;IF(AND(AA182&lt;&gt;"",OR(AA182&gt;1,AA182&lt;0)),"Incorrect scrap rate (High);",IF(AND(AA182&lt;&gt;"",AA182&gt;0.2),"High scrap rate (Medium);",IF(AND($A182&lt;&gt;"",AA182=0),"No scrap rate (No impact);","")))&amp;""</f>
        <v/>
      </c>
      <c r="AP182" s="9" t="n"/>
    </row>
    <row r="183">
      <c r="A183" s="3" t="n"/>
      <c r="B183" s="3" t="n"/>
      <c r="C183" s="3" t="n"/>
      <c r="D183" s="3" t="n"/>
      <c r="E183" s="3" t="n"/>
      <c r="F183" s="3" t="n"/>
      <c r="G183" s="4" t="n"/>
      <c r="H183" s="4" t="n"/>
      <c r="I183" s="3" t="inlineStr">
        <is>
          <t>kg</t>
        </is>
      </c>
      <c r="J183" s="4" t="n"/>
      <c r="K183" s="3" t="inlineStr">
        <is>
          <t>kg</t>
        </is>
      </c>
      <c r="L183" s="3" t="n"/>
      <c r="M183" s="5" t="n"/>
      <c r="N183" s="6" t="n"/>
      <c r="O183" s="3" t="inlineStr">
        <is>
          <t>kgCO2e/product</t>
        </is>
      </c>
      <c r="P183" s="7" t="n"/>
      <c r="Q183" s="4" t="n"/>
      <c r="R183" s="8" t="n"/>
      <c r="S183" s="3" t="inlineStr">
        <is>
          <t>Supplier</t>
        </is>
      </c>
      <c r="T183" s="3" t="inlineStr">
        <is>
          <t>No</t>
        </is>
      </c>
      <c r="U183" s="5" t="n"/>
      <c r="V183" s="3" t="n"/>
      <c r="W183" s="3" t="n"/>
      <c r="X183" s="6" t="n"/>
      <c r="Y183" s="3" t="inlineStr">
        <is>
          <t>kgCO2e/product</t>
        </is>
      </c>
      <c r="Z183" s="3" t="n"/>
      <c r="AA183" s="7" t="n"/>
      <c r="AB183" s="3" t="n"/>
      <c r="AC183" s="3" t="n"/>
      <c r="AD183" s="6" t="n"/>
      <c r="AE183" s="3" t="inlineStr">
        <is>
          <t>kgCO2e/product</t>
        </is>
      </c>
      <c r="AF183" s="3" t="n"/>
      <c r="AG183" s="7" t="n">
        <v>0</v>
      </c>
      <c r="AH183" s="3" t="n"/>
      <c r="AI183" s="3" t="n"/>
      <c r="AJ183" s="3" t="n"/>
      <c r="AK183" s="4">
        <f>IF(COUNT(AH183,AI183,AJ183)=0,"",ROUND(AVERAGE(AH183,AI183,AJ183),3))</f>
        <v/>
      </c>
      <c r="AL183" s="3">
        <f>IF(X183="","",ROUND(X183*IF(H183="",0,H183)*(1+IF(AA183="",0,AA183)),5))</f>
        <v/>
      </c>
      <c r="AM183" s="3" t="inlineStr">
        <is>
          <t>kgCO2e/product</t>
        </is>
      </c>
      <c r="AN183" s="5" t="n"/>
      <c r="AO183" s="9">
        <f>IF(AND($A183&lt;&gt;"",E183=""),"Supplier code empty (High);","")&amp;IF(AND(P183&lt;&gt;"",OR(P183&gt;1,P183&lt;0)),"Incorrect PDS value (High);",IF(AND(P183&lt;&gt;"",P183&gt;0.5),"High PDS value (Medium);",""))&amp;IF(AND(Q183&lt;&gt;"",OR(Q183&gt;5,Q183&lt;1)),"Incorrect DQR value (High);","")&amp;IF(AND(N183&lt;&gt;"",OR(N183&lt;=0,N183&gt;100)),"Unusual PCF value might be wrong (High);","")&amp;IF(AND(AG183&lt;&gt;"",OR(AG183&gt;1,AG183&lt;0)),"Incorrect PDS value (High);",IF(AND(AG183&lt;&gt;"",AG183&gt;0.5),"High PDS value (Medium);",""))&amp;IF(AND(AK183&lt;&gt;"",OR(AK183&gt;5,AK183&lt;1)),"Incorrect DQR value (High);","")&amp;IF(AND(AA183&lt;&gt;"",OR(AA183&gt;1,AA183&lt;0)),"Incorrect scrap rate (High);",IF(AND(AA183&lt;&gt;"",AA183&gt;0.2),"High scrap rate (Medium);",IF(AND($A183&lt;&gt;"",AA183=0),"No scrap rate (No impact);","")))&amp;""</f>
        <v/>
      </c>
      <c r="AP183" s="9" t="n"/>
    </row>
    <row r="184">
      <c r="A184" s="3" t="n"/>
      <c r="B184" s="3" t="n"/>
      <c r="C184" s="3" t="n"/>
      <c r="D184" s="3" t="n"/>
      <c r="E184" s="3" t="n"/>
      <c r="F184" s="3" t="n"/>
      <c r="G184" s="4" t="n"/>
      <c r="H184" s="4" t="n"/>
      <c r="I184" s="3" t="inlineStr">
        <is>
          <t>kg</t>
        </is>
      </c>
      <c r="J184" s="4" t="n"/>
      <c r="K184" s="3" t="inlineStr">
        <is>
          <t>kg</t>
        </is>
      </c>
      <c r="L184" s="3" t="n"/>
      <c r="M184" s="5" t="n"/>
      <c r="N184" s="6" t="n"/>
      <c r="O184" s="3" t="inlineStr">
        <is>
          <t>kgCO2e/product</t>
        </is>
      </c>
      <c r="P184" s="7" t="n"/>
      <c r="Q184" s="4" t="n"/>
      <c r="R184" s="8" t="n"/>
      <c r="S184" s="3" t="inlineStr">
        <is>
          <t>Supplier</t>
        </is>
      </c>
      <c r="T184" s="3" t="inlineStr">
        <is>
          <t>No</t>
        </is>
      </c>
      <c r="U184" s="5" t="n"/>
      <c r="V184" s="3" t="n"/>
      <c r="W184" s="3" t="n"/>
      <c r="X184" s="6" t="n"/>
      <c r="Y184" s="3" t="inlineStr">
        <is>
          <t>kgCO2e/product</t>
        </is>
      </c>
      <c r="Z184" s="3" t="n"/>
      <c r="AA184" s="7" t="n"/>
      <c r="AB184" s="3" t="n"/>
      <c r="AC184" s="3" t="n"/>
      <c r="AD184" s="6" t="n"/>
      <c r="AE184" s="3" t="inlineStr">
        <is>
          <t>kgCO2e/product</t>
        </is>
      </c>
      <c r="AF184" s="3" t="n"/>
      <c r="AG184" s="7" t="n">
        <v>0</v>
      </c>
      <c r="AH184" s="3" t="n"/>
      <c r="AI184" s="3" t="n"/>
      <c r="AJ184" s="3" t="n"/>
      <c r="AK184" s="4">
        <f>IF(COUNT(AH184,AI184,AJ184)=0,"",ROUND(AVERAGE(AH184,AI184,AJ184),3))</f>
        <v/>
      </c>
      <c r="AL184" s="3">
        <f>IF(X184="","",ROUND(X184*IF(H184="",0,H184)*(1+IF(AA184="",0,AA184)),5))</f>
        <v/>
      </c>
      <c r="AM184" s="3" t="inlineStr">
        <is>
          <t>kgCO2e/product</t>
        </is>
      </c>
      <c r="AN184" s="5" t="n"/>
      <c r="AO184" s="9">
        <f>IF(AND($A184&lt;&gt;"",E184=""),"Supplier code empty (High);","")&amp;IF(AND(P184&lt;&gt;"",OR(P184&gt;1,P184&lt;0)),"Incorrect PDS value (High);",IF(AND(P184&lt;&gt;"",P184&gt;0.5),"High PDS value (Medium);",""))&amp;IF(AND(Q184&lt;&gt;"",OR(Q184&gt;5,Q184&lt;1)),"Incorrect DQR value (High);","")&amp;IF(AND(N184&lt;&gt;"",OR(N184&lt;=0,N184&gt;100)),"Unusual PCF value might be wrong (High);","")&amp;IF(AND(AG184&lt;&gt;"",OR(AG184&gt;1,AG184&lt;0)),"Incorrect PDS value (High);",IF(AND(AG184&lt;&gt;"",AG184&gt;0.5),"High PDS value (Medium);",""))&amp;IF(AND(AK184&lt;&gt;"",OR(AK184&gt;5,AK184&lt;1)),"Incorrect DQR value (High);","")&amp;IF(AND(AA184&lt;&gt;"",OR(AA184&gt;1,AA184&lt;0)),"Incorrect scrap rate (High);",IF(AND(AA184&lt;&gt;"",AA184&gt;0.2),"High scrap rate (Medium);",IF(AND($A184&lt;&gt;"",AA184=0),"No scrap rate (No impact);","")))&amp;""</f>
        <v/>
      </c>
      <c r="AP184" s="9" t="n"/>
    </row>
    <row r="185">
      <c r="A185" s="3" t="n"/>
      <c r="B185" s="3" t="n"/>
      <c r="C185" s="3" t="n"/>
      <c r="D185" s="3" t="n"/>
      <c r="E185" s="3" t="n"/>
      <c r="F185" s="3" t="n"/>
      <c r="G185" s="4" t="n"/>
      <c r="H185" s="4" t="n"/>
      <c r="I185" s="3" t="inlineStr">
        <is>
          <t>kg</t>
        </is>
      </c>
      <c r="J185" s="4" t="n"/>
      <c r="K185" s="3" t="inlineStr">
        <is>
          <t>kg</t>
        </is>
      </c>
      <c r="L185" s="3" t="n"/>
      <c r="M185" s="5" t="n"/>
      <c r="N185" s="6" t="n"/>
      <c r="O185" s="3" t="inlineStr">
        <is>
          <t>kgCO2e/product</t>
        </is>
      </c>
      <c r="P185" s="7" t="n"/>
      <c r="Q185" s="4" t="n"/>
      <c r="R185" s="8" t="n"/>
      <c r="S185" s="3" t="inlineStr">
        <is>
          <t>Supplier</t>
        </is>
      </c>
      <c r="T185" s="3" t="inlineStr">
        <is>
          <t>No</t>
        </is>
      </c>
      <c r="U185" s="5" t="n"/>
      <c r="V185" s="3" t="n"/>
      <c r="W185" s="3" t="n"/>
      <c r="X185" s="6" t="n"/>
      <c r="Y185" s="3" t="inlineStr">
        <is>
          <t>kgCO2e/product</t>
        </is>
      </c>
      <c r="Z185" s="3" t="n"/>
      <c r="AA185" s="7" t="n"/>
      <c r="AB185" s="3" t="n"/>
      <c r="AC185" s="3" t="n"/>
      <c r="AD185" s="6" t="n"/>
      <c r="AE185" s="3" t="inlineStr">
        <is>
          <t>kgCO2e/product</t>
        </is>
      </c>
      <c r="AF185" s="3" t="n"/>
      <c r="AG185" s="7" t="n">
        <v>0</v>
      </c>
      <c r="AH185" s="3" t="n"/>
      <c r="AI185" s="3" t="n"/>
      <c r="AJ185" s="3" t="n"/>
      <c r="AK185" s="4">
        <f>IF(COUNT(AH185,AI185,AJ185)=0,"",ROUND(AVERAGE(AH185,AI185,AJ185),3))</f>
        <v/>
      </c>
      <c r="AL185" s="3">
        <f>IF(X185="","",ROUND(X185*IF(H185="",0,H185)*(1+IF(AA185="",0,AA185)),5))</f>
        <v/>
      </c>
      <c r="AM185" s="3" t="inlineStr">
        <is>
          <t>kgCO2e/product</t>
        </is>
      </c>
      <c r="AN185" s="5" t="n"/>
      <c r="AO185" s="9">
        <f>IF(AND($A185&lt;&gt;"",E185=""),"Supplier code empty (High);","")&amp;IF(AND(P185&lt;&gt;"",OR(P185&gt;1,P185&lt;0)),"Incorrect PDS value (High);",IF(AND(P185&lt;&gt;"",P185&gt;0.5),"High PDS value (Medium);",""))&amp;IF(AND(Q185&lt;&gt;"",OR(Q185&gt;5,Q185&lt;1)),"Incorrect DQR value (High);","")&amp;IF(AND(N185&lt;&gt;"",OR(N185&lt;=0,N185&gt;100)),"Unusual PCF value might be wrong (High);","")&amp;IF(AND(AG185&lt;&gt;"",OR(AG185&gt;1,AG185&lt;0)),"Incorrect PDS value (High);",IF(AND(AG185&lt;&gt;"",AG185&gt;0.5),"High PDS value (Medium);",""))&amp;IF(AND(AK185&lt;&gt;"",OR(AK185&gt;5,AK185&lt;1)),"Incorrect DQR value (High);","")&amp;IF(AND(AA185&lt;&gt;"",OR(AA185&gt;1,AA185&lt;0)),"Incorrect scrap rate (High);",IF(AND(AA185&lt;&gt;"",AA185&gt;0.2),"High scrap rate (Medium);",IF(AND($A185&lt;&gt;"",AA185=0),"No scrap rate (No impact);","")))&amp;""</f>
        <v/>
      </c>
      <c r="AP185" s="9" t="n"/>
    </row>
    <row r="186">
      <c r="A186" s="3" t="n"/>
      <c r="B186" s="3" t="n"/>
      <c r="C186" s="3" t="n"/>
      <c r="D186" s="3" t="n"/>
      <c r="E186" s="3" t="n"/>
      <c r="F186" s="3" t="n"/>
      <c r="G186" s="4" t="n"/>
      <c r="H186" s="4" t="n"/>
      <c r="I186" s="3" t="inlineStr">
        <is>
          <t>kg</t>
        </is>
      </c>
      <c r="J186" s="4" t="n"/>
      <c r="K186" s="3" t="inlineStr">
        <is>
          <t>kg</t>
        </is>
      </c>
      <c r="L186" s="3" t="n"/>
      <c r="M186" s="5" t="n"/>
      <c r="N186" s="6" t="n"/>
      <c r="O186" s="3" t="inlineStr">
        <is>
          <t>kgCO2e/product</t>
        </is>
      </c>
      <c r="P186" s="7" t="n"/>
      <c r="Q186" s="4" t="n"/>
      <c r="R186" s="8" t="n"/>
      <c r="S186" s="3" t="inlineStr">
        <is>
          <t>Supplier</t>
        </is>
      </c>
      <c r="T186" s="3" t="inlineStr">
        <is>
          <t>No</t>
        </is>
      </c>
      <c r="U186" s="5" t="n"/>
      <c r="V186" s="3" t="n"/>
      <c r="W186" s="3" t="n"/>
      <c r="X186" s="6" t="n"/>
      <c r="Y186" s="3" t="inlineStr">
        <is>
          <t>kgCO2e/product</t>
        </is>
      </c>
      <c r="Z186" s="3" t="n"/>
      <c r="AA186" s="7" t="n"/>
      <c r="AB186" s="3" t="n"/>
      <c r="AC186" s="3" t="n"/>
      <c r="AD186" s="6" t="n"/>
      <c r="AE186" s="3" t="inlineStr">
        <is>
          <t>kgCO2e/product</t>
        </is>
      </c>
      <c r="AF186" s="3" t="n"/>
      <c r="AG186" s="7" t="n">
        <v>0</v>
      </c>
      <c r="AH186" s="3" t="n"/>
      <c r="AI186" s="3" t="n"/>
      <c r="AJ186" s="3" t="n"/>
      <c r="AK186" s="4">
        <f>IF(COUNT(AH186,AI186,AJ186)=0,"",ROUND(AVERAGE(AH186,AI186,AJ186),3))</f>
        <v/>
      </c>
      <c r="AL186" s="3">
        <f>IF(X186="","",ROUND(X186*IF(H186="",0,H186)*(1+IF(AA186="",0,AA186)),5))</f>
        <v/>
      </c>
      <c r="AM186" s="3" t="inlineStr">
        <is>
          <t>kgCO2e/product</t>
        </is>
      </c>
      <c r="AN186" s="5" t="n"/>
      <c r="AO186" s="9">
        <f>IF(AND($A186&lt;&gt;"",E186=""),"Supplier code empty (High);","")&amp;IF(AND(P186&lt;&gt;"",OR(P186&gt;1,P186&lt;0)),"Incorrect PDS value (High);",IF(AND(P186&lt;&gt;"",P186&gt;0.5),"High PDS value (Medium);",""))&amp;IF(AND(Q186&lt;&gt;"",OR(Q186&gt;5,Q186&lt;1)),"Incorrect DQR value (High);","")&amp;IF(AND(N186&lt;&gt;"",OR(N186&lt;=0,N186&gt;100)),"Unusual PCF value might be wrong (High);","")&amp;IF(AND(AG186&lt;&gt;"",OR(AG186&gt;1,AG186&lt;0)),"Incorrect PDS value (High);",IF(AND(AG186&lt;&gt;"",AG186&gt;0.5),"High PDS value (Medium);",""))&amp;IF(AND(AK186&lt;&gt;"",OR(AK186&gt;5,AK186&lt;1)),"Incorrect DQR value (High);","")&amp;IF(AND(AA186&lt;&gt;"",OR(AA186&gt;1,AA186&lt;0)),"Incorrect scrap rate (High);",IF(AND(AA186&lt;&gt;"",AA186&gt;0.2),"High scrap rate (Medium);",IF(AND($A186&lt;&gt;"",AA186=0),"No scrap rate (No impact);","")))&amp;""</f>
        <v/>
      </c>
      <c r="AP186" s="9" t="n"/>
    </row>
    <row r="187">
      <c r="A187" s="3" t="n"/>
      <c r="B187" s="3" t="n"/>
      <c r="C187" s="3" t="n"/>
      <c r="D187" s="3" t="n"/>
      <c r="E187" s="3" t="n"/>
      <c r="F187" s="3" t="n"/>
      <c r="G187" s="4" t="n"/>
      <c r="H187" s="4" t="n"/>
      <c r="I187" s="3" t="inlineStr">
        <is>
          <t>kg</t>
        </is>
      </c>
      <c r="J187" s="4" t="n"/>
      <c r="K187" s="3" t="inlineStr">
        <is>
          <t>kg</t>
        </is>
      </c>
      <c r="L187" s="3" t="n"/>
      <c r="M187" s="5" t="n"/>
      <c r="N187" s="6" t="n"/>
      <c r="O187" s="3" t="inlineStr">
        <is>
          <t>kgCO2e/product</t>
        </is>
      </c>
      <c r="P187" s="7" t="n"/>
      <c r="Q187" s="4" t="n"/>
      <c r="R187" s="8" t="n"/>
      <c r="S187" s="3" t="inlineStr">
        <is>
          <t>Supplier</t>
        </is>
      </c>
      <c r="T187" s="3" t="inlineStr">
        <is>
          <t>No</t>
        </is>
      </c>
      <c r="U187" s="5" t="n"/>
      <c r="V187" s="3" t="n"/>
      <c r="W187" s="3" t="n"/>
      <c r="X187" s="6" t="n"/>
      <c r="Y187" s="3" t="inlineStr">
        <is>
          <t>kgCO2e/product</t>
        </is>
      </c>
      <c r="Z187" s="3" t="n"/>
      <c r="AA187" s="7" t="n"/>
      <c r="AB187" s="3" t="n"/>
      <c r="AC187" s="3" t="n"/>
      <c r="AD187" s="6" t="n"/>
      <c r="AE187" s="3" t="inlineStr">
        <is>
          <t>kgCO2e/product</t>
        </is>
      </c>
      <c r="AF187" s="3" t="n"/>
      <c r="AG187" s="7" t="n">
        <v>0</v>
      </c>
      <c r="AH187" s="3" t="n"/>
      <c r="AI187" s="3" t="n"/>
      <c r="AJ187" s="3" t="n"/>
      <c r="AK187" s="4">
        <f>IF(COUNT(AH187,AI187,AJ187)=0,"",ROUND(AVERAGE(AH187,AI187,AJ187),3))</f>
        <v/>
      </c>
      <c r="AL187" s="3">
        <f>IF(X187="","",ROUND(X187*IF(H187="",0,H187)*(1+IF(AA187="",0,AA187)),5))</f>
        <v/>
      </c>
      <c r="AM187" s="3" t="inlineStr">
        <is>
          <t>kgCO2e/product</t>
        </is>
      </c>
      <c r="AN187" s="5" t="n"/>
      <c r="AO187" s="9">
        <f>IF(AND($A187&lt;&gt;"",E187=""),"Supplier code empty (High);","")&amp;IF(AND(P187&lt;&gt;"",OR(P187&gt;1,P187&lt;0)),"Incorrect PDS value (High);",IF(AND(P187&lt;&gt;"",P187&gt;0.5),"High PDS value (Medium);",""))&amp;IF(AND(Q187&lt;&gt;"",OR(Q187&gt;5,Q187&lt;1)),"Incorrect DQR value (High);","")&amp;IF(AND(N187&lt;&gt;"",OR(N187&lt;=0,N187&gt;100)),"Unusual PCF value might be wrong (High);","")&amp;IF(AND(AG187&lt;&gt;"",OR(AG187&gt;1,AG187&lt;0)),"Incorrect PDS value (High);",IF(AND(AG187&lt;&gt;"",AG187&gt;0.5),"High PDS value (Medium);",""))&amp;IF(AND(AK187&lt;&gt;"",OR(AK187&gt;5,AK187&lt;1)),"Incorrect DQR value (High);","")&amp;IF(AND(AA187&lt;&gt;"",OR(AA187&gt;1,AA187&lt;0)),"Incorrect scrap rate (High);",IF(AND(AA187&lt;&gt;"",AA187&gt;0.2),"High scrap rate (Medium);",IF(AND($A187&lt;&gt;"",AA187=0),"No scrap rate (No impact);","")))&amp;""</f>
        <v/>
      </c>
      <c r="AP187" s="9" t="n"/>
    </row>
    <row r="188">
      <c r="A188" s="3" t="n"/>
      <c r="B188" s="3" t="n"/>
      <c r="C188" s="3" t="n"/>
      <c r="D188" s="3" t="n"/>
      <c r="E188" s="3" t="n"/>
      <c r="F188" s="3" t="n"/>
      <c r="G188" s="4" t="n"/>
      <c r="H188" s="4" t="n"/>
      <c r="I188" s="3" t="inlineStr">
        <is>
          <t>kg</t>
        </is>
      </c>
      <c r="J188" s="4" t="n"/>
      <c r="K188" s="3" t="inlineStr">
        <is>
          <t>kg</t>
        </is>
      </c>
      <c r="L188" s="3" t="n"/>
      <c r="M188" s="5" t="n"/>
      <c r="N188" s="6" t="n"/>
      <c r="O188" s="3" t="inlineStr">
        <is>
          <t>kgCO2e/product</t>
        </is>
      </c>
      <c r="P188" s="7" t="n"/>
      <c r="Q188" s="4" t="n"/>
      <c r="R188" s="8" t="n"/>
      <c r="S188" s="3" t="inlineStr">
        <is>
          <t>Supplier</t>
        </is>
      </c>
      <c r="T188" s="3" t="inlineStr">
        <is>
          <t>No</t>
        </is>
      </c>
      <c r="U188" s="5" t="n"/>
      <c r="V188" s="3" t="n"/>
      <c r="W188" s="3" t="n"/>
      <c r="X188" s="6" t="n"/>
      <c r="Y188" s="3" t="inlineStr">
        <is>
          <t>kgCO2e/product</t>
        </is>
      </c>
      <c r="Z188" s="3" t="n"/>
      <c r="AA188" s="7" t="n"/>
      <c r="AB188" s="3" t="n"/>
      <c r="AC188" s="3" t="n"/>
      <c r="AD188" s="6" t="n"/>
      <c r="AE188" s="3" t="inlineStr">
        <is>
          <t>kgCO2e/product</t>
        </is>
      </c>
      <c r="AF188" s="3" t="n"/>
      <c r="AG188" s="7" t="n">
        <v>0</v>
      </c>
      <c r="AH188" s="3" t="n"/>
      <c r="AI188" s="3" t="n"/>
      <c r="AJ188" s="3" t="n"/>
      <c r="AK188" s="4">
        <f>IF(COUNT(AH188,AI188,AJ188)=0,"",ROUND(AVERAGE(AH188,AI188,AJ188),3))</f>
        <v/>
      </c>
      <c r="AL188" s="3">
        <f>IF(X188="","",ROUND(X188*IF(H188="",0,H188)*(1+IF(AA188="",0,AA188)),5))</f>
        <v/>
      </c>
      <c r="AM188" s="3" t="inlineStr">
        <is>
          <t>kgCO2e/product</t>
        </is>
      </c>
      <c r="AN188" s="5" t="n"/>
      <c r="AO188" s="9">
        <f>IF(AND($A188&lt;&gt;"",E188=""),"Supplier code empty (High);","")&amp;IF(AND(P188&lt;&gt;"",OR(P188&gt;1,P188&lt;0)),"Incorrect PDS value (High);",IF(AND(P188&lt;&gt;"",P188&gt;0.5),"High PDS value (Medium);",""))&amp;IF(AND(Q188&lt;&gt;"",OR(Q188&gt;5,Q188&lt;1)),"Incorrect DQR value (High);","")&amp;IF(AND(N188&lt;&gt;"",OR(N188&lt;=0,N188&gt;100)),"Unusual PCF value might be wrong (High);","")&amp;IF(AND(AG188&lt;&gt;"",OR(AG188&gt;1,AG188&lt;0)),"Incorrect PDS value (High);",IF(AND(AG188&lt;&gt;"",AG188&gt;0.5),"High PDS value (Medium);",""))&amp;IF(AND(AK188&lt;&gt;"",OR(AK188&gt;5,AK188&lt;1)),"Incorrect DQR value (High);","")&amp;IF(AND(AA188&lt;&gt;"",OR(AA188&gt;1,AA188&lt;0)),"Incorrect scrap rate (High);",IF(AND(AA188&lt;&gt;"",AA188&gt;0.2),"High scrap rate (Medium);",IF(AND($A188&lt;&gt;"",AA188=0),"No scrap rate (No impact);","")))&amp;""</f>
        <v/>
      </c>
      <c r="AP188" s="9" t="n"/>
    </row>
    <row r="189">
      <c r="A189" s="3" t="n"/>
      <c r="B189" s="3" t="n"/>
      <c r="C189" s="3" t="n"/>
      <c r="D189" s="3" t="n"/>
      <c r="E189" s="3" t="n"/>
      <c r="F189" s="3" t="n"/>
      <c r="G189" s="4" t="n"/>
      <c r="H189" s="4" t="n"/>
      <c r="I189" s="3" t="inlineStr">
        <is>
          <t>kg</t>
        </is>
      </c>
      <c r="J189" s="4" t="n"/>
      <c r="K189" s="3" t="inlineStr">
        <is>
          <t>kg</t>
        </is>
      </c>
      <c r="L189" s="3" t="n"/>
      <c r="M189" s="5" t="n"/>
      <c r="N189" s="6" t="n"/>
      <c r="O189" s="3" t="inlineStr">
        <is>
          <t>kgCO2e/product</t>
        </is>
      </c>
      <c r="P189" s="7" t="n"/>
      <c r="Q189" s="4" t="n"/>
      <c r="R189" s="8" t="n"/>
      <c r="S189" s="3" t="inlineStr">
        <is>
          <t>Supplier</t>
        </is>
      </c>
      <c r="T189" s="3" t="inlineStr">
        <is>
          <t>No</t>
        </is>
      </c>
      <c r="U189" s="5" t="n"/>
      <c r="V189" s="3" t="n"/>
      <c r="W189" s="3" t="n"/>
      <c r="X189" s="6" t="n"/>
      <c r="Y189" s="3" t="inlineStr">
        <is>
          <t>kgCO2e/product</t>
        </is>
      </c>
      <c r="Z189" s="3" t="n"/>
      <c r="AA189" s="7" t="n"/>
      <c r="AB189" s="3" t="n"/>
      <c r="AC189" s="3" t="n"/>
      <c r="AD189" s="6" t="n"/>
      <c r="AE189" s="3" t="inlineStr">
        <is>
          <t>kgCO2e/product</t>
        </is>
      </c>
      <c r="AF189" s="3" t="n"/>
      <c r="AG189" s="7" t="n">
        <v>0</v>
      </c>
      <c r="AH189" s="3" t="n"/>
      <c r="AI189" s="3" t="n"/>
      <c r="AJ189" s="3" t="n"/>
      <c r="AK189" s="4">
        <f>IF(COUNT(AH189,AI189,AJ189)=0,"",ROUND(AVERAGE(AH189,AI189,AJ189),3))</f>
        <v/>
      </c>
      <c r="AL189" s="3">
        <f>IF(X189="","",ROUND(X189*IF(H189="",0,H189)*(1+IF(AA189="",0,AA189)),5))</f>
        <v/>
      </c>
      <c r="AM189" s="3" t="inlineStr">
        <is>
          <t>kgCO2e/product</t>
        </is>
      </c>
      <c r="AN189" s="5" t="n"/>
      <c r="AO189" s="9">
        <f>IF(AND($A189&lt;&gt;"",E189=""),"Supplier code empty (High);","")&amp;IF(AND(P189&lt;&gt;"",OR(P189&gt;1,P189&lt;0)),"Incorrect PDS value (High);",IF(AND(P189&lt;&gt;"",P189&gt;0.5),"High PDS value (Medium);",""))&amp;IF(AND(Q189&lt;&gt;"",OR(Q189&gt;5,Q189&lt;1)),"Incorrect DQR value (High);","")&amp;IF(AND(N189&lt;&gt;"",OR(N189&lt;=0,N189&gt;100)),"Unusual PCF value might be wrong (High);","")&amp;IF(AND(AG189&lt;&gt;"",OR(AG189&gt;1,AG189&lt;0)),"Incorrect PDS value (High);",IF(AND(AG189&lt;&gt;"",AG189&gt;0.5),"High PDS value (Medium);",""))&amp;IF(AND(AK189&lt;&gt;"",OR(AK189&gt;5,AK189&lt;1)),"Incorrect DQR value (High);","")&amp;IF(AND(AA189&lt;&gt;"",OR(AA189&gt;1,AA189&lt;0)),"Incorrect scrap rate (High);",IF(AND(AA189&lt;&gt;"",AA189&gt;0.2),"High scrap rate (Medium);",IF(AND($A189&lt;&gt;"",AA189=0),"No scrap rate (No impact);","")))&amp;""</f>
        <v/>
      </c>
      <c r="AP189" s="9" t="n"/>
    </row>
    <row r="190">
      <c r="A190" s="3" t="n"/>
      <c r="B190" s="3" t="n"/>
      <c r="C190" s="3" t="n"/>
      <c r="D190" s="3" t="n"/>
      <c r="E190" s="3" t="n"/>
      <c r="F190" s="3" t="n"/>
      <c r="G190" s="4" t="n"/>
      <c r="H190" s="4" t="n"/>
      <c r="I190" s="3" t="inlineStr">
        <is>
          <t>kg</t>
        </is>
      </c>
      <c r="J190" s="4" t="n"/>
      <c r="K190" s="3" t="inlineStr">
        <is>
          <t>kg</t>
        </is>
      </c>
      <c r="L190" s="3" t="n"/>
      <c r="M190" s="5" t="n"/>
      <c r="N190" s="6" t="n"/>
      <c r="O190" s="3" t="inlineStr">
        <is>
          <t>kgCO2e/product</t>
        </is>
      </c>
      <c r="P190" s="7" t="n"/>
      <c r="Q190" s="4" t="n"/>
      <c r="R190" s="8" t="n"/>
      <c r="S190" s="3" t="inlineStr">
        <is>
          <t>Supplier</t>
        </is>
      </c>
      <c r="T190" s="3" t="inlineStr">
        <is>
          <t>No</t>
        </is>
      </c>
      <c r="U190" s="5" t="n"/>
      <c r="V190" s="3" t="n"/>
      <c r="W190" s="3" t="n"/>
      <c r="X190" s="6" t="n"/>
      <c r="Y190" s="3" t="inlineStr">
        <is>
          <t>kgCO2e/product</t>
        </is>
      </c>
      <c r="Z190" s="3" t="n"/>
      <c r="AA190" s="7" t="n"/>
      <c r="AB190" s="3" t="n"/>
      <c r="AC190" s="3" t="n"/>
      <c r="AD190" s="6" t="n"/>
      <c r="AE190" s="3" t="inlineStr">
        <is>
          <t>kgCO2e/product</t>
        </is>
      </c>
      <c r="AF190" s="3" t="n"/>
      <c r="AG190" s="7" t="n">
        <v>0</v>
      </c>
      <c r="AH190" s="3" t="n"/>
      <c r="AI190" s="3" t="n"/>
      <c r="AJ190" s="3" t="n"/>
      <c r="AK190" s="4">
        <f>IF(COUNT(AH190,AI190,AJ190)=0,"",ROUND(AVERAGE(AH190,AI190,AJ190),3))</f>
        <v/>
      </c>
      <c r="AL190" s="3">
        <f>IF(X190="","",ROUND(X190*IF(H190="",0,H190)*(1+IF(AA190="",0,AA190)),5))</f>
        <v/>
      </c>
      <c r="AM190" s="3" t="inlineStr">
        <is>
          <t>kgCO2e/product</t>
        </is>
      </c>
      <c r="AN190" s="5" t="n"/>
      <c r="AO190" s="9">
        <f>IF(AND($A190&lt;&gt;"",E190=""),"Supplier code empty (High);","")&amp;IF(AND(P190&lt;&gt;"",OR(P190&gt;1,P190&lt;0)),"Incorrect PDS value (High);",IF(AND(P190&lt;&gt;"",P190&gt;0.5),"High PDS value (Medium);",""))&amp;IF(AND(Q190&lt;&gt;"",OR(Q190&gt;5,Q190&lt;1)),"Incorrect DQR value (High);","")&amp;IF(AND(N190&lt;&gt;"",OR(N190&lt;=0,N190&gt;100)),"Unusual PCF value might be wrong (High);","")&amp;IF(AND(AG190&lt;&gt;"",OR(AG190&gt;1,AG190&lt;0)),"Incorrect PDS value (High);",IF(AND(AG190&lt;&gt;"",AG190&gt;0.5),"High PDS value (Medium);",""))&amp;IF(AND(AK190&lt;&gt;"",OR(AK190&gt;5,AK190&lt;1)),"Incorrect DQR value (High);","")&amp;IF(AND(AA190&lt;&gt;"",OR(AA190&gt;1,AA190&lt;0)),"Incorrect scrap rate (High);",IF(AND(AA190&lt;&gt;"",AA190&gt;0.2),"High scrap rate (Medium);",IF(AND($A190&lt;&gt;"",AA190=0),"No scrap rate (No impact);","")))&amp;""</f>
        <v/>
      </c>
      <c r="AP190" s="9" t="n"/>
    </row>
    <row r="191">
      <c r="A191" s="3" t="n"/>
      <c r="B191" s="3" t="n"/>
      <c r="C191" s="3" t="n"/>
      <c r="D191" s="3" t="n"/>
      <c r="E191" s="3" t="n"/>
      <c r="F191" s="3" t="n"/>
      <c r="G191" s="4" t="n"/>
      <c r="H191" s="4" t="n"/>
      <c r="I191" s="3" t="inlineStr">
        <is>
          <t>kg</t>
        </is>
      </c>
      <c r="J191" s="4" t="n"/>
      <c r="K191" s="3" t="inlineStr">
        <is>
          <t>kg</t>
        </is>
      </c>
      <c r="L191" s="3" t="n"/>
      <c r="M191" s="5" t="n"/>
      <c r="N191" s="6" t="n"/>
      <c r="O191" s="3" t="inlineStr">
        <is>
          <t>kgCO2e/product</t>
        </is>
      </c>
      <c r="P191" s="7" t="n"/>
      <c r="Q191" s="4" t="n"/>
      <c r="R191" s="8" t="n"/>
      <c r="S191" s="3" t="inlineStr">
        <is>
          <t>Supplier</t>
        </is>
      </c>
      <c r="T191" s="3" t="inlineStr">
        <is>
          <t>No</t>
        </is>
      </c>
      <c r="U191" s="5" t="n"/>
      <c r="V191" s="3" t="n"/>
      <c r="W191" s="3" t="n"/>
      <c r="X191" s="6" t="n"/>
      <c r="Y191" s="3" t="inlineStr">
        <is>
          <t>kgCO2e/product</t>
        </is>
      </c>
      <c r="Z191" s="3" t="n"/>
      <c r="AA191" s="7" t="n"/>
      <c r="AB191" s="3" t="n"/>
      <c r="AC191" s="3" t="n"/>
      <c r="AD191" s="6" t="n"/>
      <c r="AE191" s="3" t="inlineStr">
        <is>
          <t>kgCO2e/product</t>
        </is>
      </c>
      <c r="AF191" s="3" t="n"/>
      <c r="AG191" s="7" t="n">
        <v>0</v>
      </c>
      <c r="AH191" s="3" t="n"/>
      <c r="AI191" s="3" t="n"/>
      <c r="AJ191" s="3" t="n"/>
      <c r="AK191" s="4">
        <f>IF(COUNT(AH191,AI191,AJ191)=0,"",ROUND(AVERAGE(AH191,AI191,AJ191),3))</f>
        <v/>
      </c>
      <c r="AL191" s="3">
        <f>IF(X191="","",ROUND(X191*IF(H191="",0,H191)*(1+IF(AA191="",0,AA191)),5))</f>
        <v/>
      </c>
      <c r="AM191" s="3" t="inlineStr">
        <is>
          <t>kgCO2e/product</t>
        </is>
      </c>
      <c r="AN191" s="5" t="n"/>
      <c r="AO191" s="9">
        <f>IF(AND($A191&lt;&gt;"",E191=""),"Supplier code empty (High);","")&amp;IF(AND(P191&lt;&gt;"",OR(P191&gt;1,P191&lt;0)),"Incorrect PDS value (High);",IF(AND(P191&lt;&gt;"",P191&gt;0.5),"High PDS value (Medium);",""))&amp;IF(AND(Q191&lt;&gt;"",OR(Q191&gt;5,Q191&lt;1)),"Incorrect DQR value (High);","")&amp;IF(AND(N191&lt;&gt;"",OR(N191&lt;=0,N191&gt;100)),"Unusual PCF value might be wrong (High);","")&amp;IF(AND(AG191&lt;&gt;"",OR(AG191&gt;1,AG191&lt;0)),"Incorrect PDS value (High);",IF(AND(AG191&lt;&gt;"",AG191&gt;0.5),"High PDS value (Medium);",""))&amp;IF(AND(AK191&lt;&gt;"",OR(AK191&gt;5,AK191&lt;1)),"Incorrect DQR value (High);","")&amp;IF(AND(AA191&lt;&gt;"",OR(AA191&gt;1,AA191&lt;0)),"Incorrect scrap rate (High);",IF(AND(AA191&lt;&gt;"",AA191&gt;0.2),"High scrap rate (Medium);",IF(AND($A191&lt;&gt;"",AA191=0),"No scrap rate (No impact);","")))&amp;""</f>
        <v/>
      </c>
      <c r="AP191" s="9" t="n"/>
    </row>
    <row r="192">
      <c r="A192" s="3" t="n"/>
      <c r="B192" s="3" t="n"/>
      <c r="C192" s="3" t="n"/>
      <c r="D192" s="3" t="n"/>
      <c r="E192" s="3" t="n"/>
      <c r="F192" s="3" t="n"/>
      <c r="G192" s="4" t="n"/>
      <c r="H192" s="4" t="n"/>
      <c r="I192" s="3" t="inlineStr">
        <is>
          <t>kg</t>
        </is>
      </c>
      <c r="J192" s="4" t="n"/>
      <c r="K192" s="3" t="inlineStr">
        <is>
          <t>kg</t>
        </is>
      </c>
      <c r="L192" s="3" t="n"/>
      <c r="M192" s="5" t="n"/>
      <c r="N192" s="6" t="n"/>
      <c r="O192" s="3" t="inlineStr">
        <is>
          <t>kgCO2e/product</t>
        </is>
      </c>
      <c r="P192" s="7" t="n"/>
      <c r="Q192" s="4" t="n"/>
      <c r="R192" s="8" t="n"/>
      <c r="S192" s="3" t="inlineStr">
        <is>
          <t>Supplier</t>
        </is>
      </c>
      <c r="T192" s="3" t="inlineStr">
        <is>
          <t>No</t>
        </is>
      </c>
      <c r="U192" s="5" t="n"/>
      <c r="V192" s="3" t="n"/>
      <c r="W192" s="3" t="n"/>
      <c r="X192" s="6" t="n"/>
      <c r="Y192" s="3" t="inlineStr">
        <is>
          <t>kgCO2e/product</t>
        </is>
      </c>
      <c r="Z192" s="3" t="n"/>
      <c r="AA192" s="7" t="n"/>
      <c r="AB192" s="3" t="n"/>
      <c r="AC192" s="3" t="n"/>
      <c r="AD192" s="6" t="n"/>
      <c r="AE192" s="3" t="inlineStr">
        <is>
          <t>kgCO2e/product</t>
        </is>
      </c>
      <c r="AF192" s="3" t="n"/>
      <c r="AG192" s="7" t="n">
        <v>0</v>
      </c>
      <c r="AH192" s="3" t="n"/>
      <c r="AI192" s="3" t="n"/>
      <c r="AJ192" s="3" t="n"/>
      <c r="AK192" s="4">
        <f>IF(COUNT(AH192,AI192,AJ192)=0,"",ROUND(AVERAGE(AH192,AI192,AJ192),3))</f>
        <v/>
      </c>
      <c r="AL192" s="3">
        <f>IF(X192="","",ROUND(X192*IF(H192="",0,H192)*(1+IF(AA192="",0,AA192)),5))</f>
        <v/>
      </c>
      <c r="AM192" s="3" t="inlineStr">
        <is>
          <t>kgCO2e/product</t>
        </is>
      </c>
      <c r="AN192" s="5" t="n"/>
      <c r="AO192" s="9">
        <f>IF(AND($A192&lt;&gt;"",E192=""),"Supplier code empty (High);","")&amp;IF(AND(P192&lt;&gt;"",OR(P192&gt;1,P192&lt;0)),"Incorrect PDS value (High);",IF(AND(P192&lt;&gt;"",P192&gt;0.5),"High PDS value (Medium);",""))&amp;IF(AND(Q192&lt;&gt;"",OR(Q192&gt;5,Q192&lt;1)),"Incorrect DQR value (High);","")&amp;IF(AND(N192&lt;&gt;"",OR(N192&lt;=0,N192&gt;100)),"Unusual PCF value might be wrong (High);","")&amp;IF(AND(AG192&lt;&gt;"",OR(AG192&gt;1,AG192&lt;0)),"Incorrect PDS value (High);",IF(AND(AG192&lt;&gt;"",AG192&gt;0.5),"High PDS value (Medium);",""))&amp;IF(AND(AK192&lt;&gt;"",OR(AK192&gt;5,AK192&lt;1)),"Incorrect DQR value (High);","")&amp;IF(AND(AA192&lt;&gt;"",OR(AA192&gt;1,AA192&lt;0)),"Incorrect scrap rate (High);",IF(AND(AA192&lt;&gt;"",AA192&gt;0.2),"High scrap rate (Medium);",IF(AND($A192&lt;&gt;"",AA192=0),"No scrap rate (No impact);","")))&amp;""</f>
        <v/>
      </c>
      <c r="AP192" s="9" t="n"/>
    </row>
    <row r="193">
      <c r="A193" s="3" t="n"/>
      <c r="B193" s="3" t="n"/>
      <c r="C193" s="3" t="n"/>
      <c r="D193" s="3" t="n"/>
      <c r="E193" s="3" t="n"/>
      <c r="F193" s="3" t="n"/>
      <c r="G193" s="4" t="n"/>
      <c r="H193" s="4" t="n"/>
      <c r="I193" s="3" t="inlineStr">
        <is>
          <t>kg</t>
        </is>
      </c>
      <c r="J193" s="4" t="n"/>
      <c r="K193" s="3" t="inlineStr">
        <is>
          <t>kg</t>
        </is>
      </c>
      <c r="L193" s="3" t="n"/>
      <c r="M193" s="5" t="n"/>
      <c r="N193" s="6" t="n"/>
      <c r="O193" s="3" t="inlineStr">
        <is>
          <t>kgCO2e/product</t>
        </is>
      </c>
      <c r="P193" s="7" t="n"/>
      <c r="Q193" s="4" t="n"/>
      <c r="R193" s="8" t="n"/>
      <c r="S193" s="3" t="inlineStr">
        <is>
          <t>Supplier</t>
        </is>
      </c>
      <c r="T193" s="3" t="inlineStr">
        <is>
          <t>No</t>
        </is>
      </c>
      <c r="U193" s="5" t="n"/>
      <c r="V193" s="3" t="n"/>
      <c r="W193" s="3" t="n"/>
      <c r="X193" s="6" t="n"/>
      <c r="Y193" s="3" t="inlineStr">
        <is>
          <t>kgCO2e/product</t>
        </is>
      </c>
      <c r="Z193" s="3" t="n"/>
      <c r="AA193" s="7" t="n"/>
      <c r="AB193" s="3" t="n"/>
      <c r="AC193" s="3" t="n"/>
      <c r="AD193" s="6" t="n"/>
      <c r="AE193" s="3" t="inlineStr">
        <is>
          <t>kgCO2e/product</t>
        </is>
      </c>
      <c r="AF193" s="3" t="n"/>
      <c r="AG193" s="7" t="n">
        <v>0</v>
      </c>
      <c r="AH193" s="3" t="n"/>
      <c r="AI193" s="3" t="n"/>
      <c r="AJ193" s="3" t="n"/>
      <c r="AK193" s="4">
        <f>IF(COUNT(AH193,AI193,AJ193)=0,"",ROUND(AVERAGE(AH193,AI193,AJ193),3))</f>
        <v/>
      </c>
      <c r="AL193" s="3">
        <f>IF(X193="","",ROUND(X193*IF(H193="",0,H193)*(1+IF(AA193="",0,AA193)),5))</f>
        <v/>
      </c>
      <c r="AM193" s="3" t="inlineStr">
        <is>
          <t>kgCO2e/product</t>
        </is>
      </c>
      <c r="AN193" s="5" t="n"/>
      <c r="AO193" s="9">
        <f>IF(AND($A193&lt;&gt;"",E193=""),"Supplier code empty (High);","")&amp;IF(AND(P193&lt;&gt;"",OR(P193&gt;1,P193&lt;0)),"Incorrect PDS value (High);",IF(AND(P193&lt;&gt;"",P193&gt;0.5),"High PDS value (Medium);",""))&amp;IF(AND(Q193&lt;&gt;"",OR(Q193&gt;5,Q193&lt;1)),"Incorrect DQR value (High);","")&amp;IF(AND(N193&lt;&gt;"",OR(N193&lt;=0,N193&gt;100)),"Unusual PCF value might be wrong (High);","")&amp;IF(AND(AG193&lt;&gt;"",OR(AG193&gt;1,AG193&lt;0)),"Incorrect PDS value (High);",IF(AND(AG193&lt;&gt;"",AG193&gt;0.5),"High PDS value (Medium);",""))&amp;IF(AND(AK193&lt;&gt;"",OR(AK193&gt;5,AK193&lt;1)),"Incorrect DQR value (High);","")&amp;IF(AND(AA193&lt;&gt;"",OR(AA193&gt;1,AA193&lt;0)),"Incorrect scrap rate (High);",IF(AND(AA193&lt;&gt;"",AA193&gt;0.2),"High scrap rate (Medium);",IF(AND($A193&lt;&gt;"",AA193=0),"No scrap rate (No impact);","")))&amp;""</f>
        <v/>
      </c>
      <c r="AP193" s="9" t="n"/>
    </row>
    <row r="194">
      <c r="A194" s="3" t="n"/>
      <c r="B194" s="3" t="n"/>
      <c r="C194" s="3" t="n"/>
      <c r="D194" s="3" t="n"/>
      <c r="E194" s="3" t="n"/>
      <c r="F194" s="3" t="n"/>
      <c r="G194" s="4" t="n"/>
      <c r="H194" s="4" t="n"/>
      <c r="I194" s="3" t="inlineStr">
        <is>
          <t>kg</t>
        </is>
      </c>
      <c r="J194" s="4" t="n"/>
      <c r="K194" s="3" t="inlineStr">
        <is>
          <t>kg</t>
        </is>
      </c>
      <c r="L194" s="3" t="n"/>
      <c r="M194" s="5" t="n"/>
      <c r="N194" s="6" t="n"/>
      <c r="O194" s="3" t="inlineStr">
        <is>
          <t>kgCO2e/product</t>
        </is>
      </c>
      <c r="P194" s="7" t="n"/>
      <c r="Q194" s="4" t="n"/>
      <c r="R194" s="8" t="n"/>
      <c r="S194" s="3" t="inlineStr">
        <is>
          <t>Supplier</t>
        </is>
      </c>
      <c r="T194" s="3" t="inlineStr">
        <is>
          <t>No</t>
        </is>
      </c>
      <c r="U194" s="5" t="n"/>
      <c r="V194" s="3" t="n"/>
      <c r="W194" s="3" t="n"/>
      <c r="X194" s="6" t="n"/>
      <c r="Y194" s="3" t="inlineStr">
        <is>
          <t>kgCO2e/product</t>
        </is>
      </c>
      <c r="Z194" s="3" t="n"/>
      <c r="AA194" s="7" t="n"/>
      <c r="AB194" s="3" t="n"/>
      <c r="AC194" s="3" t="n"/>
      <c r="AD194" s="6" t="n"/>
      <c r="AE194" s="3" t="inlineStr">
        <is>
          <t>kgCO2e/product</t>
        </is>
      </c>
      <c r="AF194" s="3" t="n"/>
      <c r="AG194" s="7" t="n">
        <v>0</v>
      </c>
      <c r="AH194" s="3" t="n"/>
      <c r="AI194" s="3" t="n"/>
      <c r="AJ194" s="3" t="n"/>
      <c r="AK194" s="4">
        <f>IF(COUNT(AH194,AI194,AJ194)=0,"",ROUND(AVERAGE(AH194,AI194,AJ194),3))</f>
        <v/>
      </c>
      <c r="AL194" s="3">
        <f>IF(X194="","",ROUND(X194*IF(H194="",0,H194)*(1+IF(AA194="",0,AA194)),5))</f>
        <v/>
      </c>
      <c r="AM194" s="3" t="inlineStr">
        <is>
          <t>kgCO2e/product</t>
        </is>
      </c>
      <c r="AN194" s="5" t="n"/>
      <c r="AO194" s="9">
        <f>IF(AND($A194&lt;&gt;"",E194=""),"Supplier code empty (High);","")&amp;IF(AND(P194&lt;&gt;"",OR(P194&gt;1,P194&lt;0)),"Incorrect PDS value (High);",IF(AND(P194&lt;&gt;"",P194&gt;0.5),"High PDS value (Medium);",""))&amp;IF(AND(Q194&lt;&gt;"",OR(Q194&gt;5,Q194&lt;1)),"Incorrect DQR value (High);","")&amp;IF(AND(N194&lt;&gt;"",OR(N194&lt;=0,N194&gt;100)),"Unusual PCF value might be wrong (High);","")&amp;IF(AND(AG194&lt;&gt;"",OR(AG194&gt;1,AG194&lt;0)),"Incorrect PDS value (High);",IF(AND(AG194&lt;&gt;"",AG194&gt;0.5),"High PDS value (Medium);",""))&amp;IF(AND(AK194&lt;&gt;"",OR(AK194&gt;5,AK194&lt;1)),"Incorrect DQR value (High);","")&amp;IF(AND(AA194&lt;&gt;"",OR(AA194&gt;1,AA194&lt;0)),"Incorrect scrap rate (High);",IF(AND(AA194&lt;&gt;"",AA194&gt;0.2),"High scrap rate (Medium);",IF(AND($A194&lt;&gt;"",AA194=0),"No scrap rate (No impact);","")))&amp;""</f>
        <v/>
      </c>
      <c r="AP194" s="9" t="n"/>
    </row>
    <row r="195">
      <c r="A195" s="3" t="n"/>
      <c r="B195" s="3" t="n"/>
      <c r="C195" s="3" t="n"/>
      <c r="D195" s="3" t="n"/>
      <c r="E195" s="3" t="n"/>
      <c r="F195" s="3" t="n"/>
      <c r="G195" s="4" t="n"/>
      <c r="H195" s="4" t="n"/>
      <c r="I195" s="3" t="inlineStr">
        <is>
          <t>kg</t>
        </is>
      </c>
      <c r="J195" s="4" t="n"/>
      <c r="K195" s="3" t="inlineStr">
        <is>
          <t>kg</t>
        </is>
      </c>
      <c r="L195" s="3" t="n"/>
      <c r="M195" s="5" t="n"/>
      <c r="N195" s="6" t="n"/>
      <c r="O195" s="3" t="inlineStr">
        <is>
          <t>kgCO2e/product</t>
        </is>
      </c>
      <c r="P195" s="7" t="n"/>
      <c r="Q195" s="4" t="n"/>
      <c r="R195" s="8" t="n"/>
      <c r="S195" s="3" t="inlineStr">
        <is>
          <t>Supplier</t>
        </is>
      </c>
      <c r="T195" s="3" t="inlineStr">
        <is>
          <t>No</t>
        </is>
      </c>
      <c r="U195" s="5" t="n"/>
      <c r="V195" s="3" t="n"/>
      <c r="W195" s="3" t="n"/>
      <c r="X195" s="6" t="n"/>
      <c r="Y195" s="3" t="inlineStr">
        <is>
          <t>kgCO2e/product</t>
        </is>
      </c>
      <c r="Z195" s="3" t="n"/>
      <c r="AA195" s="7" t="n"/>
      <c r="AB195" s="3" t="n"/>
      <c r="AC195" s="3" t="n"/>
      <c r="AD195" s="6" t="n"/>
      <c r="AE195" s="3" t="inlineStr">
        <is>
          <t>kgCO2e/product</t>
        </is>
      </c>
      <c r="AF195" s="3" t="n"/>
      <c r="AG195" s="7" t="n">
        <v>0</v>
      </c>
      <c r="AH195" s="3" t="n"/>
      <c r="AI195" s="3" t="n"/>
      <c r="AJ195" s="3" t="n"/>
      <c r="AK195" s="4">
        <f>IF(COUNT(AH195,AI195,AJ195)=0,"",ROUND(AVERAGE(AH195,AI195,AJ195),3))</f>
        <v/>
      </c>
      <c r="AL195" s="3">
        <f>IF(X195="","",ROUND(X195*IF(H195="",0,H195)*(1+IF(AA195="",0,AA195)),5))</f>
        <v/>
      </c>
      <c r="AM195" s="3" t="inlineStr">
        <is>
          <t>kgCO2e/product</t>
        </is>
      </c>
      <c r="AN195" s="5" t="n"/>
      <c r="AO195" s="9">
        <f>IF(AND($A195&lt;&gt;"",E195=""),"Supplier code empty (High);","")&amp;IF(AND(P195&lt;&gt;"",OR(P195&gt;1,P195&lt;0)),"Incorrect PDS value (High);",IF(AND(P195&lt;&gt;"",P195&gt;0.5),"High PDS value (Medium);",""))&amp;IF(AND(Q195&lt;&gt;"",OR(Q195&gt;5,Q195&lt;1)),"Incorrect DQR value (High);","")&amp;IF(AND(N195&lt;&gt;"",OR(N195&lt;=0,N195&gt;100)),"Unusual PCF value might be wrong (High);","")&amp;IF(AND(AG195&lt;&gt;"",OR(AG195&gt;1,AG195&lt;0)),"Incorrect PDS value (High);",IF(AND(AG195&lt;&gt;"",AG195&gt;0.5),"High PDS value (Medium);",""))&amp;IF(AND(AK195&lt;&gt;"",OR(AK195&gt;5,AK195&lt;1)),"Incorrect DQR value (High);","")&amp;IF(AND(AA195&lt;&gt;"",OR(AA195&gt;1,AA195&lt;0)),"Incorrect scrap rate (High);",IF(AND(AA195&lt;&gt;"",AA195&gt;0.2),"High scrap rate (Medium);",IF(AND($A195&lt;&gt;"",AA195=0),"No scrap rate (No impact);","")))&amp;""</f>
        <v/>
      </c>
      <c r="AP195" s="9" t="n"/>
    </row>
    <row r="196">
      <c r="A196" s="3" t="n"/>
      <c r="B196" s="3" t="n"/>
      <c r="C196" s="3" t="n"/>
      <c r="D196" s="3" t="n"/>
      <c r="E196" s="3" t="n"/>
      <c r="F196" s="3" t="n"/>
      <c r="G196" s="4" t="n"/>
      <c r="H196" s="4" t="n"/>
      <c r="I196" s="3" t="inlineStr">
        <is>
          <t>kg</t>
        </is>
      </c>
      <c r="J196" s="4" t="n"/>
      <c r="K196" s="3" t="inlineStr">
        <is>
          <t>kg</t>
        </is>
      </c>
      <c r="L196" s="3" t="n"/>
      <c r="M196" s="5" t="n"/>
      <c r="N196" s="6" t="n"/>
      <c r="O196" s="3" t="inlineStr">
        <is>
          <t>kgCO2e/product</t>
        </is>
      </c>
      <c r="P196" s="7" t="n"/>
      <c r="Q196" s="4" t="n"/>
      <c r="R196" s="8" t="n"/>
      <c r="S196" s="3" t="inlineStr">
        <is>
          <t>Supplier</t>
        </is>
      </c>
      <c r="T196" s="3" t="inlineStr">
        <is>
          <t>No</t>
        </is>
      </c>
      <c r="U196" s="5" t="n"/>
      <c r="V196" s="3" t="n"/>
      <c r="W196" s="3" t="n"/>
      <c r="X196" s="6" t="n"/>
      <c r="Y196" s="3" t="inlineStr">
        <is>
          <t>kgCO2e/product</t>
        </is>
      </c>
      <c r="Z196" s="3" t="n"/>
      <c r="AA196" s="7" t="n"/>
      <c r="AB196" s="3" t="n"/>
      <c r="AC196" s="3" t="n"/>
      <c r="AD196" s="6" t="n"/>
      <c r="AE196" s="3" t="inlineStr">
        <is>
          <t>kgCO2e/product</t>
        </is>
      </c>
      <c r="AF196" s="3" t="n"/>
      <c r="AG196" s="7" t="n">
        <v>0</v>
      </c>
      <c r="AH196" s="3" t="n"/>
      <c r="AI196" s="3" t="n"/>
      <c r="AJ196" s="3" t="n"/>
      <c r="AK196" s="4">
        <f>IF(COUNT(AH196,AI196,AJ196)=0,"",ROUND(AVERAGE(AH196,AI196,AJ196),3))</f>
        <v/>
      </c>
      <c r="AL196" s="3">
        <f>IF(X196="","",ROUND(X196*IF(H196="",0,H196)*(1+IF(AA196="",0,AA196)),5))</f>
        <v/>
      </c>
      <c r="AM196" s="3" t="inlineStr">
        <is>
          <t>kgCO2e/product</t>
        </is>
      </c>
      <c r="AN196" s="5" t="n"/>
      <c r="AO196" s="9">
        <f>IF(AND($A196&lt;&gt;"",E196=""),"Supplier code empty (High);","")&amp;IF(AND(P196&lt;&gt;"",OR(P196&gt;1,P196&lt;0)),"Incorrect PDS value (High);",IF(AND(P196&lt;&gt;"",P196&gt;0.5),"High PDS value (Medium);",""))&amp;IF(AND(Q196&lt;&gt;"",OR(Q196&gt;5,Q196&lt;1)),"Incorrect DQR value (High);","")&amp;IF(AND(N196&lt;&gt;"",OR(N196&lt;=0,N196&gt;100)),"Unusual PCF value might be wrong (High);","")&amp;IF(AND(AG196&lt;&gt;"",OR(AG196&gt;1,AG196&lt;0)),"Incorrect PDS value (High);",IF(AND(AG196&lt;&gt;"",AG196&gt;0.5),"High PDS value (Medium);",""))&amp;IF(AND(AK196&lt;&gt;"",OR(AK196&gt;5,AK196&lt;1)),"Incorrect DQR value (High);","")&amp;IF(AND(AA196&lt;&gt;"",OR(AA196&gt;1,AA196&lt;0)),"Incorrect scrap rate (High);",IF(AND(AA196&lt;&gt;"",AA196&gt;0.2),"High scrap rate (Medium);",IF(AND($A196&lt;&gt;"",AA196=0),"No scrap rate (No impact);","")))&amp;""</f>
        <v/>
      </c>
      <c r="AP196" s="9" t="n"/>
    </row>
    <row r="197">
      <c r="A197" s="3" t="n"/>
      <c r="B197" s="3" t="n"/>
      <c r="C197" s="3" t="n"/>
      <c r="D197" s="3" t="n"/>
      <c r="E197" s="3" t="n"/>
      <c r="F197" s="3" t="n"/>
      <c r="G197" s="4" t="n"/>
      <c r="H197" s="4" t="n"/>
      <c r="I197" s="3" t="inlineStr">
        <is>
          <t>kg</t>
        </is>
      </c>
      <c r="J197" s="4" t="n"/>
      <c r="K197" s="3" t="inlineStr">
        <is>
          <t>kg</t>
        </is>
      </c>
      <c r="L197" s="3" t="n"/>
      <c r="M197" s="5" t="n"/>
      <c r="N197" s="6" t="n"/>
      <c r="O197" s="3" t="inlineStr">
        <is>
          <t>kgCO2e/product</t>
        </is>
      </c>
      <c r="P197" s="7" t="n"/>
      <c r="Q197" s="4" t="n"/>
      <c r="R197" s="8" t="n"/>
      <c r="S197" s="3" t="inlineStr">
        <is>
          <t>Supplier</t>
        </is>
      </c>
      <c r="T197" s="3" t="inlineStr">
        <is>
          <t>No</t>
        </is>
      </c>
      <c r="U197" s="5" t="n"/>
      <c r="V197" s="3" t="n"/>
      <c r="W197" s="3" t="n"/>
      <c r="X197" s="6" t="n"/>
      <c r="Y197" s="3" t="inlineStr">
        <is>
          <t>kgCO2e/product</t>
        </is>
      </c>
      <c r="Z197" s="3" t="n"/>
      <c r="AA197" s="7" t="n"/>
      <c r="AB197" s="3" t="n"/>
      <c r="AC197" s="3" t="n"/>
      <c r="AD197" s="6" t="n"/>
      <c r="AE197" s="3" t="inlineStr">
        <is>
          <t>kgCO2e/product</t>
        </is>
      </c>
      <c r="AF197" s="3" t="n"/>
      <c r="AG197" s="7" t="n">
        <v>0</v>
      </c>
      <c r="AH197" s="3" t="n"/>
      <c r="AI197" s="3" t="n"/>
      <c r="AJ197" s="3" t="n"/>
      <c r="AK197" s="4">
        <f>IF(COUNT(AH197,AI197,AJ197)=0,"",ROUND(AVERAGE(AH197,AI197,AJ197),3))</f>
        <v/>
      </c>
      <c r="AL197" s="3">
        <f>IF(X197="","",ROUND(X197*IF(H197="",0,H197)*(1+IF(AA197="",0,AA197)),5))</f>
        <v/>
      </c>
      <c r="AM197" s="3" t="inlineStr">
        <is>
          <t>kgCO2e/product</t>
        </is>
      </c>
      <c r="AN197" s="5" t="n"/>
      <c r="AO197" s="9">
        <f>IF(AND($A197&lt;&gt;"",E197=""),"Supplier code empty (High);","")&amp;IF(AND(P197&lt;&gt;"",OR(P197&gt;1,P197&lt;0)),"Incorrect PDS value (High);",IF(AND(P197&lt;&gt;"",P197&gt;0.5),"High PDS value (Medium);",""))&amp;IF(AND(Q197&lt;&gt;"",OR(Q197&gt;5,Q197&lt;1)),"Incorrect DQR value (High);","")&amp;IF(AND(N197&lt;&gt;"",OR(N197&lt;=0,N197&gt;100)),"Unusual PCF value might be wrong (High);","")&amp;IF(AND(AG197&lt;&gt;"",OR(AG197&gt;1,AG197&lt;0)),"Incorrect PDS value (High);",IF(AND(AG197&lt;&gt;"",AG197&gt;0.5),"High PDS value (Medium);",""))&amp;IF(AND(AK197&lt;&gt;"",OR(AK197&gt;5,AK197&lt;1)),"Incorrect DQR value (High);","")&amp;IF(AND(AA197&lt;&gt;"",OR(AA197&gt;1,AA197&lt;0)),"Incorrect scrap rate (High);",IF(AND(AA197&lt;&gt;"",AA197&gt;0.2),"High scrap rate (Medium);",IF(AND($A197&lt;&gt;"",AA197=0),"No scrap rate (No impact);","")))&amp;""</f>
        <v/>
      </c>
      <c r="AP197" s="9" t="n"/>
    </row>
    <row r="198">
      <c r="A198" s="3" t="n"/>
      <c r="B198" s="3" t="n"/>
      <c r="C198" s="3" t="n"/>
      <c r="D198" s="3" t="n"/>
      <c r="E198" s="3" t="n"/>
      <c r="F198" s="3" t="n"/>
      <c r="G198" s="4" t="n"/>
      <c r="H198" s="4" t="n"/>
      <c r="I198" s="3" t="inlineStr">
        <is>
          <t>kg</t>
        </is>
      </c>
      <c r="J198" s="4" t="n"/>
      <c r="K198" s="3" t="inlineStr">
        <is>
          <t>kg</t>
        </is>
      </c>
      <c r="L198" s="3" t="n"/>
      <c r="M198" s="5" t="n"/>
      <c r="N198" s="6" t="n"/>
      <c r="O198" s="3" t="inlineStr">
        <is>
          <t>kgCO2e/product</t>
        </is>
      </c>
      <c r="P198" s="7" t="n"/>
      <c r="Q198" s="4" t="n"/>
      <c r="R198" s="8" t="n"/>
      <c r="S198" s="3" t="inlineStr">
        <is>
          <t>Supplier</t>
        </is>
      </c>
      <c r="T198" s="3" t="inlineStr">
        <is>
          <t>No</t>
        </is>
      </c>
      <c r="U198" s="5" t="n"/>
      <c r="V198" s="3" t="n"/>
      <c r="W198" s="3" t="n"/>
      <c r="X198" s="6" t="n"/>
      <c r="Y198" s="3" t="inlineStr">
        <is>
          <t>kgCO2e/product</t>
        </is>
      </c>
      <c r="Z198" s="3" t="n"/>
      <c r="AA198" s="7" t="n"/>
      <c r="AB198" s="3" t="n"/>
      <c r="AC198" s="3" t="n"/>
      <c r="AD198" s="6" t="n"/>
      <c r="AE198" s="3" t="inlineStr">
        <is>
          <t>kgCO2e/product</t>
        </is>
      </c>
      <c r="AF198" s="3" t="n"/>
      <c r="AG198" s="7" t="n">
        <v>0</v>
      </c>
      <c r="AH198" s="3" t="n"/>
      <c r="AI198" s="3" t="n"/>
      <c r="AJ198" s="3" t="n"/>
      <c r="AK198" s="4">
        <f>IF(COUNT(AH198,AI198,AJ198)=0,"",ROUND(AVERAGE(AH198,AI198,AJ198),3))</f>
        <v/>
      </c>
      <c r="AL198" s="3">
        <f>IF(X198="","",ROUND(X198*IF(H198="",0,H198)*(1+IF(AA198="",0,AA198)),5))</f>
        <v/>
      </c>
      <c r="AM198" s="3" t="inlineStr">
        <is>
          <t>kgCO2e/product</t>
        </is>
      </c>
      <c r="AN198" s="5" t="n"/>
      <c r="AO198" s="9">
        <f>IF(AND($A198&lt;&gt;"",E198=""),"Supplier code empty (High);","")&amp;IF(AND(P198&lt;&gt;"",OR(P198&gt;1,P198&lt;0)),"Incorrect PDS value (High);",IF(AND(P198&lt;&gt;"",P198&gt;0.5),"High PDS value (Medium);",""))&amp;IF(AND(Q198&lt;&gt;"",OR(Q198&gt;5,Q198&lt;1)),"Incorrect DQR value (High);","")&amp;IF(AND(N198&lt;&gt;"",OR(N198&lt;=0,N198&gt;100)),"Unusual PCF value might be wrong (High);","")&amp;IF(AND(AG198&lt;&gt;"",OR(AG198&gt;1,AG198&lt;0)),"Incorrect PDS value (High);",IF(AND(AG198&lt;&gt;"",AG198&gt;0.5),"High PDS value (Medium);",""))&amp;IF(AND(AK198&lt;&gt;"",OR(AK198&gt;5,AK198&lt;1)),"Incorrect DQR value (High);","")&amp;IF(AND(AA198&lt;&gt;"",OR(AA198&gt;1,AA198&lt;0)),"Incorrect scrap rate (High);",IF(AND(AA198&lt;&gt;"",AA198&gt;0.2),"High scrap rate (Medium);",IF(AND($A198&lt;&gt;"",AA198=0),"No scrap rate (No impact);","")))&amp;""</f>
        <v/>
      </c>
      <c r="AP198" s="9" t="n"/>
    </row>
    <row r="199">
      <c r="A199" s="3" t="n"/>
      <c r="B199" s="3" t="n"/>
      <c r="C199" s="3" t="n"/>
      <c r="D199" s="3" t="n"/>
      <c r="E199" s="3" t="n"/>
      <c r="F199" s="3" t="n"/>
      <c r="G199" s="4" t="n"/>
      <c r="H199" s="4" t="n"/>
      <c r="I199" s="3" t="inlineStr">
        <is>
          <t>kg</t>
        </is>
      </c>
      <c r="J199" s="4" t="n"/>
      <c r="K199" s="3" t="inlineStr">
        <is>
          <t>kg</t>
        </is>
      </c>
      <c r="L199" s="3" t="n"/>
      <c r="M199" s="5" t="n"/>
      <c r="N199" s="6" t="n"/>
      <c r="O199" s="3" t="inlineStr">
        <is>
          <t>kgCO2e/product</t>
        </is>
      </c>
      <c r="P199" s="7" t="n"/>
      <c r="Q199" s="4" t="n"/>
      <c r="R199" s="8" t="n"/>
      <c r="S199" s="3" t="inlineStr">
        <is>
          <t>Supplier</t>
        </is>
      </c>
      <c r="T199" s="3" t="inlineStr">
        <is>
          <t>No</t>
        </is>
      </c>
      <c r="U199" s="5" t="n"/>
      <c r="V199" s="3" t="n"/>
      <c r="W199" s="3" t="n"/>
      <c r="X199" s="6" t="n"/>
      <c r="Y199" s="3" t="inlineStr">
        <is>
          <t>kgCO2e/product</t>
        </is>
      </c>
      <c r="Z199" s="3" t="n"/>
      <c r="AA199" s="7" t="n"/>
      <c r="AB199" s="3" t="n"/>
      <c r="AC199" s="3" t="n"/>
      <c r="AD199" s="6" t="n"/>
      <c r="AE199" s="3" t="inlineStr">
        <is>
          <t>kgCO2e/product</t>
        </is>
      </c>
      <c r="AF199" s="3" t="n"/>
      <c r="AG199" s="7" t="n">
        <v>0</v>
      </c>
      <c r="AH199" s="3" t="n"/>
      <c r="AI199" s="3" t="n"/>
      <c r="AJ199" s="3" t="n"/>
      <c r="AK199" s="4">
        <f>IF(COUNT(AH199,AI199,AJ199)=0,"",ROUND(AVERAGE(AH199,AI199,AJ199),3))</f>
        <v/>
      </c>
      <c r="AL199" s="3">
        <f>IF(X199="","",ROUND(X199*IF(H199="",0,H199)*(1+IF(AA199="",0,AA199)),5))</f>
        <v/>
      </c>
      <c r="AM199" s="3" t="inlineStr">
        <is>
          <t>kgCO2e/product</t>
        </is>
      </c>
      <c r="AN199" s="5" t="n"/>
      <c r="AO199" s="9">
        <f>IF(AND($A199&lt;&gt;"",E199=""),"Supplier code empty (High);","")&amp;IF(AND(P199&lt;&gt;"",OR(P199&gt;1,P199&lt;0)),"Incorrect PDS value (High);",IF(AND(P199&lt;&gt;"",P199&gt;0.5),"High PDS value (Medium);",""))&amp;IF(AND(Q199&lt;&gt;"",OR(Q199&gt;5,Q199&lt;1)),"Incorrect DQR value (High);","")&amp;IF(AND(N199&lt;&gt;"",OR(N199&lt;=0,N199&gt;100)),"Unusual PCF value might be wrong (High);","")&amp;IF(AND(AG199&lt;&gt;"",OR(AG199&gt;1,AG199&lt;0)),"Incorrect PDS value (High);",IF(AND(AG199&lt;&gt;"",AG199&gt;0.5),"High PDS value (Medium);",""))&amp;IF(AND(AK199&lt;&gt;"",OR(AK199&gt;5,AK199&lt;1)),"Incorrect DQR value (High);","")&amp;IF(AND(AA199&lt;&gt;"",OR(AA199&gt;1,AA199&lt;0)),"Incorrect scrap rate (High);",IF(AND(AA199&lt;&gt;"",AA199&gt;0.2),"High scrap rate (Medium);",IF(AND($A199&lt;&gt;"",AA199=0),"No scrap rate (No impact);","")))&amp;""</f>
        <v/>
      </c>
      <c r="AP199" s="9" t="n"/>
    </row>
    <row r="200">
      <c r="A200" s="3" t="n"/>
      <c r="B200" s="3" t="n"/>
      <c r="C200" s="3" t="n"/>
      <c r="D200" s="3" t="n"/>
      <c r="E200" s="3" t="n"/>
      <c r="F200" s="3" t="n"/>
      <c r="G200" s="4" t="n"/>
      <c r="H200" s="4" t="n"/>
      <c r="I200" s="3" t="inlineStr">
        <is>
          <t>kg</t>
        </is>
      </c>
      <c r="J200" s="4" t="n"/>
      <c r="K200" s="3" t="inlineStr">
        <is>
          <t>kg</t>
        </is>
      </c>
      <c r="L200" s="3" t="n"/>
      <c r="M200" s="5" t="n"/>
      <c r="N200" s="6" t="n"/>
      <c r="O200" s="3" t="inlineStr">
        <is>
          <t>kgCO2e/product</t>
        </is>
      </c>
      <c r="P200" s="7" t="n"/>
      <c r="Q200" s="4" t="n"/>
      <c r="R200" s="8" t="n"/>
      <c r="S200" s="3" t="inlineStr">
        <is>
          <t>Supplier</t>
        </is>
      </c>
      <c r="T200" s="3" t="inlineStr">
        <is>
          <t>No</t>
        </is>
      </c>
      <c r="U200" s="5" t="n"/>
      <c r="V200" s="3" t="n"/>
      <c r="W200" s="3" t="n"/>
      <c r="X200" s="6" t="n"/>
      <c r="Y200" s="3" t="inlineStr">
        <is>
          <t>kgCO2e/product</t>
        </is>
      </c>
      <c r="Z200" s="3" t="n"/>
      <c r="AA200" s="7" t="n"/>
      <c r="AB200" s="3" t="n"/>
      <c r="AC200" s="3" t="n"/>
      <c r="AD200" s="6" t="n"/>
      <c r="AE200" s="3" t="inlineStr">
        <is>
          <t>kgCO2e/product</t>
        </is>
      </c>
      <c r="AF200" s="3" t="n"/>
      <c r="AG200" s="7" t="n">
        <v>0</v>
      </c>
      <c r="AH200" s="3" t="n"/>
      <c r="AI200" s="3" t="n"/>
      <c r="AJ200" s="3" t="n"/>
      <c r="AK200" s="4">
        <f>IF(COUNT(AH200,AI200,AJ200)=0,"",ROUND(AVERAGE(AH200,AI200,AJ200),3))</f>
        <v/>
      </c>
      <c r="AL200" s="3">
        <f>IF(X200="","",ROUND(X200*IF(H200="",0,H200)*(1+IF(AA200="",0,AA200)),5))</f>
        <v/>
      </c>
      <c r="AM200" s="3" t="inlineStr">
        <is>
          <t>kgCO2e/product</t>
        </is>
      </c>
      <c r="AN200" s="5" t="n"/>
      <c r="AO200" s="9">
        <f>IF(AND($A200&lt;&gt;"",E200=""),"Supplier code empty (High);","")&amp;IF(AND(P200&lt;&gt;"",OR(P200&gt;1,P200&lt;0)),"Incorrect PDS value (High);",IF(AND(P200&lt;&gt;"",P200&gt;0.5),"High PDS value (Medium);",""))&amp;IF(AND(Q200&lt;&gt;"",OR(Q200&gt;5,Q200&lt;1)),"Incorrect DQR value (High);","")&amp;IF(AND(N200&lt;&gt;"",OR(N200&lt;=0,N200&gt;100)),"Unusual PCF value might be wrong (High);","")&amp;IF(AND(AG200&lt;&gt;"",OR(AG200&gt;1,AG200&lt;0)),"Incorrect PDS value (High);",IF(AND(AG200&lt;&gt;"",AG200&gt;0.5),"High PDS value (Medium);",""))&amp;IF(AND(AK200&lt;&gt;"",OR(AK200&gt;5,AK200&lt;1)),"Incorrect DQR value (High);","")&amp;IF(AND(AA200&lt;&gt;"",OR(AA200&gt;1,AA200&lt;0)),"Incorrect scrap rate (High);",IF(AND(AA200&lt;&gt;"",AA200&gt;0.2),"High scrap rate (Medium);",IF(AND($A200&lt;&gt;"",AA200=0),"No scrap rate (No impact);","")))&amp;""</f>
        <v/>
      </c>
      <c r="AP200" s="9" t="n"/>
    </row>
    <row r="201">
      <c r="A201" s="3" t="n"/>
      <c r="B201" s="3" t="n"/>
      <c r="C201" s="3" t="n"/>
      <c r="D201" s="3" t="n"/>
      <c r="E201" s="3" t="n"/>
      <c r="F201" s="3" t="n"/>
      <c r="G201" s="4" t="n"/>
      <c r="H201" s="4" t="n"/>
      <c r="I201" s="3" t="inlineStr">
        <is>
          <t>kg</t>
        </is>
      </c>
      <c r="J201" s="4" t="n"/>
      <c r="K201" s="3" t="inlineStr">
        <is>
          <t>kg</t>
        </is>
      </c>
      <c r="L201" s="3" t="n"/>
      <c r="M201" s="5" t="n"/>
      <c r="N201" s="6" t="n"/>
      <c r="O201" s="3" t="inlineStr">
        <is>
          <t>kgCO2e/product</t>
        </is>
      </c>
      <c r="P201" s="7" t="n"/>
      <c r="Q201" s="4" t="n"/>
      <c r="R201" s="8" t="n"/>
      <c r="S201" s="3" t="inlineStr">
        <is>
          <t>Supplier</t>
        </is>
      </c>
      <c r="T201" s="3" t="inlineStr">
        <is>
          <t>No</t>
        </is>
      </c>
      <c r="U201" s="5" t="n"/>
      <c r="V201" s="3" t="n"/>
      <c r="W201" s="3" t="n"/>
      <c r="X201" s="6" t="n"/>
      <c r="Y201" s="3" t="inlineStr">
        <is>
          <t>kgCO2e/product</t>
        </is>
      </c>
      <c r="Z201" s="3" t="n"/>
      <c r="AA201" s="7" t="n"/>
      <c r="AB201" s="3" t="n"/>
      <c r="AC201" s="3" t="n"/>
      <c r="AD201" s="6" t="n"/>
      <c r="AE201" s="3" t="inlineStr">
        <is>
          <t>kgCO2e/product</t>
        </is>
      </c>
      <c r="AF201" s="3" t="n"/>
      <c r="AG201" s="7" t="n">
        <v>0</v>
      </c>
      <c r="AH201" s="3" t="n"/>
      <c r="AI201" s="3" t="n"/>
      <c r="AJ201" s="3" t="n"/>
      <c r="AK201" s="4">
        <f>IF(COUNT(AH201,AI201,AJ201)=0,"",ROUND(AVERAGE(AH201,AI201,AJ201),3))</f>
        <v/>
      </c>
      <c r="AL201" s="3">
        <f>IF(X201="","",ROUND(X201*IF(H201="",0,H201)*(1+IF(AA201="",0,AA201)),5))</f>
        <v/>
      </c>
      <c r="AM201" s="3" t="inlineStr">
        <is>
          <t>kgCO2e/product</t>
        </is>
      </c>
      <c r="AN201" s="5" t="n"/>
      <c r="AO201" s="9">
        <f>IF(AND($A201&lt;&gt;"",E201=""),"Supplier code empty (High);","")&amp;IF(AND(P201&lt;&gt;"",OR(P201&gt;1,P201&lt;0)),"Incorrect PDS value (High);",IF(AND(P201&lt;&gt;"",P201&gt;0.5),"High PDS value (Medium);",""))&amp;IF(AND(Q201&lt;&gt;"",OR(Q201&gt;5,Q201&lt;1)),"Incorrect DQR value (High);","")&amp;IF(AND(N201&lt;&gt;"",OR(N201&lt;=0,N201&gt;100)),"Unusual PCF value might be wrong (High);","")&amp;IF(AND(AG201&lt;&gt;"",OR(AG201&gt;1,AG201&lt;0)),"Incorrect PDS value (High);",IF(AND(AG201&lt;&gt;"",AG201&gt;0.5),"High PDS value (Medium);",""))&amp;IF(AND(AK201&lt;&gt;"",OR(AK201&gt;5,AK201&lt;1)),"Incorrect DQR value (High);","")&amp;IF(AND(AA201&lt;&gt;"",OR(AA201&gt;1,AA201&lt;0)),"Incorrect scrap rate (High);",IF(AND(AA201&lt;&gt;"",AA201&gt;0.2),"High scrap rate (Medium);",IF(AND($A201&lt;&gt;"",AA201=0),"No scrap rate (No impact);","")))&amp;""</f>
        <v/>
      </c>
      <c r="AP201" s="9" t="n"/>
    </row>
  </sheetData>
  <conditionalFormatting sqref="P2:P201">
    <cfRule type="cellIs" priority="1" operator="greaterThan" dxfId="0">
      <formula>1</formula>
    </cfRule>
    <cfRule type="cellIs" priority="2" operator="lessThan" dxfId="0">
      <formula>0</formula>
    </cfRule>
  </conditionalFormatting>
  <conditionalFormatting sqref="AA2:AA201">
    <cfRule type="cellIs" priority="3" operator="greaterThan" dxfId="0">
      <formula>1</formula>
    </cfRule>
    <cfRule type="cellIs" priority="4" operator="lessThan" dxfId="0">
      <formula>0</formula>
    </cfRule>
  </conditionalFormatting>
  <conditionalFormatting sqref="AG2:AG201">
    <cfRule type="cellIs" priority="5" operator="greaterThan" dxfId="0">
      <formula>1</formula>
    </cfRule>
    <cfRule type="cellIs" priority="6" operator="lessThan" dxfId="0">
      <formula>0</formula>
    </cfRule>
  </conditionalFormatting>
  <dataValidations count="2">
    <dataValidation sqref="T2:T201" showDropDown="0" showInputMessage="0" showErrorMessage="0" allowBlank="1" type="list">
      <formula1>"Yes,No"</formula1>
    </dataValidation>
    <dataValidation sqref="AH2:AH201 AI2:AI201 AJ2:AJ20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01"/>
  <sheetViews>
    <sheetView showGridLines="0" workbookViewId="0">
      <pane xSplit="2" ySplit="1" topLeftCell="P2" activePane="bottomRight" state="frozen"/>
      <selection pane="topRight" activeCell="A1" sqref="A1"/>
      <selection pane="bottomLeft" activeCell="A1" sqref="A1"/>
      <selection pane="bottomRight" activeCell="AC2" sqref="AC2"/>
    </sheetView>
  </sheetViews>
  <sheetFormatPr baseColWidth="10" defaultColWidth="9.140625" defaultRowHeight="15"/>
  <cols>
    <col width="18" customWidth="1" min="1" max="2"/>
    <col outlineLevel="1" width="18" customWidth="1" min="3" max="3"/>
    <col width="18" customWidth="1" min="4" max="17"/>
    <col width="3.42578125" customWidth="1" min="18" max="18"/>
    <col width="18" customWidth="1" min="19" max="20"/>
    <col outlineLevel="1" width="18" customWidth="1" min="21" max="21"/>
    <col width="18" customWidth="1" min="22" max="25"/>
    <col width="3.42578125" customWidth="1" min="26" max="26"/>
    <col outlineLevel="1" width="18" customWidth="1" min="27" max="27"/>
    <col width="18" customWidth="1" min="28" max="44"/>
    <col width="3.42578125" customWidth="1" min="45" max="45"/>
    <col width="45" customWidth="1" min="46" max="46"/>
    <col width="15" customWidth="1" min="47" max="47"/>
  </cols>
  <sheetData>
    <row r="1" ht="60" customHeight="1">
      <c r="A1" s="18" t="inlineStr">
        <is>
          <t>Component SKU</t>
        </is>
      </c>
      <c r="B1" s="18" t="inlineStr">
        <is>
          <t>Component Designation</t>
        </is>
      </c>
      <c r="C1" s="18" t="inlineStr">
        <is>
          <t>Category Code</t>
        </is>
      </c>
      <c r="D1" s="18" t="inlineStr">
        <is>
          <t>Category description</t>
        </is>
      </c>
      <c r="E1" s="18" t="inlineStr">
        <is>
          <t>Carbon category</t>
        </is>
      </c>
      <c r="F1" s="18" t="inlineStr">
        <is>
          <t>Carbon sub category</t>
        </is>
      </c>
      <c r="G1" s="18" t="inlineStr">
        <is>
          <t>Supplier Code</t>
        </is>
      </c>
      <c r="H1" s="18" t="inlineStr">
        <is>
          <t>Supplier Name</t>
        </is>
      </c>
      <c r="I1" s="19" t="inlineStr">
        <is>
          <t>UVP description</t>
        </is>
      </c>
      <c r="J1" s="19" t="inlineStr">
        <is>
          <t>Raw Material (MB Product)</t>
        </is>
      </c>
      <c r="K1" s="19" t="inlineStr">
        <is>
          <t>Raw Material - Carbon Footprint</t>
        </is>
      </c>
      <c r="L1" s="19" t="inlineStr">
        <is>
          <t>Pack unit box</t>
        </is>
      </c>
      <c r="M1" s="19" t="inlineStr">
        <is>
          <t>Net Weight</t>
        </is>
      </c>
      <c r="N1" s="19" t="inlineStr">
        <is>
          <t>Net Weight Unit</t>
        </is>
      </c>
      <c r="O1" s="19" t="inlineStr">
        <is>
          <t>Gross Weight</t>
        </is>
      </c>
      <c r="P1" s="19" t="inlineStr">
        <is>
          <t>Gross Weight Unit</t>
        </is>
      </c>
      <c r="Q1" s="19" t="inlineStr">
        <is>
          <t>Stock unit</t>
        </is>
      </c>
      <c r="R1" s="14" t="inlineStr">
        <is>
          <t>Component Details</t>
        </is>
      </c>
      <c r="S1" s="15" t="inlineStr">
        <is>
          <t>Supplier PCF value</t>
        </is>
      </c>
      <c r="T1" s="15" t="inlineStr">
        <is>
          <t>Supplier PCF Unit</t>
        </is>
      </c>
      <c r="U1" s="15" t="inlineStr">
        <is>
          <t>Supplier PDS</t>
        </is>
      </c>
      <c r="V1" s="15" t="inlineStr">
        <is>
          <t>Supplier DQR</t>
        </is>
      </c>
      <c r="W1" s="15" t="inlineStr">
        <is>
          <t>Supplier PCF date</t>
        </is>
      </c>
      <c r="X1" s="15" t="inlineStr">
        <is>
          <t>Supplier PCF source</t>
        </is>
      </c>
      <c r="Y1" s="15" t="inlineStr">
        <is>
          <t>Supplier PCF external review</t>
        </is>
      </c>
      <c r="Z1" s="14" t="inlineStr">
        <is>
          <t>Supplier PCF</t>
        </is>
      </c>
      <c r="AA1" s="16" t="inlineStr">
        <is>
          <t>Transformation Process Name</t>
        </is>
      </c>
      <c r="AB1" s="16" t="inlineStr">
        <is>
          <t>Transformation Process EF Name</t>
        </is>
      </c>
      <c r="AC1" s="16" t="inlineStr">
        <is>
          <t>Transformation Process EF Value</t>
        </is>
      </c>
      <c r="AD1" s="16" t="inlineStr">
        <is>
          <t>Transformation Process EF Unit</t>
        </is>
      </c>
      <c r="AE1" s="16" t="inlineStr">
        <is>
          <t>Transformation Process EF Source</t>
        </is>
      </c>
      <c r="AF1" s="16" t="inlineStr">
        <is>
          <t>Transformation Process Scrap Rate</t>
        </is>
      </c>
      <c r="AG1" s="16" t="inlineStr">
        <is>
          <t>Transformation Energy Name</t>
        </is>
      </c>
      <c r="AH1" s="16" t="inlineStr">
        <is>
          <t>Transformation Energy EF Name</t>
        </is>
      </c>
      <c r="AI1" s="16" t="inlineStr">
        <is>
          <t>Transformation Energy EF Value</t>
        </is>
      </c>
      <c r="AJ1" s="16" t="inlineStr">
        <is>
          <t>Transformation Energy EF Unit</t>
        </is>
      </c>
      <c r="AK1" s="16" t="inlineStr">
        <is>
          <t>Transformation Energy EF Source</t>
        </is>
      </c>
      <c r="AL1" s="16" t="inlineStr">
        <is>
          <t>Transformation PDS value</t>
        </is>
      </c>
      <c r="AM1" s="16" t="inlineStr">
        <is>
          <t>Transformation GEO DQR</t>
        </is>
      </c>
      <c r="AN1" s="16" t="inlineStr">
        <is>
          <t>Transformation TECH DQR</t>
        </is>
      </c>
      <c r="AO1" s="16" t="inlineStr">
        <is>
          <t>Transformation TEMP DQR</t>
        </is>
      </c>
      <c r="AP1" s="16" t="inlineStr">
        <is>
          <t>Transformation DQR value</t>
        </is>
      </c>
      <c r="AQ1" s="16" t="inlineStr">
        <is>
          <t>Transformation GHG</t>
        </is>
      </c>
      <c r="AR1" s="16" t="inlineStr">
        <is>
          <t>Transformation GHG Unit</t>
        </is>
      </c>
      <c r="AS1" s="14" t="inlineStr">
        <is>
          <t>Transformation Details</t>
        </is>
      </c>
      <c r="AT1" s="17" t="inlineStr">
        <is>
          <t>Data validation flag</t>
        </is>
      </c>
      <c r="AU1" s="17" t="inlineStr">
        <is>
          <t>Data validation flag impact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4" t="n"/>
      <c r="M2" s="4" t="n"/>
      <c r="N2" s="3" t="inlineStr">
        <is>
          <t>kg</t>
        </is>
      </c>
      <c r="O2" s="4" t="n"/>
      <c r="P2" s="3" t="inlineStr">
        <is>
          <t>kg</t>
        </is>
      </c>
      <c r="Q2" s="3" t="n"/>
      <c r="R2" s="5" t="n"/>
      <c r="S2" s="6" t="n"/>
      <c r="T2" s="3" t="inlineStr">
        <is>
          <t>kgCO2e/component</t>
        </is>
      </c>
      <c r="U2" s="7" t="n"/>
      <c r="V2" s="4" t="n"/>
      <c r="W2" s="8" t="n"/>
      <c r="X2" s="3" t="inlineStr">
        <is>
          <t>Supplier</t>
        </is>
      </c>
      <c r="Y2" s="3" t="inlineStr">
        <is>
          <t>No</t>
        </is>
      </c>
      <c r="Z2" s="5" t="n"/>
      <c r="AA2" s="3" t="n"/>
      <c r="AB2" s="3" t="n"/>
      <c r="AC2" s="6" t="n"/>
      <c r="AD2" s="3" t="inlineStr">
        <is>
          <t>kgCO2e/component</t>
        </is>
      </c>
      <c r="AE2" s="3" t="n"/>
      <c r="AF2" s="7" t="n"/>
      <c r="AG2" s="3" t="n"/>
      <c r="AH2" s="3" t="n"/>
      <c r="AI2" s="6" t="n"/>
      <c r="AJ2" s="3" t="inlineStr">
        <is>
          <t>kgCO2e/component</t>
        </is>
      </c>
      <c r="AK2" s="3" t="n"/>
      <c r="AL2" s="7" t="n">
        <v>0</v>
      </c>
      <c r="AM2" s="3" t="n"/>
      <c r="AN2" s="3" t="n"/>
      <c r="AO2" s="3" t="n"/>
      <c r="AP2" s="4">
        <f>IF(COUNT(AM2,AN2,AO2)=0,"",ROUND(AVERAGE(AM2,AN2,AO2),3))</f>
        <v/>
      </c>
      <c r="AQ2" s="3">
        <f>IF(AC2="","",ROUND(AC2*IF(M2="",0,M2)*(1+IF(AF2="",0,AF2)),5))</f>
        <v/>
      </c>
      <c r="AR2" s="3" t="inlineStr">
        <is>
          <t>kgCO2e/component</t>
        </is>
      </c>
      <c r="AS2" s="5" t="n"/>
      <c r="AT2" s="9">
        <f>IF(AND($A2&lt;&gt;"",G2=""),"Supplier code empty (High);","")&amp;IF(AND(U2&lt;&gt;"",OR(U2&gt;1,U2&lt;0)),"Incorrect PDS value (High);",IF(AND(U2&lt;&gt;"",U2&gt;0.5),"High PDS value (Medium);",""))&amp;IF(AND(V2&lt;&gt;"",OR(V2&gt;5,V2&lt;1)),"Incorrect DQR value (High);","")&amp;IF(AND(S2&lt;&gt;"",OR(S2&lt;=0,S2&gt;100)),"Unusual PCF value might be wrong (High);","")&amp;IF(AND(AL2&lt;&gt;"",OR(AL2&gt;1,AL2&lt;0)),"Incorrect PDS value (High);",IF(AND(AL2&lt;&gt;"",AL2&gt;0.5),"High PDS value (Medium);",""))&amp;IF(AND(AP2&lt;&gt;"",OR(AP2&gt;5,AP2&lt;1)),"Incorrect DQR value (High);","")&amp;IF(AND($A2&lt;&gt;"",AF2&gt;1),"Incorrect scrap rate (High);",IF(AND($A2&lt;&gt;"",AF2=0),"No scrap rate (No impact);",""))&amp;IF(AND($A2&lt;&gt;"",I2="",J2="",K2=""),"No raw material available (High);","")&amp;""</f>
        <v/>
      </c>
      <c r="AU2" s="9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  <c r="M3" s="4" t="n"/>
      <c r="N3" s="3" t="inlineStr">
        <is>
          <t>kg</t>
        </is>
      </c>
      <c r="O3" s="4" t="n"/>
      <c r="P3" s="3" t="inlineStr">
        <is>
          <t>kg</t>
        </is>
      </c>
      <c r="Q3" s="3" t="n"/>
      <c r="R3" s="5" t="n"/>
      <c r="S3" s="6" t="n"/>
      <c r="T3" s="3" t="inlineStr">
        <is>
          <t>kgCO2e/component</t>
        </is>
      </c>
      <c r="U3" s="7" t="n"/>
      <c r="V3" s="4" t="n"/>
      <c r="W3" s="8" t="n"/>
      <c r="X3" s="3" t="inlineStr">
        <is>
          <t>Supplier</t>
        </is>
      </c>
      <c r="Y3" s="3" t="inlineStr">
        <is>
          <t>No</t>
        </is>
      </c>
      <c r="Z3" s="5" t="n"/>
      <c r="AA3" s="3" t="n"/>
      <c r="AB3" s="3" t="n"/>
      <c r="AC3" s="6" t="n"/>
      <c r="AD3" s="3" t="inlineStr">
        <is>
          <t>kgCO2e/component</t>
        </is>
      </c>
      <c r="AE3" s="3" t="n"/>
      <c r="AF3" s="7" t="n"/>
      <c r="AG3" s="3" t="n"/>
      <c r="AH3" s="3" t="n"/>
      <c r="AI3" s="6" t="n"/>
      <c r="AJ3" s="3" t="inlineStr">
        <is>
          <t>kgCO2e/component</t>
        </is>
      </c>
      <c r="AK3" s="3" t="n"/>
      <c r="AL3" s="7" t="n">
        <v>0</v>
      </c>
      <c r="AM3" s="3" t="n"/>
      <c r="AN3" s="3" t="n"/>
      <c r="AO3" s="3" t="n"/>
      <c r="AP3" s="4">
        <f>IF(COUNT(AM3,AN3,AO3)=0,"",ROUND(AVERAGE(AM3,AN3,AO3),3))</f>
        <v/>
      </c>
      <c r="AQ3" s="3">
        <f>IF(AC3="","",ROUND(AC3*IF(M3="",0,M3)*(1+IF(AF3="",0,AF3)),5))</f>
        <v/>
      </c>
      <c r="AR3" s="3" t="inlineStr">
        <is>
          <t>kgCO2e/component</t>
        </is>
      </c>
      <c r="AS3" s="5" t="n"/>
      <c r="AT3" s="9">
        <f>IF(AND($A3&lt;&gt;"",G3=""),"Supplier code empty (High);","")&amp;IF(AND(U3&lt;&gt;"",OR(U3&gt;1,U3&lt;0)),"Incorrect PDS value (High);",IF(AND(U3&lt;&gt;"",U3&gt;0.5),"High PDS value (Medium);",""))&amp;IF(AND(V3&lt;&gt;"",OR(V3&gt;5,V3&lt;1)),"Incorrect DQR value (High);","")&amp;IF(AND(S3&lt;&gt;"",OR(S3&lt;=0,S3&gt;100)),"Unusual PCF value might be wrong (High);","")&amp;IF(AND(AL3&lt;&gt;"",OR(AL3&gt;1,AL3&lt;0)),"Incorrect PDS value (High);",IF(AND(AL3&lt;&gt;"",AL3&gt;0.5),"High PDS value (Medium);",""))&amp;IF(AND(AP3&lt;&gt;"",OR(AP3&gt;5,AP3&lt;1)),"Incorrect DQR value (High);","")&amp;IF(AND($A3&lt;&gt;"",AF3&gt;1),"Incorrect scrap rate (High);",IF(AND($A3&lt;&gt;"",AF3=0),"No scrap rate (No impact);",""))&amp;IF(AND($A3&lt;&gt;"",I3="",J3="",K3=""),"No raw material available (High);","")&amp;""</f>
        <v/>
      </c>
      <c r="AU3" s="9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4" t="n"/>
      <c r="M4" s="4" t="n"/>
      <c r="N4" s="3" t="inlineStr">
        <is>
          <t>kg</t>
        </is>
      </c>
      <c r="O4" s="4" t="n"/>
      <c r="P4" s="3" t="inlineStr">
        <is>
          <t>kg</t>
        </is>
      </c>
      <c r="Q4" s="3" t="n"/>
      <c r="R4" s="5" t="n"/>
      <c r="S4" s="6" t="n"/>
      <c r="T4" s="3" t="inlineStr">
        <is>
          <t>kgCO2e/component</t>
        </is>
      </c>
      <c r="U4" s="7" t="n"/>
      <c r="V4" s="4" t="n"/>
      <c r="W4" s="8" t="n"/>
      <c r="X4" s="3" t="inlineStr">
        <is>
          <t>Supplier</t>
        </is>
      </c>
      <c r="Y4" s="3" t="inlineStr">
        <is>
          <t>No</t>
        </is>
      </c>
      <c r="Z4" s="5" t="n"/>
      <c r="AA4" s="3" t="n"/>
      <c r="AB4" s="3" t="n"/>
      <c r="AC4" s="6" t="n"/>
      <c r="AD4" s="3" t="inlineStr">
        <is>
          <t>kgCO2e/component</t>
        </is>
      </c>
      <c r="AE4" s="3" t="n"/>
      <c r="AF4" s="7" t="n"/>
      <c r="AG4" s="3" t="n"/>
      <c r="AH4" s="3" t="n"/>
      <c r="AI4" s="6" t="n"/>
      <c r="AJ4" s="3" t="inlineStr">
        <is>
          <t>kgCO2e/component</t>
        </is>
      </c>
      <c r="AK4" s="3" t="n"/>
      <c r="AL4" s="7" t="n">
        <v>0</v>
      </c>
      <c r="AM4" s="3" t="n"/>
      <c r="AN4" s="3" t="n"/>
      <c r="AO4" s="3" t="n"/>
      <c r="AP4" s="4">
        <f>IF(COUNT(AM4,AN4,AO4)=0,"",ROUND(AVERAGE(AM4,AN4,AO4),3))</f>
        <v/>
      </c>
      <c r="AQ4" s="3">
        <f>IF(AC4="","",ROUND(AC4*IF(M4="",0,M4)*(1+IF(AF4="",0,AF4)),5))</f>
        <v/>
      </c>
      <c r="AR4" s="3" t="inlineStr">
        <is>
          <t>kgCO2e/component</t>
        </is>
      </c>
      <c r="AS4" s="5" t="n"/>
      <c r="AT4" s="9">
        <f>IF(AND($A4&lt;&gt;"",G4=""),"Supplier code empty (High);","")&amp;IF(AND(U4&lt;&gt;"",OR(U4&gt;1,U4&lt;0)),"Incorrect PDS value (High);",IF(AND(U4&lt;&gt;"",U4&gt;0.5),"High PDS value (Medium);",""))&amp;IF(AND(V4&lt;&gt;"",OR(V4&gt;5,V4&lt;1)),"Incorrect DQR value (High);","")&amp;IF(AND(S4&lt;&gt;"",OR(S4&lt;=0,S4&gt;100)),"Unusual PCF value might be wrong (High);","")&amp;IF(AND(AL4&lt;&gt;"",OR(AL4&gt;1,AL4&lt;0)),"Incorrect PDS value (High);",IF(AND(AL4&lt;&gt;"",AL4&gt;0.5),"High PDS value (Medium);",""))&amp;IF(AND(AP4&lt;&gt;"",OR(AP4&gt;5,AP4&lt;1)),"Incorrect DQR value (High);","")&amp;IF(AND($A4&lt;&gt;"",AF4&gt;1),"Incorrect scrap rate (High);",IF(AND($A4&lt;&gt;"",AF4=0),"No scrap rate (No impact);",""))&amp;IF(AND($A4&lt;&gt;"",I4="",J4="",K4=""),"No raw material available (High);","")&amp;""</f>
        <v/>
      </c>
      <c r="AU4" s="9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4" t="n"/>
      <c r="M5" s="4" t="n"/>
      <c r="N5" s="3" t="inlineStr">
        <is>
          <t>kg</t>
        </is>
      </c>
      <c r="O5" s="4" t="n"/>
      <c r="P5" s="3" t="inlineStr">
        <is>
          <t>kg</t>
        </is>
      </c>
      <c r="Q5" s="3" t="n"/>
      <c r="R5" s="5" t="n"/>
      <c r="S5" s="6" t="n"/>
      <c r="T5" s="3" t="inlineStr">
        <is>
          <t>kgCO2e/component</t>
        </is>
      </c>
      <c r="U5" s="7" t="n"/>
      <c r="V5" s="4" t="n"/>
      <c r="W5" s="8" t="n"/>
      <c r="X5" s="3" t="inlineStr">
        <is>
          <t>Supplier</t>
        </is>
      </c>
      <c r="Y5" s="3" t="inlineStr">
        <is>
          <t>No</t>
        </is>
      </c>
      <c r="Z5" s="5" t="n"/>
      <c r="AA5" s="3" t="n"/>
      <c r="AB5" s="3" t="n"/>
      <c r="AC5" s="6" t="n"/>
      <c r="AD5" s="3" t="inlineStr">
        <is>
          <t>kgCO2e/component</t>
        </is>
      </c>
      <c r="AE5" s="3" t="n"/>
      <c r="AF5" s="7" t="n"/>
      <c r="AG5" s="3" t="n"/>
      <c r="AH5" s="3" t="n"/>
      <c r="AI5" s="6" t="n"/>
      <c r="AJ5" s="3" t="inlineStr">
        <is>
          <t>kgCO2e/component</t>
        </is>
      </c>
      <c r="AK5" s="3" t="n"/>
      <c r="AL5" s="7" t="n">
        <v>0</v>
      </c>
      <c r="AM5" s="3" t="n"/>
      <c r="AN5" s="3" t="n"/>
      <c r="AO5" s="3" t="n"/>
      <c r="AP5" s="4">
        <f>IF(COUNT(AM5,AN5,AO5)=0,"",ROUND(AVERAGE(AM5,AN5,AO5),3))</f>
        <v/>
      </c>
      <c r="AQ5" s="3">
        <f>IF(AC5="","",ROUND(AC5*IF(M5="",0,M5)*(1+IF(AF5="",0,AF5)),5))</f>
        <v/>
      </c>
      <c r="AR5" s="3" t="inlineStr">
        <is>
          <t>kgCO2e/component</t>
        </is>
      </c>
      <c r="AS5" s="5" t="n"/>
      <c r="AT5" s="9">
        <f>IF(AND($A5&lt;&gt;"",G5=""),"Supplier code empty (High);","")&amp;IF(AND(U5&lt;&gt;"",OR(U5&gt;1,U5&lt;0)),"Incorrect PDS value (High);",IF(AND(U5&lt;&gt;"",U5&gt;0.5),"High PDS value (Medium);",""))&amp;IF(AND(V5&lt;&gt;"",OR(V5&gt;5,V5&lt;1)),"Incorrect DQR value (High);","")&amp;IF(AND(S5&lt;&gt;"",OR(S5&lt;=0,S5&gt;100)),"Unusual PCF value might be wrong (High);","")&amp;IF(AND(AL5&lt;&gt;"",OR(AL5&gt;1,AL5&lt;0)),"Incorrect PDS value (High);",IF(AND(AL5&lt;&gt;"",AL5&gt;0.5),"High PDS value (Medium);",""))&amp;IF(AND(AP5&lt;&gt;"",OR(AP5&gt;5,AP5&lt;1)),"Incorrect DQR value (High);","")&amp;IF(AND($A5&lt;&gt;"",AF5&gt;1),"Incorrect scrap rate (High);",IF(AND($A5&lt;&gt;"",AF5=0),"No scrap rate (No impact);",""))&amp;IF(AND($A5&lt;&gt;"",I5="",J5="",K5=""),"No raw material available (High);","")&amp;""</f>
        <v/>
      </c>
      <c r="AU5" s="9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4" t="n"/>
      <c r="M6" s="4" t="n"/>
      <c r="N6" s="3" t="inlineStr">
        <is>
          <t>kg</t>
        </is>
      </c>
      <c r="O6" s="4" t="n"/>
      <c r="P6" s="3" t="inlineStr">
        <is>
          <t>kg</t>
        </is>
      </c>
      <c r="Q6" s="3" t="n"/>
      <c r="R6" s="5" t="n"/>
      <c r="S6" s="6" t="n"/>
      <c r="T6" s="3" t="inlineStr">
        <is>
          <t>kgCO2e/component</t>
        </is>
      </c>
      <c r="U6" s="7" t="n"/>
      <c r="V6" s="4" t="n"/>
      <c r="W6" s="8" t="n"/>
      <c r="X6" s="3" t="inlineStr">
        <is>
          <t>Supplier</t>
        </is>
      </c>
      <c r="Y6" s="3" t="inlineStr">
        <is>
          <t>No</t>
        </is>
      </c>
      <c r="Z6" s="5" t="n"/>
      <c r="AA6" s="3" t="n"/>
      <c r="AB6" s="3" t="n"/>
      <c r="AC6" s="6" t="n"/>
      <c r="AD6" s="3" t="inlineStr">
        <is>
          <t>kgCO2e/component</t>
        </is>
      </c>
      <c r="AE6" s="3" t="n"/>
      <c r="AF6" s="7" t="n"/>
      <c r="AG6" s="3" t="n"/>
      <c r="AH6" s="3" t="n"/>
      <c r="AI6" s="6" t="n"/>
      <c r="AJ6" s="3" t="inlineStr">
        <is>
          <t>kgCO2e/component</t>
        </is>
      </c>
      <c r="AK6" s="3" t="n"/>
      <c r="AL6" s="7" t="n">
        <v>0</v>
      </c>
      <c r="AM6" s="3" t="n"/>
      <c r="AN6" s="3" t="n"/>
      <c r="AO6" s="3" t="n"/>
      <c r="AP6" s="4">
        <f>IF(COUNT(AM6,AN6,AO6)=0,"",ROUND(AVERAGE(AM6,AN6,AO6),3))</f>
        <v/>
      </c>
      <c r="AQ6" s="3">
        <f>IF(AC6="","",ROUND(AC6*IF(M6="",0,M6)*(1+IF(AF6="",0,AF6)),5))</f>
        <v/>
      </c>
      <c r="AR6" s="3" t="inlineStr">
        <is>
          <t>kgCO2e/component</t>
        </is>
      </c>
      <c r="AS6" s="5" t="n"/>
      <c r="AT6" s="9">
        <f>IF(AND($A6&lt;&gt;"",G6=""),"Supplier code empty (High);","")&amp;IF(AND(U6&lt;&gt;"",OR(U6&gt;1,U6&lt;0)),"Incorrect PDS value (High);",IF(AND(U6&lt;&gt;"",U6&gt;0.5),"High PDS value (Medium);",""))&amp;IF(AND(V6&lt;&gt;"",OR(V6&gt;5,V6&lt;1)),"Incorrect DQR value (High);","")&amp;IF(AND(S6&lt;&gt;"",OR(S6&lt;=0,S6&gt;100)),"Unusual PCF value might be wrong (High);","")&amp;IF(AND(AL6&lt;&gt;"",OR(AL6&gt;1,AL6&lt;0)),"Incorrect PDS value (High);",IF(AND(AL6&lt;&gt;"",AL6&gt;0.5),"High PDS value (Medium);",""))&amp;IF(AND(AP6&lt;&gt;"",OR(AP6&gt;5,AP6&lt;1)),"Incorrect DQR value (High);","")&amp;IF(AND($A6&lt;&gt;"",AF6&gt;1),"Incorrect scrap rate (High);",IF(AND($A6&lt;&gt;"",AF6=0),"No scrap rate (No impact);",""))&amp;IF(AND($A6&lt;&gt;"",I6="",J6="",K6=""),"No raw material available (High);","")&amp;""</f>
        <v/>
      </c>
      <c r="AU6" s="9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4" t="n"/>
      <c r="M7" s="4" t="n"/>
      <c r="N7" s="3" t="inlineStr">
        <is>
          <t>kg</t>
        </is>
      </c>
      <c r="O7" s="4" t="n"/>
      <c r="P7" s="3" t="inlineStr">
        <is>
          <t>kg</t>
        </is>
      </c>
      <c r="Q7" s="3" t="n"/>
      <c r="R7" s="5" t="n"/>
      <c r="S7" s="6" t="n"/>
      <c r="T7" s="3" t="inlineStr">
        <is>
          <t>kgCO2e/component</t>
        </is>
      </c>
      <c r="U7" s="7" t="n"/>
      <c r="V7" s="4" t="n"/>
      <c r="W7" s="8" t="n"/>
      <c r="X7" s="3" t="inlineStr">
        <is>
          <t>Supplier</t>
        </is>
      </c>
      <c r="Y7" s="3" t="inlineStr">
        <is>
          <t>No</t>
        </is>
      </c>
      <c r="Z7" s="5" t="n"/>
      <c r="AA7" s="3" t="n"/>
      <c r="AB7" s="3" t="n"/>
      <c r="AC7" s="6" t="n"/>
      <c r="AD7" s="3" t="inlineStr">
        <is>
          <t>kgCO2e/component</t>
        </is>
      </c>
      <c r="AE7" s="3" t="n"/>
      <c r="AF7" s="7" t="n"/>
      <c r="AG7" s="3" t="n"/>
      <c r="AH7" s="3" t="n"/>
      <c r="AI7" s="6" t="n"/>
      <c r="AJ7" s="3" t="inlineStr">
        <is>
          <t>kgCO2e/component</t>
        </is>
      </c>
      <c r="AK7" s="3" t="n"/>
      <c r="AL7" s="7" t="n">
        <v>0</v>
      </c>
      <c r="AM7" s="3" t="n"/>
      <c r="AN7" s="3" t="n"/>
      <c r="AO7" s="3" t="n"/>
      <c r="AP7" s="4">
        <f>IF(COUNT(AM7,AN7,AO7)=0,"",ROUND(AVERAGE(AM7,AN7,AO7),3))</f>
        <v/>
      </c>
      <c r="AQ7" s="3">
        <f>IF(AC7="","",ROUND(AC7*IF(M7="",0,M7)*(1+IF(AF7="",0,AF7)),5))</f>
        <v/>
      </c>
      <c r="AR7" s="3" t="inlineStr">
        <is>
          <t>kgCO2e/component</t>
        </is>
      </c>
      <c r="AS7" s="5" t="n"/>
      <c r="AT7" s="9">
        <f>IF(AND($A7&lt;&gt;"",G7=""),"Supplier code empty (High);","")&amp;IF(AND(U7&lt;&gt;"",OR(U7&gt;1,U7&lt;0)),"Incorrect PDS value (High);",IF(AND(U7&lt;&gt;"",U7&gt;0.5),"High PDS value (Medium);",""))&amp;IF(AND(V7&lt;&gt;"",OR(V7&gt;5,V7&lt;1)),"Incorrect DQR value (High);","")&amp;IF(AND(S7&lt;&gt;"",OR(S7&lt;=0,S7&gt;100)),"Unusual PCF value might be wrong (High);","")&amp;IF(AND(AL7&lt;&gt;"",OR(AL7&gt;1,AL7&lt;0)),"Incorrect PDS value (High);",IF(AND(AL7&lt;&gt;"",AL7&gt;0.5),"High PDS value (Medium);",""))&amp;IF(AND(AP7&lt;&gt;"",OR(AP7&gt;5,AP7&lt;1)),"Incorrect DQR value (High);","")&amp;IF(AND($A7&lt;&gt;"",AF7&gt;1),"Incorrect scrap rate (High);",IF(AND($A7&lt;&gt;"",AF7=0),"No scrap rate (No impact);",""))&amp;IF(AND($A7&lt;&gt;"",I7="",J7="",K7=""),"No raw material available (High);","")&amp;""</f>
        <v/>
      </c>
      <c r="AU7" s="9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4" t="n"/>
      <c r="M8" s="4" t="n"/>
      <c r="N8" s="3" t="inlineStr">
        <is>
          <t>kg</t>
        </is>
      </c>
      <c r="O8" s="4" t="n"/>
      <c r="P8" s="3" t="inlineStr">
        <is>
          <t>kg</t>
        </is>
      </c>
      <c r="Q8" s="3" t="n"/>
      <c r="R8" s="5" t="n"/>
      <c r="S8" s="6" t="n"/>
      <c r="T8" s="3" t="inlineStr">
        <is>
          <t>kgCO2e/component</t>
        </is>
      </c>
      <c r="U8" s="7" t="n"/>
      <c r="V8" s="4" t="n"/>
      <c r="W8" s="8" t="n"/>
      <c r="X8" s="3" t="inlineStr">
        <is>
          <t>Supplier</t>
        </is>
      </c>
      <c r="Y8" s="3" t="inlineStr">
        <is>
          <t>No</t>
        </is>
      </c>
      <c r="Z8" s="5" t="n"/>
      <c r="AA8" s="3" t="n"/>
      <c r="AB8" s="3" t="n"/>
      <c r="AC8" s="6" t="n"/>
      <c r="AD8" s="3" t="inlineStr">
        <is>
          <t>kgCO2e/component</t>
        </is>
      </c>
      <c r="AE8" s="3" t="n"/>
      <c r="AF8" s="7" t="n"/>
      <c r="AG8" s="3" t="n"/>
      <c r="AH8" s="3" t="n"/>
      <c r="AI8" s="6" t="n"/>
      <c r="AJ8" s="3" t="inlineStr">
        <is>
          <t>kgCO2e/component</t>
        </is>
      </c>
      <c r="AK8" s="3" t="n"/>
      <c r="AL8" s="7" t="n">
        <v>0</v>
      </c>
      <c r="AM8" s="3" t="n"/>
      <c r="AN8" s="3" t="n"/>
      <c r="AO8" s="3" t="n"/>
      <c r="AP8" s="4">
        <f>IF(COUNT(AM8,AN8,AO8)=0,"",ROUND(AVERAGE(AM8,AN8,AO8),3))</f>
        <v/>
      </c>
      <c r="AQ8" s="3">
        <f>IF(AC8="","",ROUND(AC8*IF(M8="",0,M8)*(1+IF(AF8="",0,AF8)),5))</f>
        <v/>
      </c>
      <c r="AR8" s="3" t="inlineStr">
        <is>
          <t>kgCO2e/component</t>
        </is>
      </c>
      <c r="AS8" s="5" t="n"/>
      <c r="AT8" s="9">
        <f>IF(AND($A8&lt;&gt;"",G8=""),"Supplier code empty (High);","")&amp;IF(AND(U8&lt;&gt;"",OR(U8&gt;1,U8&lt;0)),"Incorrect PDS value (High);",IF(AND(U8&lt;&gt;"",U8&gt;0.5),"High PDS value (Medium);",""))&amp;IF(AND(V8&lt;&gt;"",OR(V8&gt;5,V8&lt;1)),"Incorrect DQR value (High);","")&amp;IF(AND(S8&lt;&gt;"",OR(S8&lt;=0,S8&gt;100)),"Unusual PCF value might be wrong (High);","")&amp;IF(AND(AL8&lt;&gt;"",OR(AL8&gt;1,AL8&lt;0)),"Incorrect PDS value (High);",IF(AND(AL8&lt;&gt;"",AL8&gt;0.5),"High PDS value (Medium);",""))&amp;IF(AND(AP8&lt;&gt;"",OR(AP8&gt;5,AP8&lt;1)),"Incorrect DQR value (High);","")&amp;IF(AND($A8&lt;&gt;"",AF8&gt;1),"Incorrect scrap rate (High);",IF(AND($A8&lt;&gt;"",AF8=0),"No scrap rate (No impact);",""))&amp;IF(AND($A8&lt;&gt;"",I8="",J8="",K8=""),"No raw material available (High);","")&amp;""</f>
        <v/>
      </c>
      <c r="AU8" s="9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4" t="n"/>
      <c r="M9" s="4" t="n"/>
      <c r="N9" s="3" t="inlineStr">
        <is>
          <t>kg</t>
        </is>
      </c>
      <c r="O9" s="4" t="n"/>
      <c r="P9" s="3" t="inlineStr">
        <is>
          <t>kg</t>
        </is>
      </c>
      <c r="Q9" s="3" t="n"/>
      <c r="R9" s="5" t="n"/>
      <c r="S9" s="6" t="n"/>
      <c r="T9" s="3" t="inlineStr">
        <is>
          <t>kgCO2e/component</t>
        </is>
      </c>
      <c r="U9" s="7" t="n"/>
      <c r="V9" s="4" t="n"/>
      <c r="W9" s="8" t="n"/>
      <c r="X9" s="3" t="inlineStr">
        <is>
          <t>Supplier</t>
        </is>
      </c>
      <c r="Y9" s="3" t="inlineStr">
        <is>
          <t>No</t>
        </is>
      </c>
      <c r="Z9" s="5" t="n"/>
      <c r="AA9" s="3" t="n"/>
      <c r="AB9" s="3" t="n"/>
      <c r="AC9" s="6" t="n"/>
      <c r="AD9" s="3" t="inlineStr">
        <is>
          <t>kgCO2e/component</t>
        </is>
      </c>
      <c r="AE9" s="3" t="n"/>
      <c r="AF9" s="7" t="n"/>
      <c r="AG9" s="3" t="n"/>
      <c r="AH9" s="3" t="n"/>
      <c r="AI9" s="6" t="n"/>
      <c r="AJ9" s="3" t="inlineStr">
        <is>
          <t>kgCO2e/component</t>
        </is>
      </c>
      <c r="AK9" s="3" t="n"/>
      <c r="AL9" s="7" t="n">
        <v>0</v>
      </c>
      <c r="AM9" s="3" t="n"/>
      <c r="AN9" s="3" t="n"/>
      <c r="AO9" s="3" t="n"/>
      <c r="AP9" s="4">
        <f>IF(COUNT(AM9,AN9,AO9)=0,"",ROUND(AVERAGE(AM9,AN9,AO9),3))</f>
        <v/>
      </c>
      <c r="AQ9" s="3">
        <f>IF(AC9="","",ROUND(AC9*IF(M9="",0,M9)*(1+IF(AF9="",0,AF9)),5))</f>
        <v/>
      </c>
      <c r="AR9" s="3" t="inlineStr">
        <is>
          <t>kgCO2e/component</t>
        </is>
      </c>
      <c r="AS9" s="5" t="n"/>
      <c r="AT9" s="9">
        <f>IF(AND($A9&lt;&gt;"",G9=""),"Supplier code empty (High);","")&amp;IF(AND(U9&lt;&gt;"",OR(U9&gt;1,U9&lt;0)),"Incorrect PDS value (High);",IF(AND(U9&lt;&gt;"",U9&gt;0.5),"High PDS value (Medium);",""))&amp;IF(AND(V9&lt;&gt;"",OR(V9&gt;5,V9&lt;1)),"Incorrect DQR value (High);","")&amp;IF(AND(S9&lt;&gt;"",OR(S9&lt;=0,S9&gt;100)),"Unusual PCF value might be wrong (High);","")&amp;IF(AND(AL9&lt;&gt;"",OR(AL9&gt;1,AL9&lt;0)),"Incorrect PDS value (High);",IF(AND(AL9&lt;&gt;"",AL9&gt;0.5),"High PDS value (Medium);",""))&amp;IF(AND(AP9&lt;&gt;"",OR(AP9&gt;5,AP9&lt;1)),"Incorrect DQR value (High);","")&amp;IF(AND($A9&lt;&gt;"",AF9&gt;1),"Incorrect scrap rate (High);",IF(AND($A9&lt;&gt;"",AF9=0),"No scrap rate (No impact);",""))&amp;IF(AND($A9&lt;&gt;"",I9="",J9="",K9=""),"No raw material available (High);","")&amp;""</f>
        <v/>
      </c>
      <c r="AU9" s="9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4" t="n"/>
      <c r="M10" s="4" t="n"/>
      <c r="N10" s="3" t="inlineStr">
        <is>
          <t>kg</t>
        </is>
      </c>
      <c r="O10" s="4" t="n"/>
      <c r="P10" s="3" t="inlineStr">
        <is>
          <t>kg</t>
        </is>
      </c>
      <c r="Q10" s="3" t="n"/>
      <c r="R10" s="5" t="n"/>
      <c r="S10" s="6" t="n"/>
      <c r="T10" s="3" t="inlineStr">
        <is>
          <t>kgCO2e/component</t>
        </is>
      </c>
      <c r="U10" s="7" t="n"/>
      <c r="V10" s="4" t="n"/>
      <c r="W10" s="8" t="n"/>
      <c r="X10" s="3" t="inlineStr">
        <is>
          <t>Supplier</t>
        </is>
      </c>
      <c r="Y10" s="3" t="inlineStr">
        <is>
          <t>No</t>
        </is>
      </c>
      <c r="Z10" s="5" t="n"/>
      <c r="AA10" s="3" t="n"/>
      <c r="AB10" s="3" t="n"/>
      <c r="AC10" s="6" t="n"/>
      <c r="AD10" s="3" t="inlineStr">
        <is>
          <t>kgCO2e/component</t>
        </is>
      </c>
      <c r="AE10" s="3" t="n"/>
      <c r="AF10" s="7" t="n"/>
      <c r="AG10" s="3" t="n"/>
      <c r="AH10" s="3" t="n"/>
      <c r="AI10" s="6" t="n"/>
      <c r="AJ10" s="3" t="inlineStr">
        <is>
          <t>kgCO2e/component</t>
        </is>
      </c>
      <c r="AK10" s="3" t="n"/>
      <c r="AL10" s="7" t="n">
        <v>0</v>
      </c>
      <c r="AM10" s="3" t="n"/>
      <c r="AN10" s="3" t="n"/>
      <c r="AO10" s="3" t="n"/>
      <c r="AP10" s="4">
        <f>IF(COUNT(AM10,AN10,AO10)=0,"",ROUND(AVERAGE(AM10,AN10,AO10),3))</f>
        <v/>
      </c>
      <c r="AQ10" s="3">
        <f>IF(AC10="","",ROUND(AC10*IF(M10="",0,M10)*(1+IF(AF10="",0,AF10)),5))</f>
        <v/>
      </c>
      <c r="AR10" s="3" t="inlineStr">
        <is>
          <t>kgCO2e/component</t>
        </is>
      </c>
      <c r="AS10" s="5" t="n"/>
      <c r="AT10" s="9">
        <f>IF(AND($A10&lt;&gt;"",G10=""),"Supplier code empty (High);","")&amp;IF(AND(U10&lt;&gt;"",OR(U10&gt;1,U10&lt;0)),"Incorrect PDS value (High);",IF(AND(U10&lt;&gt;"",U10&gt;0.5),"High PDS value (Medium);",""))&amp;IF(AND(V10&lt;&gt;"",OR(V10&gt;5,V10&lt;1)),"Incorrect DQR value (High);","")&amp;IF(AND(S10&lt;&gt;"",OR(S10&lt;=0,S10&gt;100)),"Unusual PCF value might be wrong (High);","")&amp;IF(AND(AL10&lt;&gt;"",OR(AL10&gt;1,AL10&lt;0)),"Incorrect PDS value (High);",IF(AND(AL10&lt;&gt;"",AL10&gt;0.5),"High PDS value (Medium);",""))&amp;IF(AND(AP10&lt;&gt;"",OR(AP10&gt;5,AP10&lt;1)),"Incorrect DQR value (High);","")&amp;IF(AND($A10&lt;&gt;"",AF10&gt;1),"Incorrect scrap rate (High);",IF(AND($A10&lt;&gt;"",AF10=0),"No scrap rate (No impact);",""))&amp;IF(AND($A10&lt;&gt;"",I10="",J10="",K10=""),"No raw material available (High);","")&amp;""</f>
        <v/>
      </c>
      <c r="AU10" s="9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4" t="n"/>
      <c r="M11" s="4" t="n"/>
      <c r="N11" s="3" t="inlineStr">
        <is>
          <t>kg</t>
        </is>
      </c>
      <c r="O11" s="4" t="n"/>
      <c r="P11" s="3" t="inlineStr">
        <is>
          <t>kg</t>
        </is>
      </c>
      <c r="Q11" s="3" t="n"/>
      <c r="R11" s="5" t="n"/>
      <c r="S11" s="6" t="n"/>
      <c r="T11" s="3" t="inlineStr">
        <is>
          <t>kgCO2e/component</t>
        </is>
      </c>
      <c r="U11" s="7" t="n"/>
      <c r="V11" s="4" t="n"/>
      <c r="W11" s="8" t="n"/>
      <c r="X11" s="3" t="inlineStr">
        <is>
          <t>Supplier</t>
        </is>
      </c>
      <c r="Y11" s="3" t="inlineStr">
        <is>
          <t>No</t>
        </is>
      </c>
      <c r="Z11" s="5" t="n"/>
      <c r="AA11" s="3" t="n"/>
      <c r="AB11" s="3" t="n"/>
      <c r="AC11" s="6" t="n"/>
      <c r="AD11" s="3" t="inlineStr">
        <is>
          <t>kgCO2e/component</t>
        </is>
      </c>
      <c r="AE11" s="3" t="n"/>
      <c r="AF11" s="7" t="n"/>
      <c r="AG11" s="3" t="n"/>
      <c r="AH11" s="3" t="n"/>
      <c r="AI11" s="6" t="n"/>
      <c r="AJ11" s="3" t="inlineStr">
        <is>
          <t>kgCO2e/component</t>
        </is>
      </c>
      <c r="AK11" s="3" t="n"/>
      <c r="AL11" s="7" t="n">
        <v>0</v>
      </c>
      <c r="AM11" s="3" t="n"/>
      <c r="AN11" s="3" t="n"/>
      <c r="AO11" s="3" t="n"/>
      <c r="AP11" s="4">
        <f>IF(COUNT(AM11,AN11,AO11)=0,"",ROUND(AVERAGE(AM11,AN11,AO11),3))</f>
        <v/>
      </c>
      <c r="AQ11" s="3">
        <f>IF(AC11="","",ROUND(AC11*IF(M11="",0,M11)*(1+IF(AF11="",0,AF11)),5))</f>
        <v/>
      </c>
      <c r="AR11" s="3" t="inlineStr">
        <is>
          <t>kgCO2e/component</t>
        </is>
      </c>
      <c r="AS11" s="5" t="n"/>
      <c r="AT11" s="9">
        <f>IF(AND($A11&lt;&gt;"",G11=""),"Supplier code empty (High);","")&amp;IF(AND(U11&lt;&gt;"",OR(U11&gt;1,U11&lt;0)),"Incorrect PDS value (High);",IF(AND(U11&lt;&gt;"",U11&gt;0.5),"High PDS value (Medium);",""))&amp;IF(AND(V11&lt;&gt;"",OR(V11&gt;5,V11&lt;1)),"Incorrect DQR value (High);","")&amp;IF(AND(S11&lt;&gt;"",OR(S11&lt;=0,S11&gt;100)),"Unusual PCF value might be wrong (High);","")&amp;IF(AND(AL11&lt;&gt;"",OR(AL11&gt;1,AL11&lt;0)),"Incorrect PDS value (High);",IF(AND(AL11&lt;&gt;"",AL11&gt;0.5),"High PDS value (Medium);",""))&amp;IF(AND(AP11&lt;&gt;"",OR(AP11&gt;5,AP11&lt;1)),"Incorrect DQR value (High);","")&amp;IF(AND($A11&lt;&gt;"",AF11&gt;1),"Incorrect scrap rate (High);",IF(AND($A11&lt;&gt;"",AF11=0),"No scrap rate (No impact);",""))&amp;IF(AND($A11&lt;&gt;"",I11="",J11="",K11=""),"No raw material available (High);","")&amp;""</f>
        <v/>
      </c>
      <c r="AU11" s="9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  <c r="M12" s="4" t="n"/>
      <c r="N12" s="3" t="inlineStr">
        <is>
          <t>kg</t>
        </is>
      </c>
      <c r="O12" s="4" t="n"/>
      <c r="P12" s="3" t="inlineStr">
        <is>
          <t>kg</t>
        </is>
      </c>
      <c r="Q12" s="3" t="n"/>
      <c r="R12" s="5" t="n"/>
      <c r="S12" s="6" t="n"/>
      <c r="T12" s="3" t="inlineStr">
        <is>
          <t>kgCO2e/component</t>
        </is>
      </c>
      <c r="U12" s="7" t="n"/>
      <c r="V12" s="4" t="n"/>
      <c r="W12" s="8" t="n"/>
      <c r="X12" s="3" t="inlineStr">
        <is>
          <t>Supplier</t>
        </is>
      </c>
      <c r="Y12" s="3" t="inlineStr">
        <is>
          <t>No</t>
        </is>
      </c>
      <c r="Z12" s="5" t="n"/>
      <c r="AA12" s="3" t="n"/>
      <c r="AB12" s="3" t="n"/>
      <c r="AC12" s="6" t="n"/>
      <c r="AD12" s="3" t="inlineStr">
        <is>
          <t>kgCO2e/component</t>
        </is>
      </c>
      <c r="AE12" s="3" t="n"/>
      <c r="AF12" s="7" t="n"/>
      <c r="AG12" s="3" t="n"/>
      <c r="AH12" s="3" t="n"/>
      <c r="AI12" s="6" t="n"/>
      <c r="AJ12" s="3" t="inlineStr">
        <is>
          <t>kgCO2e/component</t>
        </is>
      </c>
      <c r="AK12" s="3" t="n"/>
      <c r="AL12" s="7" t="n">
        <v>0</v>
      </c>
      <c r="AM12" s="3" t="n"/>
      <c r="AN12" s="3" t="n"/>
      <c r="AO12" s="3" t="n"/>
      <c r="AP12" s="4">
        <f>IF(COUNT(AM12,AN12,AO12)=0,"",ROUND(AVERAGE(AM12,AN12,AO12),3))</f>
        <v/>
      </c>
      <c r="AQ12" s="3">
        <f>IF(AC12="","",ROUND(AC12*IF(M12="",0,M12)*(1+IF(AF12="",0,AF12)),5))</f>
        <v/>
      </c>
      <c r="AR12" s="3" t="inlineStr">
        <is>
          <t>kgCO2e/component</t>
        </is>
      </c>
      <c r="AS12" s="5" t="n"/>
      <c r="AT12" s="9">
        <f>IF(AND($A12&lt;&gt;"",G12=""),"Supplier code empty (High);","")&amp;IF(AND(U12&lt;&gt;"",OR(U12&gt;1,U12&lt;0)),"Incorrect PDS value (High);",IF(AND(U12&lt;&gt;"",U12&gt;0.5),"High PDS value (Medium);",""))&amp;IF(AND(V12&lt;&gt;"",OR(V12&gt;5,V12&lt;1)),"Incorrect DQR value (High);","")&amp;IF(AND(S12&lt;&gt;"",OR(S12&lt;=0,S12&gt;100)),"Unusual PCF value might be wrong (High);","")&amp;IF(AND(AL12&lt;&gt;"",OR(AL12&gt;1,AL12&lt;0)),"Incorrect PDS value (High);",IF(AND(AL12&lt;&gt;"",AL12&gt;0.5),"High PDS value (Medium);",""))&amp;IF(AND(AP12&lt;&gt;"",OR(AP12&gt;5,AP12&lt;1)),"Incorrect DQR value (High);","")&amp;IF(AND($A12&lt;&gt;"",AF12&gt;1),"Incorrect scrap rate (High);",IF(AND($A12&lt;&gt;"",AF12=0),"No scrap rate (No impact);",""))&amp;IF(AND($A12&lt;&gt;"",I12="",J12="",K12=""),"No raw material available (High);","")&amp;""</f>
        <v/>
      </c>
      <c r="AU12" s="9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4" t="n"/>
      <c r="M13" s="4" t="n"/>
      <c r="N13" s="3" t="inlineStr">
        <is>
          <t>kg</t>
        </is>
      </c>
      <c r="O13" s="4" t="n"/>
      <c r="P13" s="3" t="inlineStr">
        <is>
          <t>kg</t>
        </is>
      </c>
      <c r="Q13" s="3" t="n"/>
      <c r="R13" s="5" t="n"/>
      <c r="S13" s="6" t="n"/>
      <c r="T13" s="3" t="inlineStr">
        <is>
          <t>kgCO2e/component</t>
        </is>
      </c>
      <c r="U13" s="7" t="n"/>
      <c r="V13" s="4" t="n"/>
      <c r="W13" s="8" t="n"/>
      <c r="X13" s="3" t="inlineStr">
        <is>
          <t>Supplier</t>
        </is>
      </c>
      <c r="Y13" s="3" t="inlineStr">
        <is>
          <t>No</t>
        </is>
      </c>
      <c r="Z13" s="5" t="n"/>
      <c r="AA13" s="3" t="n"/>
      <c r="AB13" s="3" t="n"/>
      <c r="AC13" s="6" t="n"/>
      <c r="AD13" s="3" t="inlineStr">
        <is>
          <t>kgCO2e/component</t>
        </is>
      </c>
      <c r="AE13" s="3" t="n"/>
      <c r="AF13" s="7" t="n"/>
      <c r="AG13" s="3" t="n"/>
      <c r="AH13" s="3" t="n"/>
      <c r="AI13" s="6" t="n"/>
      <c r="AJ13" s="3" t="inlineStr">
        <is>
          <t>kgCO2e/component</t>
        </is>
      </c>
      <c r="AK13" s="3" t="n"/>
      <c r="AL13" s="7" t="n">
        <v>0</v>
      </c>
      <c r="AM13" s="3" t="n"/>
      <c r="AN13" s="3" t="n"/>
      <c r="AO13" s="3" t="n"/>
      <c r="AP13" s="4">
        <f>IF(COUNT(AM13,AN13,AO13)=0,"",ROUND(AVERAGE(AM13,AN13,AO13),3))</f>
        <v/>
      </c>
      <c r="AQ13" s="3">
        <f>IF(AC13="","",ROUND(AC13*IF(M13="",0,M13)*(1+IF(AF13="",0,AF13)),5))</f>
        <v/>
      </c>
      <c r="AR13" s="3" t="inlineStr">
        <is>
          <t>kgCO2e/component</t>
        </is>
      </c>
      <c r="AS13" s="5" t="n"/>
      <c r="AT13" s="9">
        <f>IF(AND($A13&lt;&gt;"",G13=""),"Supplier code empty (High);","")&amp;IF(AND(U13&lt;&gt;"",OR(U13&gt;1,U13&lt;0)),"Incorrect PDS value (High);",IF(AND(U13&lt;&gt;"",U13&gt;0.5),"High PDS value (Medium);",""))&amp;IF(AND(V13&lt;&gt;"",OR(V13&gt;5,V13&lt;1)),"Incorrect DQR value (High);","")&amp;IF(AND(S13&lt;&gt;"",OR(S13&lt;=0,S13&gt;100)),"Unusual PCF value might be wrong (High);","")&amp;IF(AND(AL13&lt;&gt;"",OR(AL13&gt;1,AL13&lt;0)),"Incorrect PDS value (High);",IF(AND(AL13&lt;&gt;"",AL13&gt;0.5),"High PDS value (Medium);",""))&amp;IF(AND(AP13&lt;&gt;"",OR(AP13&gt;5,AP13&lt;1)),"Incorrect DQR value (High);","")&amp;IF(AND($A13&lt;&gt;"",AF13&gt;1),"Incorrect scrap rate (High);",IF(AND($A13&lt;&gt;"",AF13=0),"No scrap rate (No impact);",""))&amp;IF(AND($A13&lt;&gt;"",I13="",J13="",K13=""),"No raw material available (High);","")&amp;""</f>
        <v/>
      </c>
      <c r="AU13" s="9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4" t="n"/>
      <c r="M14" s="4" t="n"/>
      <c r="N14" s="3" t="inlineStr">
        <is>
          <t>kg</t>
        </is>
      </c>
      <c r="O14" s="4" t="n"/>
      <c r="P14" s="3" t="inlineStr">
        <is>
          <t>kg</t>
        </is>
      </c>
      <c r="Q14" s="3" t="n"/>
      <c r="R14" s="5" t="n"/>
      <c r="S14" s="6" t="n"/>
      <c r="T14" s="3" t="inlineStr">
        <is>
          <t>kgCO2e/component</t>
        </is>
      </c>
      <c r="U14" s="7" t="n"/>
      <c r="V14" s="4" t="n"/>
      <c r="W14" s="8" t="n"/>
      <c r="X14" s="3" t="inlineStr">
        <is>
          <t>Supplier</t>
        </is>
      </c>
      <c r="Y14" s="3" t="inlineStr">
        <is>
          <t>No</t>
        </is>
      </c>
      <c r="Z14" s="5" t="n"/>
      <c r="AA14" s="3" t="n"/>
      <c r="AB14" s="3" t="n"/>
      <c r="AC14" s="6" t="n"/>
      <c r="AD14" s="3" t="inlineStr">
        <is>
          <t>kgCO2e/component</t>
        </is>
      </c>
      <c r="AE14" s="3" t="n"/>
      <c r="AF14" s="7" t="n"/>
      <c r="AG14" s="3" t="n"/>
      <c r="AH14" s="3" t="n"/>
      <c r="AI14" s="6" t="n"/>
      <c r="AJ14" s="3" t="inlineStr">
        <is>
          <t>kgCO2e/component</t>
        </is>
      </c>
      <c r="AK14" s="3" t="n"/>
      <c r="AL14" s="7" t="n">
        <v>0</v>
      </c>
      <c r="AM14" s="3" t="n"/>
      <c r="AN14" s="3" t="n"/>
      <c r="AO14" s="3" t="n"/>
      <c r="AP14" s="4">
        <f>IF(COUNT(AM14,AN14,AO14)=0,"",ROUND(AVERAGE(AM14,AN14,AO14),3))</f>
        <v/>
      </c>
      <c r="AQ14" s="3">
        <f>IF(AC14="","",ROUND(AC14*IF(M14="",0,M14)*(1+IF(AF14="",0,AF14)),5))</f>
        <v/>
      </c>
      <c r="AR14" s="3" t="inlineStr">
        <is>
          <t>kgCO2e/component</t>
        </is>
      </c>
      <c r="AS14" s="5" t="n"/>
      <c r="AT14" s="9">
        <f>IF(AND($A14&lt;&gt;"",G14=""),"Supplier code empty (High);","")&amp;IF(AND(U14&lt;&gt;"",OR(U14&gt;1,U14&lt;0)),"Incorrect PDS value (High);",IF(AND(U14&lt;&gt;"",U14&gt;0.5),"High PDS value (Medium);",""))&amp;IF(AND(V14&lt;&gt;"",OR(V14&gt;5,V14&lt;1)),"Incorrect DQR value (High);","")&amp;IF(AND(S14&lt;&gt;"",OR(S14&lt;=0,S14&gt;100)),"Unusual PCF value might be wrong (High);","")&amp;IF(AND(AL14&lt;&gt;"",OR(AL14&gt;1,AL14&lt;0)),"Incorrect PDS value (High);",IF(AND(AL14&lt;&gt;"",AL14&gt;0.5),"High PDS value (Medium);",""))&amp;IF(AND(AP14&lt;&gt;"",OR(AP14&gt;5,AP14&lt;1)),"Incorrect DQR value (High);","")&amp;IF(AND($A14&lt;&gt;"",AF14&gt;1),"Incorrect scrap rate (High);",IF(AND($A14&lt;&gt;"",AF14=0),"No scrap rate (No impact);",""))&amp;IF(AND($A14&lt;&gt;"",I14="",J14="",K14=""),"No raw material available (High);","")&amp;""</f>
        <v/>
      </c>
      <c r="AU14" s="9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4" t="n"/>
      <c r="M15" s="4" t="n"/>
      <c r="N15" s="3" t="inlineStr">
        <is>
          <t>kg</t>
        </is>
      </c>
      <c r="O15" s="4" t="n"/>
      <c r="P15" s="3" t="inlineStr">
        <is>
          <t>kg</t>
        </is>
      </c>
      <c r="Q15" s="3" t="n"/>
      <c r="R15" s="5" t="n"/>
      <c r="S15" s="6" t="n"/>
      <c r="T15" s="3" t="inlineStr">
        <is>
          <t>kgCO2e/component</t>
        </is>
      </c>
      <c r="U15" s="7" t="n"/>
      <c r="V15" s="4" t="n"/>
      <c r="W15" s="8" t="n"/>
      <c r="X15" s="3" t="inlineStr">
        <is>
          <t>Supplier</t>
        </is>
      </c>
      <c r="Y15" s="3" t="inlineStr">
        <is>
          <t>No</t>
        </is>
      </c>
      <c r="Z15" s="5" t="n"/>
      <c r="AA15" s="3" t="n"/>
      <c r="AB15" s="3" t="n"/>
      <c r="AC15" s="6" t="n"/>
      <c r="AD15" s="3" t="inlineStr">
        <is>
          <t>kgCO2e/component</t>
        </is>
      </c>
      <c r="AE15" s="3" t="n"/>
      <c r="AF15" s="7" t="n"/>
      <c r="AG15" s="3" t="n"/>
      <c r="AH15" s="3" t="n"/>
      <c r="AI15" s="6" t="n"/>
      <c r="AJ15" s="3" t="inlineStr">
        <is>
          <t>kgCO2e/component</t>
        </is>
      </c>
      <c r="AK15" s="3" t="n"/>
      <c r="AL15" s="7" t="n">
        <v>0</v>
      </c>
      <c r="AM15" s="3" t="n"/>
      <c r="AN15" s="3" t="n"/>
      <c r="AO15" s="3" t="n"/>
      <c r="AP15" s="4">
        <f>IF(COUNT(AM15,AN15,AO15)=0,"",ROUND(AVERAGE(AM15,AN15,AO15),3))</f>
        <v/>
      </c>
      <c r="AQ15" s="3">
        <f>IF(AC15="","",ROUND(AC15*IF(M15="",0,M15)*(1+IF(AF15="",0,AF15)),5))</f>
        <v/>
      </c>
      <c r="AR15" s="3" t="inlineStr">
        <is>
          <t>kgCO2e/component</t>
        </is>
      </c>
      <c r="AS15" s="5" t="n"/>
      <c r="AT15" s="9">
        <f>IF(AND($A15&lt;&gt;"",G15=""),"Supplier code empty (High);","")&amp;IF(AND(U15&lt;&gt;"",OR(U15&gt;1,U15&lt;0)),"Incorrect PDS value (High);",IF(AND(U15&lt;&gt;"",U15&gt;0.5),"High PDS value (Medium);",""))&amp;IF(AND(V15&lt;&gt;"",OR(V15&gt;5,V15&lt;1)),"Incorrect DQR value (High);","")&amp;IF(AND(S15&lt;&gt;"",OR(S15&lt;=0,S15&gt;100)),"Unusual PCF value might be wrong (High);","")&amp;IF(AND(AL15&lt;&gt;"",OR(AL15&gt;1,AL15&lt;0)),"Incorrect PDS value (High);",IF(AND(AL15&lt;&gt;"",AL15&gt;0.5),"High PDS value (Medium);",""))&amp;IF(AND(AP15&lt;&gt;"",OR(AP15&gt;5,AP15&lt;1)),"Incorrect DQR value (High);","")&amp;IF(AND($A15&lt;&gt;"",AF15&gt;1),"Incorrect scrap rate (High);",IF(AND($A15&lt;&gt;"",AF15=0),"No scrap rate (No impact);",""))&amp;IF(AND($A15&lt;&gt;"",I15="",J15="",K15=""),"No raw material available (High);","")&amp;""</f>
        <v/>
      </c>
      <c r="AU15" s="9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4" t="n"/>
      <c r="M16" s="4" t="n"/>
      <c r="N16" s="3" t="inlineStr">
        <is>
          <t>kg</t>
        </is>
      </c>
      <c r="O16" s="4" t="n"/>
      <c r="P16" s="3" t="inlineStr">
        <is>
          <t>kg</t>
        </is>
      </c>
      <c r="Q16" s="3" t="n"/>
      <c r="R16" s="5" t="n"/>
      <c r="S16" s="6" t="n"/>
      <c r="T16" s="3" t="inlineStr">
        <is>
          <t>kgCO2e/component</t>
        </is>
      </c>
      <c r="U16" s="7" t="n"/>
      <c r="V16" s="4" t="n"/>
      <c r="W16" s="8" t="n"/>
      <c r="X16" s="3" t="inlineStr">
        <is>
          <t>Supplier</t>
        </is>
      </c>
      <c r="Y16" s="3" t="inlineStr">
        <is>
          <t>No</t>
        </is>
      </c>
      <c r="Z16" s="5" t="n"/>
      <c r="AA16" s="3" t="n"/>
      <c r="AB16" s="3" t="n"/>
      <c r="AC16" s="6" t="n"/>
      <c r="AD16" s="3" t="inlineStr">
        <is>
          <t>kgCO2e/component</t>
        </is>
      </c>
      <c r="AE16" s="3" t="n"/>
      <c r="AF16" s="7" t="n"/>
      <c r="AG16" s="3" t="n"/>
      <c r="AH16" s="3" t="n"/>
      <c r="AI16" s="6" t="n"/>
      <c r="AJ16" s="3" t="inlineStr">
        <is>
          <t>kgCO2e/component</t>
        </is>
      </c>
      <c r="AK16" s="3" t="n"/>
      <c r="AL16" s="7" t="n">
        <v>0</v>
      </c>
      <c r="AM16" s="3" t="n"/>
      <c r="AN16" s="3" t="n"/>
      <c r="AO16" s="3" t="n"/>
      <c r="AP16" s="4">
        <f>IF(COUNT(AM16,AN16,AO16)=0,"",ROUND(AVERAGE(AM16,AN16,AO16),3))</f>
        <v/>
      </c>
      <c r="AQ16" s="3">
        <f>IF(AC16="","",ROUND(AC16*IF(M16="",0,M16)*(1+IF(AF16="",0,AF16)),5))</f>
        <v/>
      </c>
      <c r="AR16" s="3" t="inlineStr">
        <is>
          <t>kgCO2e/component</t>
        </is>
      </c>
      <c r="AS16" s="5" t="n"/>
      <c r="AT16" s="9">
        <f>IF(AND($A16&lt;&gt;"",G16=""),"Supplier code empty (High);","")&amp;IF(AND(U16&lt;&gt;"",OR(U16&gt;1,U16&lt;0)),"Incorrect PDS value (High);",IF(AND(U16&lt;&gt;"",U16&gt;0.5),"High PDS value (Medium);",""))&amp;IF(AND(V16&lt;&gt;"",OR(V16&gt;5,V16&lt;1)),"Incorrect DQR value (High);","")&amp;IF(AND(S16&lt;&gt;"",OR(S16&lt;=0,S16&gt;100)),"Unusual PCF value might be wrong (High);","")&amp;IF(AND(AL16&lt;&gt;"",OR(AL16&gt;1,AL16&lt;0)),"Incorrect PDS value (High);",IF(AND(AL16&lt;&gt;"",AL16&gt;0.5),"High PDS value (Medium);",""))&amp;IF(AND(AP16&lt;&gt;"",OR(AP16&gt;5,AP16&lt;1)),"Incorrect DQR value (High);","")&amp;IF(AND($A16&lt;&gt;"",AF16&gt;1),"Incorrect scrap rate (High);",IF(AND($A16&lt;&gt;"",AF16=0),"No scrap rate (No impact);",""))&amp;IF(AND($A16&lt;&gt;"",I16="",J16="",K16=""),"No raw material available (High);","")&amp;""</f>
        <v/>
      </c>
      <c r="AU16" s="9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4" t="n"/>
      <c r="M17" s="4" t="n"/>
      <c r="N17" s="3" t="inlineStr">
        <is>
          <t>kg</t>
        </is>
      </c>
      <c r="O17" s="4" t="n"/>
      <c r="P17" s="3" t="inlineStr">
        <is>
          <t>kg</t>
        </is>
      </c>
      <c r="Q17" s="3" t="n"/>
      <c r="R17" s="5" t="n"/>
      <c r="S17" s="6" t="n"/>
      <c r="T17" s="3" t="inlineStr">
        <is>
          <t>kgCO2e/component</t>
        </is>
      </c>
      <c r="U17" s="7" t="n"/>
      <c r="V17" s="4" t="n"/>
      <c r="W17" s="8" t="n"/>
      <c r="X17" s="3" t="inlineStr">
        <is>
          <t>Supplier</t>
        </is>
      </c>
      <c r="Y17" s="3" t="inlineStr">
        <is>
          <t>No</t>
        </is>
      </c>
      <c r="Z17" s="5" t="n"/>
      <c r="AA17" s="3" t="n"/>
      <c r="AB17" s="3" t="n"/>
      <c r="AC17" s="6" t="n"/>
      <c r="AD17" s="3" t="inlineStr">
        <is>
          <t>kgCO2e/component</t>
        </is>
      </c>
      <c r="AE17" s="3" t="n"/>
      <c r="AF17" s="7" t="n"/>
      <c r="AG17" s="3" t="n"/>
      <c r="AH17" s="3" t="n"/>
      <c r="AI17" s="6" t="n"/>
      <c r="AJ17" s="3" t="inlineStr">
        <is>
          <t>kgCO2e/component</t>
        </is>
      </c>
      <c r="AK17" s="3" t="n"/>
      <c r="AL17" s="7" t="n">
        <v>0</v>
      </c>
      <c r="AM17" s="3" t="n"/>
      <c r="AN17" s="3" t="n"/>
      <c r="AO17" s="3" t="n"/>
      <c r="AP17" s="4">
        <f>IF(COUNT(AM17,AN17,AO17)=0,"",ROUND(AVERAGE(AM17,AN17,AO17),3))</f>
        <v/>
      </c>
      <c r="AQ17" s="3">
        <f>IF(AC17="","",ROUND(AC17*IF(M17="",0,M17)*(1+IF(AF17="",0,AF17)),5))</f>
        <v/>
      </c>
      <c r="AR17" s="3" t="inlineStr">
        <is>
          <t>kgCO2e/component</t>
        </is>
      </c>
      <c r="AS17" s="5" t="n"/>
      <c r="AT17" s="9">
        <f>IF(AND($A17&lt;&gt;"",G17=""),"Supplier code empty (High);","")&amp;IF(AND(U17&lt;&gt;"",OR(U17&gt;1,U17&lt;0)),"Incorrect PDS value (High);",IF(AND(U17&lt;&gt;"",U17&gt;0.5),"High PDS value (Medium);",""))&amp;IF(AND(V17&lt;&gt;"",OR(V17&gt;5,V17&lt;1)),"Incorrect DQR value (High);","")&amp;IF(AND(S17&lt;&gt;"",OR(S17&lt;=0,S17&gt;100)),"Unusual PCF value might be wrong (High);","")&amp;IF(AND(AL17&lt;&gt;"",OR(AL17&gt;1,AL17&lt;0)),"Incorrect PDS value (High);",IF(AND(AL17&lt;&gt;"",AL17&gt;0.5),"High PDS value (Medium);",""))&amp;IF(AND(AP17&lt;&gt;"",OR(AP17&gt;5,AP17&lt;1)),"Incorrect DQR value (High);","")&amp;IF(AND($A17&lt;&gt;"",AF17&gt;1),"Incorrect scrap rate (High);",IF(AND($A17&lt;&gt;"",AF17=0),"No scrap rate (No impact);",""))&amp;IF(AND($A17&lt;&gt;"",I17="",J17="",K17=""),"No raw material available (High);","")&amp;""</f>
        <v/>
      </c>
      <c r="AU17" s="9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4" t="n"/>
      <c r="M18" s="4" t="n"/>
      <c r="N18" s="3" t="inlineStr">
        <is>
          <t>kg</t>
        </is>
      </c>
      <c r="O18" s="4" t="n"/>
      <c r="P18" s="3" t="inlineStr">
        <is>
          <t>kg</t>
        </is>
      </c>
      <c r="Q18" s="3" t="n"/>
      <c r="R18" s="5" t="n"/>
      <c r="S18" s="6" t="n"/>
      <c r="T18" s="3" t="inlineStr">
        <is>
          <t>kgCO2e/component</t>
        </is>
      </c>
      <c r="U18" s="7" t="n"/>
      <c r="V18" s="4" t="n"/>
      <c r="W18" s="8" t="n"/>
      <c r="X18" s="3" t="inlineStr">
        <is>
          <t>Supplier</t>
        </is>
      </c>
      <c r="Y18" s="3" t="inlineStr">
        <is>
          <t>No</t>
        </is>
      </c>
      <c r="Z18" s="5" t="n"/>
      <c r="AA18" s="3" t="n"/>
      <c r="AB18" s="3" t="n"/>
      <c r="AC18" s="6" t="n"/>
      <c r="AD18" s="3" t="inlineStr">
        <is>
          <t>kgCO2e/component</t>
        </is>
      </c>
      <c r="AE18" s="3" t="n"/>
      <c r="AF18" s="7" t="n"/>
      <c r="AG18" s="3" t="n"/>
      <c r="AH18" s="3" t="n"/>
      <c r="AI18" s="6" t="n"/>
      <c r="AJ18" s="3" t="inlineStr">
        <is>
          <t>kgCO2e/component</t>
        </is>
      </c>
      <c r="AK18" s="3" t="n"/>
      <c r="AL18" s="7" t="n">
        <v>0</v>
      </c>
      <c r="AM18" s="3" t="n"/>
      <c r="AN18" s="3" t="n"/>
      <c r="AO18" s="3" t="n"/>
      <c r="AP18" s="4">
        <f>IF(COUNT(AM18,AN18,AO18)=0,"",ROUND(AVERAGE(AM18,AN18,AO18),3))</f>
        <v/>
      </c>
      <c r="AQ18" s="3">
        <f>IF(AC18="","",ROUND(AC18*IF(M18="",0,M18)*(1+IF(AF18="",0,AF18)),5))</f>
        <v/>
      </c>
      <c r="AR18" s="3" t="inlineStr">
        <is>
          <t>kgCO2e/component</t>
        </is>
      </c>
      <c r="AS18" s="5" t="n"/>
      <c r="AT18" s="9">
        <f>IF(AND($A18&lt;&gt;"",G18=""),"Supplier code empty (High);","")&amp;IF(AND(U18&lt;&gt;"",OR(U18&gt;1,U18&lt;0)),"Incorrect PDS value (High);",IF(AND(U18&lt;&gt;"",U18&gt;0.5),"High PDS value (Medium);",""))&amp;IF(AND(V18&lt;&gt;"",OR(V18&gt;5,V18&lt;1)),"Incorrect DQR value (High);","")&amp;IF(AND(S18&lt;&gt;"",OR(S18&lt;=0,S18&gt;100)),"Unusual PCF value might be wrong (High);","")&amp;IF(AND(AL18&lt;&gt;"",OR(AL18&gt;1,AL18&lt;0)),"Incorrect PDS value (High);",IF(AND(AL18&lt;&gt;"",AL18&gt;0.5),"High PDS value (Medium);",""))&amp;IF(AND(AP18&lt;&gt;"",OR(AP18&gt;5,AP18&lt;1)),"Incorrect DQR value (High);","")&amp;IF(AND($A18&lt;&gt;"",AF18&gt;1),"Incorrect scrap rate (High);",IF(AND($A18&lt;&gt;"",AF18=0),"No scrap rate (No impact);",""))&amp;IF(AND($A18&lt;&gt;"",I18="",J18="",K18=""),"No raw material available (High);","")&amp;""</f>
        <v/>
      </c>
      <c r="AU18" s="9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4" t="n"/>
      <c r="M19" s="4" t="n"/>
      <c r="N19" s="3" t="inlineStr">
        <is>
          <t>kg</t>
        </is>
      </c>
      <c r="O19" s="4" t="n"/>
      <c r="P19" s="3" t="inlineStr">
        <is>
          <t>kg</t>
        </is>
      </c>
      <c r="Q19" s="3" t="n"/>
      <c r="R19" s="5" t="n"/>
      <c r="S19" s="6" t="n"/>
      <c r="T19" s="3" t="inlineStr">
        <is>
          <t>kgCO2e/component</t>
        </is>
      </c>
      <c r="U19" s="7" t="n"/>
      <c r="V19" s="4" t="n"/>
      <c r="W19" s="8" t="n"/>
      <c r="X19" s="3" t="inlineStr">
        <is>
          <t>Supplier</t>
        </is>
      </c>
      <c r="Y19" s="3" t="inlineStr">
        <is>
          <t>No</t>
        </is>
      </c>
      <c r="Z19" s="5" t="n"/>
      <c r="AA19" s="3" t="n"/>
      <c r="AB19" s="3" t="n"/>
      <c r="AC19" s="6" t="n"/>
      <c r="AD19" s="3" t="inlineStr">
        <is>
          <t>kgCO2e/component</t>
        </is>
      </c>
      <c r="AE19" s="3" t="n"/>
      <c r="AF19" s="7" t="n"/>
      <c r="AG19" s="3" t="n"/>
      <c r="AH19" s="3" t="n"/>
      <c r="AI19" s="6" t="n"/>
      <c r="AJ19" s="3" t="inlineStr">
        <is>
          <t>kgCO2e/component</t>
        </is>
      </c>
      <c r="AK19" s="3" t="n"/>
      <c r="AL19" s="7" t="n">
        <v>0</v>
      </c>
      <c r="AM19" s="3" t="n"/>
      <c r="AN19" s="3" t="n"/>
      <c r="AO19" s="3" t="n"/>
      <c r="AP19" s="4">
        <f>IF(COUNT(AM19,AN19,AO19)=0,"",ROUND(AVERAGE(AM19,AN19,AO19),3))</f>
        <v/>
      </c>
      <c r="AQ19" s="3">
        <f>IF(AC19="","",ROUND(AC19*IF(M19="",0,M19)*(1+IF(AF19="",0,AF19)),5))</f>
        <v/>
      </c>
      <c r="AR19" s="3" t="inlineStr">
        <is>
          <t>kgCO2e/component</t>
        </is>
      </c>
      <c r="AS19" s="5" t="n"/>
      <c r="AT19" s="9">
        <f>IF(AND($A19&lt;&gt;"",G19=""),"Supplier code empty (High);","")&amp;IF(AND(U19&lt;&gt;"",OR(U19&gt;1,U19&lt;0)),"Incorrect PDS value (High);",IF(AND(U19&lt;&gt;"",U19&gt;0.5),"High PDS value (Medium);",""))&amp;IF(AND(V19&lt;&gt;"",OR(V19&gt;5,V19&lt;1)),"Incorrect DQR value (High);","")&amp;IF(AND(S19&lt;&gt;"",OR(S19&lt;=0,S19&gt;100)),"Unusual PCF value might be wrong (High);","")&amp;IF(AND(AL19&lt;&gt;"",OR(AL19&gt;1,AL19&lt;0)),"Incorrect PDS value (High);",IF(AND(AL19&lt;&gt;"",AL19&gt;0.5),"High PDS value (Medium);",""))&amp;IF(AND(AP19&lt;&gt;"",OR(AP19&gt;5,AP19&lt;1)),"Incorrect DQR value (High);","")&amp;IF(AND($A19&lt;&gt;"",AF19&gt;1),"Incorrect scrap rate (High);",IF(AND($A19&lt;&gt;"",AF19=0),"No scrap rate (No impact);",""))&amp;IF(AND($A19&lt;&gt;"",I19="",J19="",K19=""),"No raw material available (High);","")&amp;""</f>
        <v/>
      </c>
      <c r="AU19" s="9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4" t="n"/>
      <c r="M20" s="4" t="n"/>
      <c r="N20" s="3" t="inlineStr">
        <is>
          <t>kg</t>
        </is>
      </c>
      <c r="O20" s="4" t="n"/>
      <c r="P20" s="3" t="inlineStr">
        <is>
          <t>kg</t>
        </is>
      </c>
      <c r="Q20" s="3" t="n"/>
      <c r="R20" s="5" t="n"/>
      <c r="S20" s="6" t="n"/>
      <c r="T20" s="3" t="inlineStr">
        <is>
          <t>kgCO2e/component</t>
        </is>
      </c>
      <c r="U20" s="7" t="n"/>
      <c r="V20" s="4" t="n"/>
      <c r="W20" s="8" t="n"/>
      <c r="X20" s="3" t="inlineStr">
        <is>
          <t>Supplier</t>
        </is>
      </c>
      <c r="Y20" s="3" t="inlineStr">
        <is>
          <t>No</t>
        </is>
      </c>
      <c r="Z20" s="5" t="n"/>
      <c r="AA20" s="3" t="n"/>
      <c r="AB20" s="3" t="n"/>
      <c r="AC20" s="6" t="n"/>
      <c r="AD20" s="3" t="inlineStr">
        <is>
          <t>kgCO2e/component</t>
        </is>
      </c>
      <c r="AE20" s="3" t="n"/>
      <c r="AF20" s="7" t="n"/>
      <c r="AG20" s="3" t="n"/>
      <c r="AH20" s="3" t="n"/>
      <c r="AI20" s="6" t="n"/>
      <c r="AJ20" s="3" t="inlineStr">
        <is>
          <t>kgCO2e/component</t>
        </is>
      </c>
      <c r="AK20" s="3" t="n"/>
      <c r="AL20" s="7" t="n">
        <v>0</v>
      </c>
      <c r="AM20" s="3" t="n"/>
      <c r="AN20" s="3" t="n"/>
      <c r="AO20" s="3" t="n"/>
      <c r="AP20" s="4">
        <f>IF(COUNT(AM20,AN20,AO20)=0,"",ROUND(AVERAGE(AM20,AN20,AO20),3))</f>
        <v/>
      </c>
      <c r="AQ20" s="3">
        <f>IF(AC20="","",ROUND(AC20*IF(M20="",0,M20)*(1+IF(AF20="",0,AF20)),5))</f>
        <v/>
      </c>
      <c r="AR20" s="3" t="inlineStr">
        <is>
          <t>kgCO2e/component</t>
        </is>
      </c>
      <c r="AS20" s="5" t="n"/>
      <c r="AT20" s="9">
        <f>IF(AND($A20&lt;&gt;"",G20=""),"Supplier code empty (High);","")&amp;IF(AND(U20&lt;&gt;"",OR(U20&gt;1,U20&lt;0)),"Incorrect PDS value (High);",IF(AND(U20&lt;&gt;"",U20&gt;0.5),"High PDS value (Medium);",""))&amp;IF(AND(V20&lt;&gt;"",OR(V20&gt;5,V20&lt;1)),"Incorrect DQR value (High);","")&amp;IF(AND(S20&lt;&gt;"",OR(S20&lt;=0,S20&gt;100)),"Unusual PCF value might be wrong (High);","")&amp;IF(AND(AL20&lt;&gt;"",OR(AL20&gt;1,AL20&lt;0)),"Incorrect PDS value (High);",IF(AND(AL20&lt;&gt;"",AL20&gt;0.5),"High PDS value (Medium);",""))&amp;IF(AND(AP20&lt;&gt;"",OR(AP20&gt;5,AP20&lt;1)),"Incorrect DQR value (High);","")&amp;IF(AND($A20&lt;&gt;"",AF20&gt;1),"Incorrect scrap rate (High);",IF(AND($A20&lt;&gt;"",AF20=0),"No scrap rate (No impact);",""))&amp;IF(AND($A20&lt;&gt;"",I20="",J20="",K20=""),"No raw material available (High);","")&amp;""</f>
        <v/>
      </c>
      <c r="AU20" s="9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4" t="n"/>
      <c r="M21" s="4" t="n"/>
      <c r="N21" s="3" t="inlineStr">
        <is>
          <t>kg</t>
        </is>
      </c>
      <c r="O21" s="4" t="n"/>
      <c r="P21" s="3" t="inlineStr">
        <is>
          <t>kg</t>
        </is>
      </c>
      <c r="Q21" s="3" t="n"/>
      <c r="R21" s="5" t="n"/>
      <c r="S21" s="6" t="n"/>
      <c r="T21" s="3" t="inlineStr">
        <is>
          <t>kgCO2e/component</t>
        </is>
      </c>
      <c r="U21" s="7" t="n"/>
      <c r="V21" s="4" t="n"/>
      <c r="W21" s="8" t="n"/>
      <c r="X21" s="3" t="inlineStr">
        <is>
          <t>Supplier</t>
        </is>
      </c>
      <c r="Y21" s="3" t="inlineStr">
        <is>
          <t>No</t>
        </is>
      </c>
      <c r="Z21" s="5" t="n"/>
      <c r="AA21" s="3" t="n"/>
      <c r="AB21" s="3" t="n"/>
      <c r="AC21" s="6" t="n"/>
      <c r="AD21" s="3" t="inlineStr">
        <is>
          <t>kgCO2e/component</t>
        </is>
      </c>
      <c r="AE21" s="3" t="n"/>
      <c r="AF21" s="7" t="n"/>
      <c r="AG21" s="3" t="n"/>
      <c r="AH21" s="3" t="n"/>
      <c r="AI21" s="6" t="n"/>
      <c r="AJ21" s="3" t="inlineStr">
        <is>
          <t>kgCO2e/component</t>
        </is>
      </c>
      <c r="AK21" s="3" t="n"/>
      <c r="AL21" s="7" t="n">
        <v>0</v>
      </c>
      <c r="AM21" s="3" t="n"/>
      <c r="AN21" s="3" t="n"/>
      <c r="AO21" s="3" t="n"/>
      <c r="AP21" s="4">
        <f>IF(COUNT(AM21,AN21,AO21)=0,"",ROUND(AVERAGE(AM21,AN21,AO21),3))</f>
        <v/>
      </c>
      <c r="AQ21" s="3">
        <f>IF(AC21="","",ROUND(AC21*IF(M21="",0,M21)*(1+IF(AF21="",0,AF21)),5))</f>
        <v/>
      </c>
      <c r="AR21" s="3" t="inlineStr">
        <is>
          <t>kgCO2e/component</t>
        </is>
      </c>
      <c r="AS21" s="5" t="n"/>
      <c r="AT21" s="9">
        <f>IF(AND($A21&lt;&gt;"",G21=""),"Supplier code empty (High);","")&amp;IF(AND(U21&lt;&gt;"",OR(U21&gt;1,U21&lt;0)),"Incorrect PDS value (High);",IF(AND(U21&lt;&gt;"",U21&gt;0.5),"High PDS value (Medium);",""))&amp;IF(AND(V21&lt;&gt;"",OR(V21&gt;5,V21&lt;1)),"Incorrect DQR value (High);","")&amp;IF(AND(S21&lt;&gt;"",OR(S21&lt;=0,S21&gt;100)),"Unusual PCF value might be wrong (High);","")&amp;IF(AND(AL21&lt;&gt;"",OR(AL21&gt;1,AL21&lt;0)),"Incorrect PDS value (High);",IF(AND(AL21&lt;&gt;"",AL21&gt;0.5),"High PDS value (Medium);",""))&amp;IF(AND(AP21&lt;&gt;"",OR(AP21&gt;5,AP21&lt;1)),"Incorrect DQR value (High);","")&amp;IF(AND($A21&lt;&gt;"",AF21&gt;1),"Incorrect scrap rate (High);",IF(AND($A21&lt;&gt;"",AF21=0),"No scrap rate (No impact);",""))&amp;IF(AND($A21&lt;&gt;"",I21="",J21="",K21=""),"No raw material available (High);","")&amp;""</f>
        <v/>
      </c>
      <c r="AU21" s="9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4" t="n"/>
      <c r="M22" s="4" t="n"/>
      <c r="N22" s="3" t="inlineStr">
        <is>
          <t>kg</t>
        </is>
      </c>
      <c r="O22" s="4" t="n"/>
      <c r="P22" s="3" t="inlineStr">
        <is>
          <t>kg</t>
        </is>
      </c>
      <c r="Q22" s="3" t="n"/>
      <c r="R22" s="5" t="n"/>
      <c r="S22" s="6" t="n"/>
      <c r="T22" s="3" t="inlineStr">
        <is>
          <t>kgCO2e/component</t>
        </is>
      </c>
      <c r="U22" s="7" t="n"/>
      <c r="V22" s="4" t="n"/>
      <c r="W22" s="8" t="n"/>
      <c r="X22" s="3" t="inlineStr">
        <is>
          <t>Supplier</t>
        </is>
      </c>
      <c r="Y22" s="3" t="inlineStr">
        <is>
          <t>No</t>
        </is>
      </c>
      <c r="Z22" s="5" t="n"/>
      <c r="AA22" s="3" t="n"/>
      <c r="AB22" s="3" t="n"/>
      <c r="AC22" s="6" t="n"/>
      <c r="AD22" s="3" t="inlineStr">
        <is>
          <t>kgCO2e/component</t>
        </is>
      </c>
      <c r="AE22" s="3" t="n"/>
      <c r="AF22" s="7" t="n"/>
      <c r="AG22" s="3" t="n"/>
      <c r="AH22" s="3" t="n"/>
      <c r="AI22" s="6" t="n"/>
      <c r="AJ22" s="3" t="inlineStr">
        <is>
          <t>kgCO2e/component</t>
        </is>
      </c>
      <c r="AK22" s="3" t="n"/>
      <c r="AL22" s="7" t="n">
        <v>0</v>
      </c>
      <c r="AM22" s="3" t="n"/>
      <c r="AN22" s="3" t="n"/>
      <c r="AO22" s="3" t="n"/>
      <c r="AP22" s="4">
        <f>IF(COUNT(AM22,AN22,AO22)=0,"",ROUND(AVERAGE(AM22,AN22,AO22),3))</f>
        <v/>
      </c>
      <c r="AQ22" s="3">
        <f>IF(AC22="","",ROUND(AC22*IF(M22="",0,M22)*(1+IF(AF22="",0,AF22)),5))</f>
        <v/>
      </c>
      <c r="AR22" s="3" t="inlineStr">
        <is>
          <t>kgCO2e/component</t>
        </is>
      </c>
      <c r="AS22" s="5" t="n"/>
      <c r="AT22" s="9">
        <f>IF(AND($A22&lt;&gt;"",G22=""),"Supplier code empty (High);","")&amp;IF(AND(U22&lt;&gt;"",OR(U22&gt;1,U22&lt;0)),"Incorrect PDS value (High);",IF(AND(U22&lt;&gt;"",U22&gt;0.5),"High PDS value (Medium);",""))&amp;IF(AND(V22&lt;&gt;"",OR(V22&gt;5,V22&lt;1)),"Incorrect DQR value (High);","")&amp;IF(AND(S22&lt;&gt;"",OR(S22&lt;=0,S22&gt;100)),"Unusual PCF value might be wrong (High);","")&amp;IF(AND(AL22&lt;&gt;"",OR(AL22&gt;1,AL22&lt;0)),"Incorrect PDS value (High);",IF(AND(AL22&lt;&gt;"",AL22&gt;0.5),"High PDS value (Medium);",""))&amp;IF(AND(AP22&lt;&gt;"",OR(AP22&gt;5,AP22&lt;1)),"Incorrect DQR value (High);","")&amp;IF(AND($A22&lt;&gt;"",AF22&gt;1),"Incorrect scrap rate (High);",IF(AND($A22&lt;&gt;"",AF22=0),"No scrap rate (No impact);",""))&amp;IF(AND($A22&lt;&gt;"",I22="",J22="",K22=""),"No raw material available (High);","")&amp;""</f>
        <v/>
      </c>
      <c r="AU22" s="9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4" t="n"/>
      <c r="M23" s="4" t="n"/>
      <c r="N23" s="3" t="inlineStr">
        <is>
          <t>kg</t>
        </is>
      </c>
      <c r="O23" s="4" t="n"/>
      <c r="P23" s="3" t="inlineStr">
        <is>
          <t>kg</t>
        </is>
      </c>
      <c r="Q23" s="3" t="n"/>
      <c r="R23" s="5" t="n"/>
      <c r="S23" s="6" t="n"/>
      <c r="T23" s="3" t="inlineStr">
        <is>
          <t>kgCO2e/component</t>
        </is>
      </c>
      <c r="U23" s="7" t="n"/>
      <c r="V23" s="4" t="n"/>
      <c r="W23" s="8" t="n"/>
      <c r="X23" s="3" t="inlineStr">
        <is>
          <t>Supplier</t>
        </is>
      </c>
      <c r="Y23" s="3" t="inlineStr">
        <is>
          <t>No</t>
        </is>
      </c>
      <c r="Z23" s="5" t="n"/>
      <c r="AA23" s="3" t="n"/>
      <c r="AB23" s="3" t="n"/>
      <c r="AC23" s="6" t="n"/>
      <c r="AD23" s="3" t="inlineStr">
        <is>
          <t>kgCO2e/component</t>
        </is>
      </c>
      <c r="AE23" s="3" t="n"/>
      <c r="AF23" s="7" t="n"/>
      <c r="AG23" s="3" t="n"/>
      <c r="AH23" s="3" t="n"/>
      <c r="AI23" s="6" t="n"/>
      <c r="AJ23" s="3" t="inlineStr">
        <is>
          <t>kgCO2e/component</t>
        </is>
      </c>
      <c r="AK23" s="3" t="n"/>
      <c r="AL23" s="7" t="n">
        <v>0</v>
      </c>
      <c r="AM23" s="3" t="n"/>
      <c r="AN23" s="3" t="n"/>
      <c r="AO23" s="3" t="n"/>
      <c r="AP23" s="4">
        <f>IF(COUNT(AM23,AN23,AO23)=0,"",ROUND(AVERAGE(AM23,AN23,AO23),3))</f>
        <v/>
      </c>
      <c r="AQ23" s="3">
        <f>IF(AC23="","",ROUND(AC23*IF(M23="",0,M23)*(1+IF(AF23="",0,AF23)),5))</f>
        <v/>
      </c>
      <c r="AR23" s="3" t="inlineStr">
        <is>
          <t>kgCO2e/component</t>
        </is>
      </c>
      <c r="AS23" s="5" t="n"/>
      <c r="AT23" s="9">
        <f>IF(AND($A23&lt;&gt;"",G23=""),"Supplier code empty (High);","")&amp;IF(AND(U23&lt;&gt;"",OR(U23&gt;1,U23&lt;0)),"Incorrect PDS value (High);",IF(AND(U23&lt;&gt;"",U23&gt;0.5),"High PDS value (Medium);",""))&amp;IF(AND(V23&lt;&gt;"",OR(V23&gt;5,V23&lt;1)),"Incorrect DQR value (High);","")&amp;IF(AND(S23&lt;&gt;"",OR(S23&lt;=0,S23&gt;100)),"Unusual PCF value might be wrong (High);","")&amp;IF(AND(AL23&lt;&gt;"",OR(AL23&gt;1,AL23&lt;0)),"Incorrect PDS value (High);",IF(AND(AL23&lt;&gt;"",AL23&gt;0.5),"High PDS value (Medium);",""))&amp;IF(AND(AP23&lt;&gt;"",OR(AP23&gt;5,AP23&lt;1)),"Incorrect DQR value (High);","")&amp;IF(AND($A23&lt;&gt;"",AF23&gt;1),"Incorrect scrap rate (High);",IF(AND($A23&lt;&gt;"",AF23=0),"No scrap rate (No impact);",""))&amp;IF(AND($A23&lt;&gt;"",I23="",J23="",K23=""),"No raw material available (High);","")&amp;""</f>
        <v/>
      </c>
      <c r="AU23" s="9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4" t="n"/>
      <c r="M24" s="4" t="n"/>
      <c r="N24" s="3" t="inlineStr">
        <is>
          <t>kg</t>
        </is>
      </c>
      <c r="O24" s="4" t="n"/>
      <c r="P24" s="3" t="inlineStr">
        <is>
          <t>kg</t>
        </is>
      </c>
      <c r="Q24" s="3" t="n"/>
      <c r="R24" s="5" t="n"/>
      <c r="S24" s="6" t="n"/>
      <c r="T24" s="3" t="inlineStr">
        <is>
          <t>kgCO2e/component</t>
        </is>
      </c>
      <c r="U24" s="7" t="n"/>
      <c r="V24" s="4" t="n"/>
      <c r="W24" s="8" t="n"/>
      <c r="X24" s="3" t="inlineStr">
        <is>
          <t>Supplier</t>
        </is>
      </c>
      <c r="Y24" s="3" t="inlineStr">
        <is>
          <t>No</t>
        </is>
      </c>
      <c r="Z24" s="5" t="n"/>
      <c r="AA24" s="3" t="n"/>
      <c r="AB24" s="3" t="n"/>
      <c r="AC24" s="6" t="n"/>
      <c r="AD24" s="3" t="inlineStr">
        <is>
          <t>kgCO2e/component</t>
        </is>
      </c>
      <c r="AE24" s="3" t="n"/>
      <c r="AF24" s="7" t="n"/>
      <c r="AG24" s="3" t="n"/>
      <c r="AH24" s="3" t="n"/>
      <c r="AI24" s="6" t="n"/>
      <c r="AJ24" s="3" t="inlineStr">
        <is>
          <t>kgCO2e/component</t>
        </is>
      </c>
      <c r="AK24" s="3" t="n"/>
      <c r="AL24" s="7" t="n">
        <v>0</v>
      </c>
      <c r="AM24" s="3" t="n"/>
      <c r="AN24" s="3" t="n"/>
      <c r="AO24" s="3" t="n"/>
      <c r="AP24" s="4">
        <f>IF(COUNT(AM24,AN24,AO24)=0,"",ROUND(AVERAGE(AM24,AN24,AO24),3))</f>
        <v/>
      </c>
      <c r="AQ24" s="3">
        <f>IF(AC24="","",ROUND(AC24*IF(M24="",0,M24)*(1+IF(AF24="",0,AF24)),5))</f>
        <v/>
      </c>
      <c r="AR24" s="3" t="inlineStr">
        <is>
          <t>kgCO2e/component</t>
        </is>
      </c>
      <c r="AS24" s="5" t="n"/>
      <c r="AT24" s="9">
        <f>IF(AND($A24&lt;&gt;"",G24=""),"Supplier code empty (High);","")&amp;IF(AND(U24&lt;&gt;"",OR(U24&gt;1,U24&lt;0)),"Incorrect PDS value (High);",IF(AND(U24&lt;&gt;"",U24&gt;0.5),"High PDS value (Medium);",""))&amp;IF(AND(V24&lt;&gt;"",OR(V24&gt;5,V24&lt;1)),"Incorrect DQR value (High);","")&amp;IF(AND(S24&lt;&gt;"",OR(S24&lt;=0,S24&gt;100)),"Unusual PCF value might be wrong (High);","")&amp;IF(AND(AL24&lt;&gt;"",OR(AL24&gt;1,AL24&lt;0)),"Incorrect PDS value (High);",IF(AND(AL24&lt;&gt;"",AL24&gt;0.5),"High PDS value (Medium);",""))&amp;IF(AND(AP24&lt;&gt;"",OR(AP24&gt;5,AP24&lt;1)),"Incorrect DQR value (High);","")&amp;IF(AND($A24&lt;&gt;"",AF24&gt;1),"Incorrect scrap rate (High);",IF(AND($A24&lt;&gt;"",AF24=0),"No scrap rate (No impact);",""))&amp;IF(AND($A24&lt;&gt;"",I24="",J24="",K24=""),"No raw material available (High);","")&amp;""</f>
        <v/>
      </c>
      <c r="AU24" s="9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4" t="n"/>
      <c r="M25" s="4" t="n"/>
      <c r="N25" s="3" t="inlineStr">
        <is>
          <t>kg</t>
        </is>
      </c>
      <c r="O25" s="4" t="n"/>
      <c r="P25" s="3" t="inlineStr">
        <is>
          <t>kg</t>
        </is>
      </c>
      <c r="Q25" s="3" t="n"/>
      <c r="R25" s="5" t="n"/>
      <c r="S25" s="6" t="n"/>
      <c r="T25" s="3" t="inlineStr">
        <is>
          <t>kgCO2e/component</t>
        </is>
      </c>
      <c r="U25" s="7" t="n"/>
      <c r="V25" s="4" t="n"/>
      <c r="W25" s="8" t="n"/>
      <c r="X25" s="3" t="inlineStr">
        <is>
          <t>Supplier</t>
        </is>
      </c>
      <c r="Y25" s="3" t="inlineStr">
        <is>
          <t>No</t>
        </is>
      </c>
      <c r="Z25" s="5" t="n"/>
      <c r="AA25" s="3" t="n"/>
      <c r="AB25" s="3" t="n"/>
      <c r="AC25" s="6" t="n"/>
      <c r="AD25" s="3" t="inlineStr">
        <is>
          <t>kgCO2e/component</t>
        </is>
      </c>
      <c r="AE25" s="3" t="n"/>
      <c r="AF25" s="7" t="n"/>
      <c r="AG25" s="3" t="n"/>
      <c r="AH25" s="3" t="n"/>
      <c r="AI25" s="6" t="n"/>
      <c r="AJ25" s="3" t="inlineStr">
        <is>
          <t>kgCO2e/component</t>
        </is>
      </c>
      <c r="AK25" s="3" t="n"/>
      <c r="AL25" s="7" t="n">
        <v>0</v>
      </c>
      <c r="AM25" s="3" t="n"/>
      <c r="AN25" s="3" t="n"/>
      <c r="AO25" s="3" t="n"/>
      <c r="AP25" s="4">
        <f>IF(COUNT(AM25,AN25,AO25)=0,"",ROUND(AVERAGE(AM25,AN25,AO25),3))</f>
        <v/>
      </c>
      <c r="AQ25" s="3">
        <f>IF(AC25="","",ROUND(AC25*IF(M25="",0,M25)*(1+IF(AF25="",0,AF25)),5))</f>
        <v/>
      </c>
      <c r="AR25" s="3" t="inlineStr">
        <is>
          <t>kgCO2e/component</t>
        </is>
      </c>
      <c r="AS25" s="5" t="n"/>
      <c r="AT25" s="9">
        <f>IF(AND($A25&lt;&gt;"",G25=""),"Supplier code empty (High);","")&amp;IF(AND(U25&lt;&gt;"",OR(U25&gt;1,U25&lt;0)),"Incorrect PDS value (High);",IF(AND(U25&lt;&gt;"",U25&gt;0.5),"High PDS value (Medium);",""))&amp;IF(AND(V25&lt;&gt;"",OR(V25&gt;5,V25&lt;1)),"Incorrect DQR value (High);","")&amp;IF(AND(S25&lt;&gt;"",OR(S25&lt;=0,S25&gt;100)),"Unusual PCF value might be wrong (High);","")&amp;IF(AND(AL25&lt;&gt;"",OR(AL25&gt;1,AL25&lt;0)),"Incorrect PDS value (High);",IF(AND(AL25&lt;&gt;"",AL25&gt;0.5),"High PDS value (Medium);",""))&amp;IF(AND(AP25&lt;&gt;"",OR(AP25&gt;5,AP25&lt;1)),"Incorrect DQR value (High);","")&amp;IF(AND($A25&lt;&gt;"",AF25&gt;1),"Incorrect scrap rate (High);",IF(AND($A25&lt;&gt;"",AF25=0),"No scrap rate (No impact);",""))&amp;IF(AND($A25&lt;&gt;"",I25="",J25="",K25=""),"No raw material available (High);","")&amp;""</f>
        <v/>
      </c>
      <c r="AU25" s="9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4" t="n"/>
      <c r="M26" s="4" t="n"/>
      <c r="N26" s="3" t="inlineStr">
        <is>
          <t>kg</t>
        </is>
      </c>
      <c r="O26" s="4" t="n"/>
      <c r="P26" s="3" t="inlineStr">
        <is>
          <t>kg</t>
        </is>
      </c>
      <c r="Q26" s="3" t="n"/>
      <c r="R26" s="5" t="n"/>
      <c r="S26" s="6" t="n"/>
      <c r="T26" s="3" t="inlineStr">
        <is>
          <t>kgCO2e/component</t>
        </is>
      </c>
      <c r="U26" s="7" t="n"/>
      <c r="V26" s="4" t="n"/>
      <c r="W26" s="8" t="n"/>
      <c r="X26" s="3" t="inlineStr">
        <is>
          <t>Supplier</t>
        </is>
      </c>
      <c r="Y26" s="3" t="inlineStr">
        <is>
          <t>No</t>
        </is>
      </c>
      <c r="Z26" s="5" t="n"/>
      <c r="AA26" s="3" t="n"/>
      <c r="AB26" s="3" t="n"/>
      <c r="AC26" s="6" t="n"/>
      <c r="AD26" s="3" t="inlineStr">
        <is>
          <t>kgCO2e/component</t>
        </is>
      </c>
      <c r="AE26" s="3" t="n"/>
      <c r="AF26" s="7" t="n"/>
      <c r="AG26" s="3" t="n"/>
      <c r="AH26" s="3" t="n"/>
      <c r="AI26" s="6" t="n"/>
      <c r="AJ26" s="3" t="inlineStr">
        <is>
          <t>kgCO2e/component</t>
        </is>
      </c>
      <c r="AK26" s="3" t="n"/>
      <c r="AL26" s="7" t="n">
        <v>0</v>
      </c>
      <c r="AM26" s="3" t="n"/>
      <c r="AN26" s="3" t="n"/>
      <c r="AO26" s="3" t="n"/>
      <c r="AP26" s="4">
        <f>IF(COUNT(AM26,AN26,AO26)=0,"",ROUND(AVERAGE(AM26,AN26,AO26),3))</f>
        <v/>
      </c>
      <c r="AQ26" s="3">
        <f>IF(AC26="","",ROUND(AC26*IF(M26="",0,M26)*(1+IF(AF26="",0,AF26)),5))</f>
        <v/>
      </c>
      <c r="AR26" s="3" t="inlineStr">
        <is>
          <t>kgCO2e/component</t>
        </is>
      </c>
      <c r="AS26" s="5" t="n"/>
      <c r="AT26" s="9">
        <f>IF(AND($A26&lt;&gt;"",G26=""),"Supplier code empty (High);","")&amp;IF(AND(U26&lt;&gt;"",OR(U26&gt;1,U26&lt;0)),"Incorrect PDS value (High);",IF(AND(U26&lt;&gt;"",U26&gt;0.5),"High PDS value (Medium);",""))&amp;IF(AND(V26&lt;&gt;"",OR(V26&gt;5,V26&lt;1)),"Incorrect DQR value (High);","")&amp;IF(AND(S26&lt;&gt;"",OR(S26&lt;=0,S26&gt;100)),"Unusual PCF value might be wrong (High);","")&amp;IF(AND(AL26&lt;&gt;"",OR(AL26&gt;1,AL26&lt;0)),"Incorrect PDS value (High);",IF(AND(AL26&lt;&gt;"",AL26&gt;0.5),"High PDS value (Medium);",""))&amp;IF(AND(AP26&lt;&gt;"",OR(AP26&gt;5,AP26&lt;1)),"Incorrect DQR value (High);","")&amp;IF(AND($A26&lt;&gt;"",AF26&gt;1),"Incorrect scrap rate (High);",IF(AND($A26&lt;&gt;"",AF26=0),"No scrap rate (No impact);",""))&amp;IF(AND($A26&lt;&gt;"",I26="",J26="",K26=""),"No raw material available (High);","")&amp;""</f>
        <v/>
      </c>
      <c r="AU26" s="9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4" t="n"/>
      <c r="M27" s="4" t="n"/>
      <c r="N27" s="3" t="inlineStr">
        <is>
          <t>kg</t>
        </is>
      </c>
      <c r="O27" s="4" t="n"/>
      <c r="P27" s="3" t="inlineStr">
        <is>
          <t>kg</t>
        </is>
      </c>
      <c r="Q27" s="3" t="n"/>
      <c r="R27" s="5" t="n"/>
      <c r="S27" s="6" t="n"/>
      <c r="T27" s="3" t="inlineStr">
        <is>
          <t>kgCO2e/component</t>
        </is>
      </c>
      <c r="U27" s="7" t="n"/>
      <c r="V27" s="4" t="n"/>
      <c r="W27" s="8" t="n"/>
      <c r="X27" s="3" t="inlineStr">
        <is>
          <t>Supplier</t>
        </is>
      </c>
      <c r="Y27" s="3" t="inlineStr">
        <is>
          <t>No</t>
        </is>
      </c>
      <c r="Z27" s="5" t="n"/>
      <c r="AA27" s="3" t="n"/>
      <c r="AB27" s="3" t="n"/>
      <c r="AC27" s="6" t="n"/>
      <c r="AD27" s="3" t="inlineStr">
        <is>
          <t>kgCO2e/component</t>
        </is>
      </c>
      <c r="AE27" s="3" t="n"/>
      <c r="AF27" s="7" t="n"/>
      <c r="AG27" s="3" t="n"/>
      <c r="AH27" s="3" t="n"/>
      <c r="AI27" s="6" t="n"/>
      <c r="AJ27" s="3" t="inlineStr">
        <is>
          <t>kgCO2e/component</t>
        </is>
      </c>
      <c r="AK27" s="3" t="n"/>
      <c r="AL27" s="7" t="n">
        <v>0</v>
      </c>
      <c r="AM27" s="3" t="n"/>
      <c r="AN27" s="3" t="n"/>
      <c r="AO27" s="3" t="n"/>
      <c r="AP27" s="4">
        <f>IF(COUNT(AM27,AN27,AO27)=0,"",ROUND(AVERAGE(AM27,AN27,AO27),3))</f>
        <v/>
      </c>
      <c r="AQ27" s="3">
        <f>IF(AC27="","",ROUND(AC27*IF(M27="",0,M27)*(1+IF(AF27="",0,AF27)),5))</f>
        <v/>
      </c>
      <c r="AR27" s="3" t="inlineStr">
        <is>
          <t>kgCO2e/component</t>
        </is>
      </c>
      <c r="AS27" s="5" t="n"/>
      <c r="AT27" s="9">
        <f>IF(AND($A27&lt;&gt;"",G27=""),"Supplier code empty (High);","")&amp;IF(AND(U27&lt;&gt;"",OR(U27&gt;1,U27&lt;0)),"Incorrect PDS value (High);",IF(AND(U27&lt;&gt;"",U27&gt;0.5),"High PDS value (Medium);",""))&amp;IF(AND(V27&lt;&gt;"",OR(V27&gt;5,V27&lt;1)),"Incorrect DQR value (High);","")&amp;IF(AND(S27&lt;&gt;"",OR(S27&lt;=0,S27&gt;100)),"Unusual PCF value might be wrong (High);","")&amp;IF(AND(AL27&lt;&gt;"",OR(AL27&gt;1,AL27&lt;0)),"Incorrect PDS value (High);",IF(AND(AL27&lt;&gt;"",AL27&gt;0.5),"High PDS value (Medium);",""))&amp;IF(AND(AP27&lt;&gt;"",OR(AP27&gt;5,AP27&lt;1)),"Incorrect DQR value (High);","")&amp;IF(AND($A27&lt;&gt;"",AF27&gt;1),"Incorrect scrap rate (High);",IF(AND($A27&lt;&gt;"",AF27=0),"No scrap rate (No impact);",""))&amp;IF(AND($A27&lt;&gt;"",I27="",J27="",K27=""),"No raw material available (High);","")&amp;""</f>
        <v/>
      </c>
      <c r="AU27" s="9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4" t="n"/>
      <c r="M28" s="4" t="n"/>
      <c r="N28" s="3" t="inlineStr">
        <is>
          <t>kg</t>
        </is>
      </c>
      <c r="O28" s="4" t="n"/>
      <c r="P28" s="3" t="inlineStr">
        <is>
          <t>kg</t>
        </is>
      </c>
      <c r="Q28" s="3" t="n"/>
      <c r="R28" s="5" t="n"/>
      <c r="S28" s="6" t="n"/>
      <c r="T28" s="3" t="inlineStr">
        <is>
          <t>kgCO2e/component</t>
        </is>
      </c>
      <c r="U28" s="7" t="n"/>
      <c r="V28" s="4" t="n"/>
      <c r="W28" s="8" t="n"/>
      <c r="X28" s="3" t="inlineStr">
        <is>
          <t>Supplier</t>
        </is>
      </c>
      <c r="Y28" s="3" t="inlineStr">
        <is>
          <t>No</t>
        </is>
      </c>
      <c r="Z28" s="5" t="n"/>
      <c r="AA28" s="3" t="n"/>
      <c r="AB28" s="3" t="n"/>
      <c r="AC28" s="6" t="n"/>
      <c r="AD28" s="3" t="inlineStr">
        <is>
          <t>kgCO2e/component</t>
        </is>
      </c>
      <c r="AE28" s="3" t="n"/>
      <c r="AF28" s="7" t="n"/>
      <c r="AG28" s="3" t="n"/>
      <c r="AH28" s="3" t="n"/>
      <c r="AI28" s="6" t="n"/>
      <c r="AJ28" s="3" t="inlineStr">
        <is>
          <t>kgCO2e/component</t>
        </is>
      </c>
      <c r="AK28" s="3" t="n"/>
      <c r="AL28" s="7" t="n">
        <v>0</v>
      </c>
      <c r="AM28" s="3" t="n"/>
      <c r="AN28" s="3" t="n"/>
      <c r="AO28" s="3" t="n"/>
      <c r="AP28" s="4">
        <f>IF(COUNT(AM28,AN28,AO28)=0,"",ROUND(AVERAGE(AM28,AN28,AO28),3))</f>
        <v/>
      </c>
      <c r="AQ28" s="3">
        <f>IF(AC28="","",ROUND(AC28*IF(M28="",0,M28)*(1+IF(AF28="",0,AF28)),5))</f>
        <v/>
      </c>
      <c r="AR28" s="3" t="inlineStr">
        <is>
          <t>kgCO2e/component</t>
        </is>
      </c>
      <c r="AS28" s="5" t="n"/>
      <c r="AT28" s="9">
        <f>IF(AND($A28&lt;&gt;"",G28=""),"Supplier code empty (High);","")&amp;IF(AND(U28&lt;&gt;"",OR(U28&gt;1,U28&lt;0)),"Incorrect PDS value (High);",IF(AND(U28&lt;&gt;"",U28&gt;0.5),"High PDS value (Medium);",""))&amp;IF(AND(V28&lt;&gt;"",OR(V28&gt;5,V28&lt;1)),"Incorrect DQR value (High);","")&amp;IF(AND(S28&lt;&gt;"",OR(S28&lt;=0,S28&gt;100)),"Unusual PCF value might be wrong (High);","")&amp;IF(AND(AL28&lt;&gt;"",OR(AL28&gt;1,AL28&lt;0)),"Incorrect PDS value (High);",IF(AND(AL28&lt;&gt;"",AL28&gt;0.5),"High PDS value (Medium);",""))&amp;IF(AND(AP28&lt;&gt;"",OR(AP28&gt;5,AP28&lt;1)),"Incorrect DQR value (High);","")&amp;IF(AND($A28&lt;&gt;"",AF28&gt;1),"Incorrect scrap rate (High);",IF(AND($A28&lt;&gt;"",AF28=0),"No scrap rate (No impact);",""))&amp;IF(AND($A28&lt;&gt;"",I28="",J28="",K28=""),"No raw material available (High);","")&amp;""</f>
        <v/>
      </c>
      <c r="AU28" s="9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4" t="n"/>
      <c r="M29" s="4" t="n"/>
      <c r="N29" s="3" t="inlineStr">
        <is>
          <t>kg</t>
        </is>
      </c>
      <c r="O29" s="4" t="n"/>
      <c r="P29" s="3" t="inlineStr">
        <is>
          <t>kg</t>
        </is>
      </c>
      <c r="Q29" s="3" t="n"/>
      <c r="R29" s="5" t="n"/>
      <c r="S29" s="6" t="n"/>
      <c r="T29" s="3" t="inlineStr">
        <is>
          <t>kgCO2e/component</t>
        </is>
      </c>
      <c r="U29" s="7" t="n"/>
      <c r="V29" s="4" t="n"/>
      <c r="W29" s="8" t="n"/>
      <c r="X29" s="3" t="inlineStr">
        <is>
          <t>Supplier</t>
        </is>
      </c>
      <c r="Y29" s="3" t="inlineStr">
        <is>
          <t>No</t>
        </is>
      </c>
      <c r="Z29" s="5" t="n"/>
      <c r="AA29" s="3" t="n"/>
      <c r="AB29" s="3" t="n"/>
      <c r="AC29" s="6" t="n"/>
      <c r="AD29" s="3" t="inlineStr">
        <is>
          <t>kgCO2e/component</t>
        </is>
      </c>
      <c r="AE29" s="3" t="n"/>
      <c r="AF29" s="7" t="n"/>
      <c r="AG29" s="3" t="n"/>
      <c r="AH29" s="3" t="n"/>
      <c r="AI29" s="6" t="n"/>
      <c r="AJ29" s="3" t="inlineStr">
        <is>
          <t>kgCO2e/component</t>
        </is>
      </c>
      <c r="AK29" s="3" t="n"/>
      <c r="AL29" s="7" t="n">
        <v>0</v>
      </c>
      <c r="AM29" s="3" t="n"/>
      <c r="AN29" s="3" t="n"/>
      <c r="AO29" s="3" t="n"/>
      <c r="AP29" s="4">
        <f>IF(COUNT(AM29,AN29,AO29)=0,"",ROUND(AVERAGE(AM29,AN29,AO29),3))</f>
        <v/>
      </c>
      <c r="AQ29" s="3">
        <f>IF(AC29="","",ROUND(AC29*IF(M29="",0,M29)*(1+IF(AF29="",0,AF29)),5))</f>
        <v/>
      </c>
      <c r="AR29" s="3" t="inlineStr">
        <is>
          <t>kgCO2e/component</t>
        </is>
      </c>
      <c r="AS29" s="5" t="n"/>
      <c r="AT29" s="9">
        <f>IF(AND($A29&lt;&gt;"",G29=""),"Supplier code empty (High);","")&amp;IF(AND(U29&lt;&gt;"",OR(U29&gt;1,U29&lt;0)),"Incorrect PDS value (High);",IF(AND(U29&lt;&gt;"",U29&gt;0.5),"High PDS value (Medium);",""))&amp;IF(AND(V29&lt;&gt;"",OR(V29&gt;5,V29&lt;1)),"Incorrect DQR value (High);","")&amp;IF(AND(S29&lt;&gt;"",OR(S29&lt;=0,S29&gt;100)),"Unusual PCF value might be wrong (High);","")&amp;IF(AND(AL29&lt;&gt;"",OR(AL29&gt;1,AL29&lt;0)),"Incorrect PDS value (High);",IF(AND(AL29&lt;&gt;"",AL29&gt;0.5),"High PDS value (Medium);",""))&amp;IF(AND(AP29&lt;&gt;"",OR(AP29&gt;5,AP29&lt;1)),"Incorrect DQR value (High);","")&amp;IF(AND($A29&lt;&gt;"",AF29&gt;1),"Incorrect scrap rate (High);",IF(AND($A29&lt;&gt;"",AF29=0),"No scrap rate (No impact);",""))&amp;IF(AND($A29&lt;&gt;"",I29="",J29="",K29=""),"No raw material available (High);","")&amp;""</f>
        <v/>
      </c>
      <c r="AU29" s="9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  <c r="M30" s="4" t="n"/>
      <c r="N30" s="3" t="inlineStr">
        <is>
          <t>kg</t>
        </is>
      </c>
      <c r="O30" s="4" t="n"/>
      <c r="P30" s="3" t="inlineStr">
        <is>
          <t>kg</t>
        </is>
      </c>
      <c r="Q30" s="3" t="n"/>
      <c r="R30" s="5" t="n"/>
      <c r="S30" s="6" t="n"/>
      <c r="T30" s="3" t="inlineStr">
        <is>
          <t>kgCO2e/component</t>
        </is>
      </c>
      <c r="U30" s="7" t="n"/>
      <c r="V30" s="4" t="n"/>
      <c r="W30" s="8" t="n"/>
      <c r="X30" s="3" t="inlineStr">
        <is>
          <t>Supplier</t>
        </is>
      </c>
      <c r="Y30" s="3" t="inlineStr">
        <is>
          <t>No</t>
        </is>
      </c>
      <c r="Z30" s="5" t="n"/>
      <c r="AA30" s="3" t="n"/>
      <c r="AB30" s="3" t="n"/>
      <c r="AC30" s="6" t="n"/>
      <c r="AD30" s="3" t="inlineStr">
        <is>
          <t>kgCO2e/component</t>
        </is>
      </c>
      <c r="AE30" s="3" t="n"/>
      <c r="AF30" s="7" t="n"/>
      <c r="AG30" s="3" t="n"/>
      <c r="AH30" s="3" t="n"/>
      <c r="AI30" s="6" t="n"/>
      <c r="AJ30" s="3" t="inlineStr">
        <is>
          <t>kgCO2e/component</t>
        </is>
      </c>
      <c r="AK30" s="3" t="n"/>
      <c r="AL30" s="7" t="n">
        <v>0</v>
      </c>
      <c r="AM30" s="3" t="n"/>
      <c r="AN30" s="3" t="n"/>
      <c r="AO30" s="3" t="n"/>
      <c r="AP30" s="4">
        <f>IF(COUNT(AM30,AN30,AO30)=0,"",ROUND(AVERAGE(AM30,AN30,AO30),3))</f>
        <v/>
      </c>
      <c r="AQ30" s="3">
        <f>IF(AC30="","",ROUND(AC30*IF(M30="",0,M30)*(1+IF(AF30="",0,AF30)),5))</f>
        <v/>
      </c>
      <c r="AR30" s="3" t="inlineStr">
        <is>
          <t>kgCO2e/component</t>
        </is>
      </c>
      <c r="AS30" s="5" t="n"/>
      <c r="AT30" s="9">
        <f>IF(AND($A30&lt;&gt;"",G30=""),"Supplier code empty (High);","")&amp;IF(AND(U30&lt;&gt;"",OR(U30&gt;1,U30&lt;0)),"Incorrect PDS value (High);",IF(AND(U30&lt;&gt;"",U30&gt;0.5),"High PDS value (Medium);",""))&amp;IF(AND(V30&lt;&gt;"",OR(V30&gt;5,V30&lt;1)),"Incorrect DQR value (High);","")&amp;IF(AND(S30&lt;&gt;"",OR(S30&lt;=0,S30&gt;100)),"Unusual PCF value might be wrong (High);","")&amp;IF(AND(AL30&lt;&gt;"",OR(AL30&gt;1,AL30&lt;0)),"Incorrect PDS value (High);",IF(AND(AL30&lt;&gt;"",AL30&gt;0.5),"High PDS value (Medium);",""))&amp;IF(AND(AP30&lt;&gt;"",OR(AP30&gt;5,AP30&lt;1)),"Incorrect DQR value (High);","")&amp;IF(AND($A30&lt;&gt;"",AF30&gt;1),"Incorrect scrap rate (High);",IF(AND($A30&lt;&gt;"",AF30=0),"No scrap rate (No impact);",""))&amp;IF(AND($A30&lt;&gt;"",I30="",J30="",K30=""),"No raw material available (High);","")&amp;""</f>
        <v/>
      </c>
      <c r="AU30" s="9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4" t="n"/>
      <c r="M31" s="4" t="n"/>
      <c r="N31" s="3" t="inlineStr">
        <is>
          <t>kg</t>
        </is>
      </c>
      <c r="O31" s="4" t="n"/>
      <c r="P31" s="3" t="inlineStr">
        <is>
          <t>kg</t>
        </is>
      </c>
      <c r="Q31" s="3" t="n"/>
      <c r="R31" s="5" t="n"/>
      <c r="S31" s="6" t="n"/>
      <c r="T31" s="3" t="inlineStr">
        <is>
          <t>kgCO2e/component</t>
        </is>
      </c>
      <c r="U31" s="7" t="n"/>
      <c r="V31" s="4" t="n"/>
      <c r="W31" s="8" t="n"/>
      <c r="X31" s="3" t="inlineStr">
        <is>
          <t>Supplier</t>
        </is>
      </c>
      <c r="Y31" s="3" t="inlineStr">
        <is>
          <t>No</t>
        </is>
      </c>
      <c r="Z31" s="5" t="n"/>
      <c r="AA31" s="3" t="n"/>
      <c r="AB31" s="3" t="n"/>
      <c r="AC31" s="6" t="n"/>
      <c r="AD31" s="3" t="inlineStr">
        <is>
          <t>kgCO2e/component</t>
        </is>
      </c>
      <c r="AE31" s="3" t="n"/>
      <c r="AF31" s="7" t="n"/>
      <c r="AG31" s="3" t="n"/>
      <c r="AH31" s="3" t="n"/>
      <c r="AI31" s="6" t="n"/>
      <c r="AJ31" s="3" t="inlineStr">
        <is>
          <t>kgCO2e/component</t>
        </is>
      </c>
      <c r="AK31" s="3" t="n"/>
      <c r="AL31" s="7" t="n">
        <v>0</v>
      </c>
      <c r="AM31" s="3" t="n"/>
      <c r="AN31" s="3" t="n"/>
      <c r="AO31" s="3" t="n"/>
      <c r="AP31" s="4">
        <f>IF(COUNT(AM31,AN31,AO31)=0,"",ROUND(AVERAGE(AM31,AN31,AO31),3))</f>
        <v/>
      </c>
      <c r="AQ31" s="3">
        <f>IF(AC31="","",ROUND(AC31*IF(M31="",0,M31)*(1+IF(AF31="",0,AF31)),5))</f>
        <v/>
      </c>
      <c r="AR31" s="3" t="inlineStr">
        <is>
          <t>kgCO2e/component</t>
        </is>
      </c>
      <c r="AS31" s="5" t="n"/>
      <c r="AT31" s="9">
        <f>IF(AND($A31&lt;&gt;"",G31=""),"Supplier code empty (High);","")&amp;IF(AND(U31&lt;&gt;"",OR(U31&gt;1,U31&lt;0)),"Incorrect PDS value (High);",IF(AND(U31&lt;&gt;"",U31&gt;0.5),"High PDS value (Medium);",""))&amp;IF(AND(V31&lt;&gt;"",OR(V31&gt;5,V31&lt;1)),"Incorrect DQR value (High);","")&amp;IF(AND(S31&lt;&gt;"",OR(S31&lt;=0,S31&gt;100)),"Unusual PCF value might be wrong (High);","")&amp;IF(AND(AL31&lt;&gt;"",OR(AL31&gt;1,AL31&lt;0)),"Incorrect PDS value (High);",IF(AND(AL31&lt;&gt;"",AL31&gt;0.5),"High PDS value (Medium);",""))&amp;IF(AND(AP31&lt;&gt;"",OR(AP31&gt;5,AP31&lt;1)),"Incorrect DQR value (High);","")&amp;IF(AND($A31&lt;&gt;"",AF31&gt;1),"Incorrect scrap rate (High);",IF(AND($A31&lt;&gt;"",AF31=0),"No scrap rate (No impact);",""))&amp;IF(AND($A31&lt;&gt;"",I31="",J31="",K31=""),"No raw material available (High);","")&amp;""</f>
        <v/>
      </c>
      <c r="AU31" s="9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4" t="n"/>
      <c r="M32" s="4" t="n"/>
      <c r="N32" s="3" t="inlineStr">
        <is>
          <t>kg</t>
        </is>
      </c>
      <c r="O32" s="4" t="n"/>
      <c r="P32" s="3" t="inlineStr">
        <is>
          <t>kg</t>
        </is>
      </c>
      <c r="Q32" s="3" t="n"/>
      <c r="R32" s="5" t="n"/>
      <c r="S32" s="6" t="n"/>
      <c r="T32" s="3" t="inlineStr">
        <is>
          <t>kgCO2e/component</t>
        </is>
      </c>
      <c r="U32" s="7" t="n"/>
      <c r="V32" s="4" t="n"/>
      <c r="W32" s="8" t="n"/>
      <c r="X32" s="3" t="inlineStr">
        <is>
          <t>Supplier</t>
        </is>
      </c>
      <c r="Y32" s="3" t="inlineStr">
        <is>
          <t>No</t>
        </is>
      </c>
      <c r="Z32" s="5" t="n"/>
      <c r="AA32" s="3" t="n"/>
      <c r="AB32" s="3" t="n"/>
      <c r="AC32" s="6" t="n"/>
      <c r="AD32" s="3" t="inlineStr">
        <is>
          <t>kgCO2e/component</t>
        </is>
      </c>
      <c r="AE32" s="3" t="n"/>
      <c r="AF32" s="7" t="n"/>
      <c r="AG32" s="3" t="n"/>
      <c r="AH32" s="3" t="n"/>
      <c r="AI32" s="6" t="n"/>
      <c r="AJ32" s="3" t="inlineStr">
        <is>
          <t>kgCO2e/component</t>
        </is>
      </c>
      <c r="AK32" s="3" t="n"/>
      <c r="AL32" s="7" t="n">
        <v>0</v>
      </c>
      <c r="AM32" s="3" t="n"/>
      <c r="AN32" s="3" t="n"/>
      <c r="AO32" s="3" t="n"/>
      <c r="AP32" s="4">
        <f>IF(COUNT(AM32,AN32,AO32)=0,"",ROUND(AVERAGE(AM32,AN32,AO32),3))</f>
        <v/>
      </c>
      <c r="AQ32" s="3">
        <f>IF(AC32="","",ROUND(AC32*IF(M32="",0,M32)*(1+IF(AF32="",0,AF32)),5))</f>
        <v/>
      </c>
      <c r="AR32" s="3" t="inlineStr">
        <is>
          <t>kgCO2e/component</t>
        </is>
      </c>
      <c r="AS32" s="5" t="n"/>
      <c r="AT32" s="9">
        <f>IF(AND($A32&lt;&gt;"",G32=""),"Supplier code empty (High);","")&amp;IF(AND(U32&lt;&gt;"",OR(U32&gt;1,U32&lt;0)),"Incorrect PDS value (High);",IF(AND(U32&lt;&gt;"",U32&gt;0.5),"High PDS value (Medium);",""))&amp;IF(AND(V32&lt;&gt;"",OR(V32&gt;5,V32&lt;1)),"Incorrect DQR value (High);","")&amp;IF(AND(S32&lt;&gt;"",OR(S32&lt;=0,S32&gt;100)),"Unusual PCF value might be wrong (High);","")&amp;IF(AND(AL32&lt;&gt;"",OR(AL32&gt;1,AL32&lt;0)),"Incorrect PDS value (High);",IF(AND(AL32&lt;&gt;"",AL32&gt;0.5),"High PDS value (Medium);",""))&amp;IF(AND(AP32&lt;&gt;"",OR(AP32&gt;5,AP32&lt;1)),"Incorrect DQR value (High);","")&amp;IF(AND($A32&lt;&gt;"",AF32&gt;1),"Incorrect scrap rate (High);",IF(AND($A32&lt;&gt;"",AF32=0),"No scrap rate (No impact);",""))&amp;IF(AND($A32&lt;&gt;"",I32="",J32="",K32=""),"No raw material available (High);","")&amp;""</f>
        <v/>
      </c>
      <c r="AU32" s="9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4" t="n"/>
      <c r="M33" s="4" t="n"/>
      <c r="N33" s="3" t="inlineStr">
        <is>
          <t>kg</t>
        </is>
      </c>
      <c r="O33" s="4" t="n"/>
      <c r="P33" s="3" t="inlineStr">
        <is>
          <t>kg</t>
        </is>
      </c>
      <c r="Q33" s="3" t="n"/>
      <c r="R33" s="5" t="n"/>
      <c r="S33" s="6" t="n"/>
      <c r="T33" s="3" t="inlineStr">
        <is>
          <t>kgCO2e/component</t>
        </is>
      </c>
      <c r="U33" s="7" t="n"/>
      <c r="V33" s="4" t="n"/>
      <c r="W33" s="8" t="n"/>
      <c r="X33" s="3" t="inlineStr">
        <is>
          <t>Supplier</t>
        </is>
      </c>
      <c r="Y33" s="3" t="inlineStr">
        <is>
          <t>No</t>
        </is>
      </c>
      <c r="Z33" s="5" t="n"/>
      <c r="AA33" s="3" t="n"/>
      <c r="AB33" s="3" t="n"/>
      <c r="AC33" s="6" t="n"/>
      <c r="AD33" s="3" t="inlineStr">
        <is>
          <t>kgCO2e/component</t>
        </is>
      </c>
      <c r="AE33" s="3" t="n"/>
      <c r="AF33" s="7" t="n"/>
      <c r="AG33" s="3" t="n"/>
      <c r="AH33" s="3" t="n"/>
      <c r="AI33" s="6" t="n"/>
      <c r="AJ33" s="3" t="inlineStr">
        <is>
          <t>kgCO2e/component</t>
        </is>
      </c>
      <c r="AK33" s="3" t="n"/>
      <c r="AL33" s="7" t="n">
        <v>0</v>
      </c>
      <c r="AM33" s="3" t="n"/>
      <c r="AN33" s="3" t="n"/>
      <c r="AO33" s="3" t="n"/>
      <c r="AP33" s="4">
        <f>IF(COUNT(AM33,AN33,AO33)=0,"",ROUND(AVERAGE(AM33,AN33,AO33),3))</f>
        <v/>
      </c>
      <c r="AQ33" s="3">
        <f>IF(AC33="","",ROUND(AC33*IF(M33="",0,M33)*(1+IF(AF33="",0,AF33)),5))</f>
        <v/>
      </c>
      <c r="AR33" s="3" t="inlineStr">
        <is>
          <t>kgCO2e/component</t>
        </is>
      </c>
      <c r="AS33" s="5" t="n"/>
      <c r="AT33" s="9">
        <f>IF(AND($A33&lt;&gt;"",G33=""),"Supplier code empty (High);","")&amp;IF(AND(U33&lt;&gt;"",OR(U33&gt;1,U33&lt;0)),"Incorrect PDS value (High);",IF(AND(U33&lt;&gt;"",U33&gt;0.5),"High PDS value (Medium);",""))&amp;IF(AND(V33&lt;&gt;"",OR(V33&gt;5,V33&lt;1)),"Incorrect DQR value (High);","")&amp;IF(AND(S33&lt;&gt;"",OR(S33&lt;=0,S33&gt;100)),"Unusual PCF value might be wrong (High);","")&amp;IF(AND(AL33&lt;&gt;"",OR(AL33&gt;1,AL33&lt;0)),"Incorrect PDS value (High);",IF(AND(AL33&lt;&gt;"",AL33&gt;0.5),"High PDS value (Medium);",""))&amp;IF(AND(AP33&lt;&gt;"",OR(AP33&gt;5,AP33&lt;1)),"Incorrect DQR value (High);","")&amp;IF(AND($A33&lt;&gt;"",AF33&gt;1),"Incorrect scrap rate (High);",IF(AND($A33&lt;&gt;"",AF33=0),"No scrap rate (No impact);",""))&amp;IF(AND($A33&lt;&gt;"",I33="",J33="",K33=""),"No raw material available (High);","")&amp;""</f>
        <v/>
      </c>
      <c r="AU33" s="9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4" t="n"/>
      <c r="M34" s="4" t="n"/>
      <c r="N34" s="3" t="inlineStr">
        <is>
          <t>kg</t>
        </is>
      </c>
      <c r="O34" s="4" t="n"/>
      <c r="P34" s="3" t="inlineStr">
        <is>
          <t>kg</t>
        </is>
      </c>
      <c r="Q34" s="3" t="n"/>
      <c r="R34" s="5" t="n"/>
      <c r="S34" s="6" t="n"/>
      <c r="T34" s="3" t="inlineStr">
        <is>
          <t>kgCO2e/component</t>
        </is>
      </c>
      <c r="U34" s="7" t="n"/>
      <c r="V34" s="4" t="n"/>
      <c r="W34" s="8" t="n"/>
      <c r="X34" s="3" t="inlineStr">
        <is>
          <t>Supplier</t>
        </is>
      </c>
      <c r="Y34" s="3" t="inlineStr">
        <is>
          <t>No</t>
        </is>
      </c>
      <c r="Z34" s="5" t="n"/>
      <c r="AA34" s="3" t="n"/>
      <c r="AB34" s="3" t="n"/>
      <c r="AC34" s="6" t="n"/>
      <c r="AD34" s="3" t="inlineStr">
        <is>
          <t>kgCO2e/component</t>
        </is>
      </c>
      <c r="AE34" s="3" t="n"/>
      <c r="AF34" s="7" t="n"/>
      <c r="AG34" s="3" t="n"/>
      <c r="AH34" s="3" t="n"/>
      <c r="AI34" s="6" t="n"/>
      <c r="AJ34" s="3" t="inlineStr">
        <is>
          <t>kgCO2e/component</t>
        </is>
      </c>
      <c r="AK34" s="3" t="n"/>
      <c r="AL34" s="7" t="n">
        <v>0</v>
      </c>
      <c r="AM34" s="3" t="n"/>
      <c r="AN34" s="3" t="n"/>
      <c r="AO34" s="3" t="n"/>
      <c r="AP34" s="4">
        <f>IF(COUNT(AM34,AN34,AO34)=0,"",ROUND(AVERAGE(AM34,AN34,AO34),3))</f>
        <v/>
      </c>
      <c r="AQ34" s="3">
        <f>IF(AC34="","",ROUND(AC34*IF(M34="",0,M34)*(1+IF(AF34="",0,AF34)),5))</f>
        <v/>
      </c>
      <c r="AR34" s="3" t="inlineStr">
        <is>
          <t>kgCO2e/component</t>
        </is>
      </c>
      <c r="AS34" s="5" t="n"/>
      <c r="AT34" s="9">
        <f>IF(AND($A34&lt;&gt;"",G34=""),"Supplier code empty (High);","")&amp;IF(AND(U34&lt;&gt;"",OR(U34&gt;1,U34&lt;0)),"Incorrect PDS value (High);",IF(AND(U34&lt;&gt;"",U34&gt;0.5),"High PDS value (Medium);",""))&amp;IF(AND(V34&lt;&gt;"",OR(V34&gt;5,V34&lt;1)),"Incorrect DQR value (High);","")&amp;IF(AND(S34&lt;&gt;"",OR(S34&lt;=0,S34&gt;100)),"Unusual PCF value might be wrong (High);","")&amp;IF(AND(AL34&lt;&gt;"",OR(AL34&gt;1,AL34&lt;0)),"Incorrect PDS value (High);",IF(AND(AL34&lt;&gt;"",AL34&gt;0.5),"High PDS value (Medium);",""))&amp;IF(AND(AP34&lt;&gt;"",OR(AP34&gt;5,AP34&lt;1)),"Incorrect DQR value (High);","")&amp;IF(AND($A34&lt;&gt;"",AF34&gt;1),"Incorrect scrap rate (High);",IF(AND($A34&lt;&gt;"",AF34=0),"No scrap rate (No impact);",""))&amp;IF(AND($A34&lt;&gt;"",I34="",J34="",K34=""),"No raw material available (High);","")&amp;""</f>
        <v/>
      </c>
      <c r="AU34" s="9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4" t="n"/>
      <c r="M35" s="4" t="n"/>
      <c r="N35" s="3" t="inlineStr">
        <is>
          <t>kg</t>
        </is>
      </c>
      <c r="O35" s="4" t="n"/>
      <c r="P35" s="3" t="inlineStr">
        <is>
          <t>kg</t>
        </is>
      </c>
      <c r="Q35" s="3" t="n"/>
      <c r="R35" s="5" t="n"/>
      <c r="S35" s="6" t="n"/>
      <c r="T35" s="3" t="inlineStr">
        <is>
          <t>kgCO2e/component</t>
        </is>
      </c>
      <c r="U35" s="7" t="n"/>
      <c r="V35" s="4" t="n"/>
      <c r="W35" s="8" t="n"/>
      <c r="X35" s="3" t="inlineStr">
        <is>
          <t>Supplier</t>
        </is>
      </c>
      <c r="Y35" s="3" t="inlineStr">
        <is>
          <t>No</t>
        </is>
      </c>
      <c r="Z35" s="5" t="n"/>
      <c r="AA35" s="3" t="n"/>
      <c r="AB35" s="3" t="n"/>
      <c r="AC35" s="6" t="n"/>
      <c r="AD35" s="3" t="inlineStr">
        <is>
          <t>kgCO2e/component</t>
        </is>
      </c>
      <c r="AE35" s="3" t="n"/>
      <c r="AF35" s="7" t="n"/>
      <c r="AG35" s="3" t="n"/>
      <c r="AH35" s="3" t="n"/>
      <c r="AI35" s="6" t="n"/>
      <c r="AJ35" s="3" t="inlineStr">
        <is>
          <t>kgCO2e/component</t>
        </is>
      </c>
      <c r="AK35" s="3" t="n"/>
      <c r="AL35" s="7" t="n">
        <v>0</v>
      </c>
      <c r="AM35" s="3" t="n"/>
      <c r="AN35" s="3" t="n"/>
      <c r="AO35" s="3" t="n"/>
      <c r="AP35" s="4">
        <f>IF(COUNT(AM35,AN35,AO35)=0,"",ROUND(AVERAGE(AM35,AN35,AO35),3))</f>
        <v/>
      </c>
      <c r="AQ35" s="3">
        <f>IF(AC35="","",ROUND(AC35*IF(M35="",0,M35)*(1+IF(AF35="",0,AF35)),5))</f>
        <v/>
      </c>
      <c r="AR35" s="3" t="inlineStr">
        <is>
          <t>kgCO2e/component</t>
        </is>
      </c>
      <c r="AS35" s="5" t="n"/>
      <c r="AT35" s="9">
        <f>IF(AND($A35&lt;&gt;"",G35=""),"Supplier code empty (High);","")&amp;IF(AND(U35&lt;&gt;"",OR(U35&gt;1,U35&lt;0)),"Incorrect PDS value (High);",IF(AND(U35&lt;&gt;"",U35&gt;0.5),"High PDS value (Medium);",""))&amp;IF(AND(V35&lt;&gt;"",OR(V35&gt;5,V35&lt;1)),"Incorrect DQR value (High);","")&amp;IF(AND(S35&lt;&gt;"",OR(S35&lt;=0,S35&gt;100)),"Unusual PCF value might be wrong (High);","")&amp;IF(AND(AL35&lt;&gt;"",OR(AL35&gt;1,AL35&lt;0)),"Incorrect PDS value (High);",IF(AND(AL35&lt;&gt;"",AL35&gt;0.5),"High PDS value (Medium);",""))&amp;IF(AND(AP35&lt;&gt;"",OR(AP35&gt;5,AP35&lt;1)),"Incorrect DQR value (High);","")&amp;IF(AND($A35&lt;&gt;"",AF35&gt;1),"Incorrect scrap rate (High);",IF(AND($A35&lt;&gt;"",AF35=0),"No scrap rate (No impact);",""))&amp;IF(AND($A35&lt;&gt;"",I35="",J35="",K35=""),"No raw material available (High);","")&amp;""</f>
        <v/>
      </c>
      <c r="AU35" s="9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4" t="n"/>
      <c r="M36" s="4" t="n"/>
      <c r="N36" s="3" t="inlineStr">
        <is>
          <t>kg</t>
        </is>
      </c>
      <c r="O36" s="4" t="n"/>
      <c r="P36" s="3" t="inlineStr">
        <is>
          <t>kg</t>
        </is>
      </c>
      <c r="Q36" s="3" t="n"/>
      <c r="R36" s="5" t="n"/>
      <c r="S36" s="6" t="n"/>
      <c r="T36" s="3" t="inlineStr">
        <is>
          <t>kgCO2e/component</t>
        </is>
      </c>
      <c r="U36" s="7" t="n"/>
      <c r="V36" s="4" t="n"/>
      <c r="W36" s="8" t="n"/>
      <c r="X36" s="3" t="inlineStr">
        <is>
          <t>Supplier</t>
        </is>
      </c>
      <c r="Y36" s="3" t="inlineStr">
        <is>
          <t>No</t>
        </is>
      </c>
      <c r="Z36" s="5" t="n"/>
      <c r="AA36" s="3" t="n"/>
      <c r="AB36" s="3" t="n"/>
      <c r="AC36" s="6" t="n"/>
      <c r="AD36" s="3" t="inlineStr">
        <is>
          <t>kgCO2e/component</t>
        </is>
      </c>
      <c r="AE36" s="3" t="n"/>
      <c r="AF36" s="7" t="n"/>
      <c r="AG36" s="3" t="n"/>
      <c r="AH36" s="3" t="n"/>
      <c r="AI36" s="6" t="n"/>
      <c r="AJ36" s="3" t="inlineStr">
        <is>
          <t>kgCO2e/component</t>
        </is>
      </c>
      <c r="AK36" s="3" t="n"/>
      <c r="AL36" s="7" t="n">
        <v>0</v>
      </c>
      <c r="AM36" s="3" t="n"/>
      <c r="AN36" s="3" t="n"/>
      <c r="AO36" s="3" t="n"/>
      <c r="AP36" s="4">
        <f>IF(COUNT(AM36,AN36,AO36)=0,"",ROUND(AVERAGE(AM36,AN36,AO36),3))</f>
        <v/>
      </c>
      <c r="AQ36" s="3">
        <f>IF(AC36="","",ROUND(AC36*IF(M36="",0,M36)*(1+IF(AF36="",0,AF36)),5))</f>
        <v/>
      </c>
      <c r="AR36" s="3" t="inlineStr">
        <is>
          <t>kgCO2e/component</t>
        </is>
      </c>
      <c r="AS36" s="5" t="n"/>
      <c r="AT36" s="9">
        <f>IF(AND($A36&lt;&gt;"",G36=""),"Supplier code empty (High);","")&amp;IF(AND(U36&lt;&gt;"",OR(U36&gt;1,U36&lt;0)),"Incorrect PDS value (High);",IF(AND(U36&lt;&gt;"",U36&gt;0.5),"High PDS value (Medium);",""))&amp;IF(AND(V36&lt;&gt;"",OR(V36&gt;5,V36&lt;1)),"Incorrect DQR value (High);","")&amp;IF(AND(S36&lt;&gt;"",OR(S36&lt;=0,S36&gt;100)),"Unusual PCF value might be wrong (High);","")&amp;IF(AND(AL36&lt;&gt;"",OR(AL36&gt;1,AL36&lt;0)),"Incorrect PDS value (High);",IF(AND(AL36&lt;&gt;"",AL36&gt;0.5),"High PDS value (Medium);",""))&amp;IF(AND(AP36&lt;&gt;"",OR(AP36&gt;5,AP36&lt;1)),"Incorrect DQR value (High);","")&amp;IF(AND($A36&lt;&gt;"",AF36&gt;1),"Incorrect scrap rate (High);",IF(AND($A36&lt;&gt;"",AF36=0),"No scrap rate (No impact);",""))&amp;IF(AND($A36&lt;&gt;"",I36="",J36="",K36=""),"No raw material available (High);","")&amp;""</f>
        <v/>
      </c>
      <c r="AU36" s="9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4" t="n"/>
      <c r="M37" s="4" t="n"/>
      <c r="N37" s="3" t="inlineStr">
        <is>
          <t>kg</t>
        </is>
      </c>
      <c r="O37" s="4" t="n"/>
      <c r="P37" s="3" t="inlineStr">
        <is>
          <t>kg</t>
        </is>
      </c>
      <c r="Q37" s="3" t="n"/>
      <c r="R37" s="5" t="n"/>
      <c r="S37" s="6" t="n"/>
      <c r="T37" s="3" t="inlineStr">
        <is>
          <t>kgCO2e/component</t>
        </is>
      </c>
      <c r="U37" s="7" t="n"/>
      <c r="V37" s="4" t="n"/>
      <c r="W37" s="8" t="n"/>
      <c r="X37" s="3" t="inlineStr">
        <is>
          <t>Supplier</t>
        </is>
      </c>
      <c r="Y37" s="3" t="inlineStr">
        <is>
          <t>No</t>
        </is>
      </c>
      <c r="Z37" s="5" t="n"/>
      <c r="AA37" s="3" t="n"/>
      <c r="AB37" s="3" t="n"/>
      <c r="AC37" s="6" t="n"/>
      <c r="AD37" s="3" t="inlineStr">
        <is>
          <t>kgCO2e/component</t>
        </is>
      </c>
      <c r="AE37" s="3" t="n"/>
      <c r="AF37" s="7" t="n"/>
      <c r="AG37" s="3" t="n"/>
      <c r="AH37" s="3" t="n"/>
      <c r="AI37" s="6" t="n"/>
      <c r="AJ37" s="3" t="inlineStr">
        <is>
          <t>kgCO2e/component</t>
        </is>
      </c>
      <c r="AK37" s="3" t="n"/>
      <c r="AL37" s="7" t="n">
        <v>0</v>
      </c>
      <c r="AM37" s="3" t="n"/>
      <c r="AN37" s="3" t="n"/>
      <c r="AO37" s="3" t="n"/>
      <c r="AP37" s="4">
        <f>IF(COUNT(AM37,AN37,AO37)=0,"",ROUND(AVERAGE(AM37,AN37,AO37),3))</f>
        <v/>
      </c>
      <c r="AQ37" s="3">
        <f>IF(AC37="","",ROUND(AC37*IF(M37="",0,M37)*(1+IF(AF37="",0,AF37)),5))</f>
        <v/>
      </c>
      <c r="AR37" s="3" t="inlineStr">
        <is>
          <t>kgCO2e/component</t>
        </is>
      </c>
      <c r="AS37" s="5" t="n"/>
      <c r="AT37" s="9">
        <f>IF(AND($A37&lt;&gt;"",G37=""),"Supplier code empty (High);","")&amp;IF(AND(U37&lt;&gt;"",OR(U37&gt;1,U37&lt;0)),"Incorrect PDS value (High);",IF(AND(U37&lt;&gt;"",U37&gt;0.5),"High PDS value (Medium);",""))&amp;IF(AND(V37&lt;&gt;"",OR(V37&gt;5,V37&lt;1)),"Incorrect DQR value (High);","")&amp;IF(AND(S37&lt;&gt;"",OR(S37&lt;=0,S37&gt;100)),"Unusual PCF value might be wrong (High);","")&amp;IF(AND(AL37&lt;&gt;"",OR(AL37&gt;1,AL37&lt;0)),"Incorrect PDS value (High);",IF(AND(AL37&lt;&gt;"",AL37&gt;0.5),"High PDS value (Medium);",""))&amp;IF(AND(AP37&lt;&gt;"",OR(AP37&gt;5,AP37&lt;1)),"Incorrect DQR value (High);","")&amp;IF(AND($A37&lt;&gt;"",AF37&gt;1),"Incorrect scrap rate (High);",IF(AND($A37&lt;&gt;"",AF37=0),"No scrap rate (No impact);",""))&amp;IF(AND($A37&lt;&gt;"",I37="",J37="",K37=""),"No raw material available (High);","")&amp;""</f>
        <v/>
      </c>
      <c r="AU37" s="9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4" t="n"/>
      <c r="M38" s="4" t="n"/>
      <c r="N38" s="3" t="inlineStr">
        <is>
          <t>kg</t>
        </is>
      </c>
      <c r="O38" s="4" t="n"/>
      <c r="P38" s="3" t="inlineStr">
        <is>
          <t>kg</t>
        </is>
      </c>
      <c r="Q38" s="3" t="n"/>
      <c r="R38" s="5" t="n"/>
      <c r="S38" s="6" t="n"/>
      <c r="T38" s="3" t="inlineStr">
        <is>
          <t>kgCO2e/component</t>
        </is>
      </c>
      <c r="U38" s="7" t="n"/>
      <c r="V38" s="4" t="n"/>
      <c r="W38" s="8" t="n"/>
      <c r="X38" s="3" t="inlineStr">
        <is>
          <t>Supplier</t>
        </is>
      </c>
      <c r="Y38" s="3" t="inlineStr">
        <is>
          <t>No</t>
        </is>
      </c>
      <c r="Z38" s="5" t="n"/>
      <c r="AA38" s="3" t="n"/>
      <c r="AB38" s="3" t="n"/>
      <c r="AC38" s="6" t="n"/>
      <c r="AD38" s="3" t="inlineStr">
        <is>
          <t>kgCO2e/component</t>
        </is>
      </c>
      <c r="AE38" s="3" t="n"/>
      <c r="AF38" s="7" t="n"/>
      <c r="AG38" s="3" t="n"/>
      <c r="AH38" s="3" t="n"/>
      <c r="AI38" s="6" t="n"/>
      <c r="AJ38" s="3" t="inlineStr">
        <is>
          <t>kgCO2e/component</t>
        </is>
      </c>
      <c r="AK38" s="3" t="n"/>
      <c r="AL38" s="7" t="n">
        <v>0</v>
      </c>
      <c r="AM38" s="3" t="n"/>
      <c r="AN38" s="3" t="n"/>
      <c r="AO38" s="3" t="n"/>
      <c r="AP38" s="4">
        <f>IF(COUNT(AM38,AN38,AO38)=0,"",ROUND(AVERAGE(AM38,AN38,AO38),3))</f>
        <v/>
      </c>
      <c r="AQ38" s="3">
        <f>IF(AC38="","",ROUND(AC38*IF(M38="",0,M38)*(1+IF(AF38="",0,AF38)),5))</f>
        <v/>
      </c>
      <c r="AR38" s="3" t="inlineStr">
        <is>
          <t>kgCO2e/component</t>
        </is>
      </c>
      <c r="AS38" s="5" t="n"/>
      <c r="AT38" s="9">
        <f>IF(AND($A38&lt;&gt;"",G38=""),"Supplier code empty (High);","")&amp;IF(AND(U38&lt;&gt;"",OR(U38&gt;1,U38&lt;0)),"Incorrect PDS value (High);",IF(AND(U38&lt;&gt;"",U38&gt;0.5),"High PDS value (Medium);",""))&amp;IF(AND(V38&lt;&gt;"",OR(V38&gt;5,V38&lt;1)),"Incorrect DQR value (High);","")&amp;IF(AND(S38&lt;&gt;"",OR(S38&lt;=0,S38&gt;100)),"Unusual PCF value might be wrong (High);","")&amp;IF(AND(AL38&lt;&gt;"",OR(AL38&gt;1,AL38&lt;0)),"Incorrect PDS value (High);",IF(AND(AL38&lt;&gt;"",AL38&gt;0.5),"High PDS value (Medium);",""))&amp;IF(AND(AP38&lt;&gt;"",OR(AP38&gt;5,AP38&lt;1)),"Incorrect DQR value (High);","")&amp;IF(AND($A38&lt;&gt;"",AF38&gt;1),"Incorrect scrap rate (High);",IF(AND($A38&lt;&gt;"",AF38=0),"No scrap rate (No impact);",""))&amp;IF(AND($A38&lt;&gt;"",I38="",J38="",K38=""),"No raw material available (High);","")&amp;""</f>
        <v/>
      </c>
      <c r="AU38" s="9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4" t="n"/>
      <c r="M39" s="4" t="n"/>
      <c r="N39" s="3" t="inlineStr">
        <is>
          <t>kg</t>
        </is>
      </c>
      <c r="O39" s="4" t="n"/>
      <c r="P39" s="3" t="inlineStr">
        <is>
          <t>kg</t>
        </is>
      </c>
      <c r="Q39" s="3" t="n"/>
      <c r="R39" s="5" t="n"/>
      <c r="S39" s="6" t="n"/>
      <c r="T39" s="3" t="inlineStr">
        <is>
          <t>kgCO2e/component</t>
        </is>
      </c>
      <c r="U39" s="7" t="n"/>
      <c r="V39" s="4" t="n"/>
      <c r="W39" s="8" t="n"/>
      <c r="X39" s="3" t="inlineStr">
        <is>
          <t>Supplier</t>
        </is>
      </c>
      <c r="Y39" s="3" t="inlineStr">
        <is>
          <t>No</t>
        </is>
      </c>
      <c r="Z39" s="5" t="n"/>
      <c r="AA39" s="3" t="n"/>
      <c r="AB39" s="3" t="n"/>
      <c r="AC39" s="6" t="n"/>
      <c r="AD39" s="3" t="inlineStr">
        <is>
          <t>kgCO2e/component</t>
        </is>
      </c>
      <c r="AE39" s="3" t="n"/>
      <c r="AF39" s="7" t="n"/>
      <c r="AG39" s="3" t="n"/>
      <c r="AH39" s="3" t="n"/>
      <c r="AI39" s="6" t="n"/>
      <c r="AJ39" s="3" t="inlineStr">
        <is>
          <t>kgCO2e/component</t>
        </is>
      </c>
      <c r="AK39" s="3" t="n"/>
      <c r="AL39" s="7" t="n">
        <v>0</v>
      </c>
      <c r="AM39" s="3" t="n"/>
      <c r="AN39" s="3" t="n"/>
      <c r="AO39" s="3" t="n"/>
      <c r="AP39" s="4">
        <f>IF(COUNT(AM39,AN39,AO39)=0,"",ROUND(AVERAGE(AM39,AN39,AO39),3))</f>
        <v/>
      </c>
      <c r="AQ39" s="3">
        <f>IF(AC39="","",ROUND(AC39*IF(M39="",0,M39)*(1+IF(AF39="",0,AF39)),5))</f>
        <v/>
      </c>
      <c r="AR39" s="3" t="inlineStr">
        <is>
          <t>kgCO2e/component</t>
        </is>
      </c>
      <c r="AS39" s="5" t="n"/>
      <c r="AT39" s="9">
        <f>IF(AND($A39&lt;&gt;"",G39=""),"Supplier code empty (High);","")&amp;IF(AND(U39&lt;&gt;"",OR(U39&gt;1,U39&lt;0)),"Incorrect PDS value (High);",IF(AND(U39&lt;&gt;"",U39&gt;0.5),"High PDS value (Medium);",""))&amp;IF(AND(V39&lt;&gt;"",OR(V39&gt;5,V39&lt;1)),"Incorrect DQR value (High);","")&amp;IF(AND(S39&lt;&gt;"",OR(S39&lt;=0,S39&gt;100)),"Unusual PCF value might be wrong (High);","")&amp;IF(AND(AL39&lt;&gt;"",OR(AL39&gt;1,AL39&lt;0)),"Incorrect PDS value (High);",IF(AND(AL39&lt;&gt;"",AL39&gt;0.5),"High PDS value (Medium);",""))&amp;IF(AND(AP39&lt;&gt;"",OR(AP39&gt;5,AP39&lt;1)),"Incorrect DQR value (High);","")&amp;IF(AND($A39&lt;&gt;"",AF39&gt;1),"Incorrect scrap rate (High);",IF(AND($A39&lt;&gt;"",AF39=0),"No scrap rate (No impact);",""))&amp;IF(AND($A39&lt;&gt;"",I39="",J39="",K39=""),"No raw material available (High);","")&amp;""</f>
        <v/>
      </c>
      <c r="AU39" s="9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4" t="n"/>
      <c r="M40" s="4" t="n"/>
      <c r="N40" s="3" t="inlineStr">
        <is>
          <t>kg</t>
        </is>
      </c>
      <c r="O40" s="4" t="n"/>
      <c r="P40" s="3" t="inlineStr">
        <is>
          <t>kg</t>
        </is>
      </c>
      <c r="Q40" s="3" t="n"/>
      <c r="R40" s="5" t="n"/>
      <c r="S40" s="6" t="n"/>
      <c r="T40" s="3" t="inlineStr">
        <is>
          <t>kgCO2e/component</t>
        </is>
      </c>
      <c r="U40" s="7" t="n"/>
      <c r="V40" s="4" t="n"/>
      <c r="W40" s="8" t="n"/>
      <c r="X40" s="3" t="inlineStr">
        <is>
          <t>Supplier</t>
        </is>
      </c>
      <c r="Y40" s="3" t="inlineStr">
        <is>
          <t>No</t>
        </is>
      </c>
      <c r="Z40" s="5" t="n"/>
      <c r="AA40" s="3" t="n"/>
      <c r="AB40" s="3" t="n"/>
      <c r="AC40" s="6" t="n"/>
      <c r="AD40" s="3" t="inlineStr">
        <is>
          <t>kgCO2e/component</t>
        </is>
      </c>
      <c r="AE40" s="3" t="n"/>
      <c r="AF40" s="7" t="n"/>
      <c r="AG40" s="3" t="n"/>
      <c r="AH40" s="3" t="n"/>
      <c r="AI40" s="6" t="n"/>
      <c r="AJ40" s="3" t="inlineStr">
        <is>
          <t>kgCO2e/component</t>
        </is>
      </c>
      <c r="AK40" s="3" t="n"/>
      <c r="AL40" s="7" t="n">
        <v>0</v>
      </c>
      <c r="AM40" s="3" t="n"/>
      <c r="AN40" s="3" t="n"/>
      <c r="AO40" s="3" t="n"/>
      <c r="AP40" s="4">
        <f>IF(COUNT(AM40,AN40,AO40)=0,"",ROUND(AVERAGE(AM40,AN40,AO40),3))</f>
        <v/>
      </c>
      <c r="AQ40" s="3">
        <f>IF(AC40="","",ROUND(AC40*IF(M40="",0,M40)*(1+IF(AF40="",0,AF40)),5))</f>
        <v/>
      </c>
      <c r="AR40" s="3" t="inlineStr">
        <is>
          <t>kgCO2e/component</t>
        </is>
      </c>
      <c r="AS40" s="5" t="n"/>
      <c r="AT40" s="9">
        <f>IF(AND($A40&lt;&gt;"",G40=""),"Supplier code empty (High);","")&amp;IF(AND(U40&lt;&gt;"",OR(U40&gt;1,U40&lt;0)),"Incorrect PDS value (High);",IF(AND(U40&lt;&gt;"",U40&gt;0.5),"High PDS value (Medium);",""))&amp;IF(AND(V40&lt;&gt;"",OR(V40&gt;5,V40&lt;1)),"Incorrect DQR value (High);","")&amp;IF(AND(S40&lt;&gt;"",OR(S40&lt;=0,S40&gt;100)),"Unusual PCF value might be wrong (High);","")&amp;IF(AND(AL40&lt;&gt;"",OR(AL40&gt;1,AL40&lt;0)),"Incorrect PDS value (High);",IF(AND(AL40&lt;&gt;"",AL40&gt;0.5),"High PDS value (Medium);",""))&amp;IF(AND(AP40&lt;&gt;"",OR(AP40&gt;5,AP40&lt;1)),"Incorrect DQR value (High);","")&amp;IF(AND($A40&lt;&gt;"",AF40&gt;1),"Incorrect scrap rate (High);",IF(AND($A40&lt;&gt;"",AF40=0),"No scrap rate (No impact);",""))&amp;IF(AND($A40&lt;&gt;"",I40="",J40="",K40=""),"No raw material available (High);","")&amp;""</f>
        <v/>
      </c>
      <c r="AU40" s="9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4" t="n"/>
      <c r="M41" s="4" t="n"/>
      <c r="N41" s="3" t="inlineStr">
        <is>
          <t>kg</t>
        </is>
      </c>
      <c r="O41" s="4" t="n"/>
      <c r="P41" s="3" t="inlineStr">
        <is>
          <t>kg</t>
        </is>
      </c>
      <c r="Q41" s="3" t="n"/>
      <c r="R41" s="5" t="n"/>
      <c r="S41" s="6" t="n"/>
      <c r="T41" s="3" t="inlineStr">
        <is>
          <t>kgCO2e/component</t>
        </is>
      </c>
      <c r="U41" s="7" t="n"/>
      <c r="V41" s="4" t="n"/>
      <c r="W41" s="8" t="n"/>
      <c r="X41" s="3" t="inlineStr">
        <is>
          <t>Supplier</t>
        </is>
      </c>
      <c r="Y41" s="3" t="inlineStr">
        <is>
          <t>No</t>
        </is>
      </c>
      <c r="Z41" s="5" t="n"/>
      <c r="AA41" s="3" t="n"/>
      <c r="AB41" s="3" t="n"/>
      <c r="AC41" s="6" t="n"/>
      <c r="AD41" s="3" t="inlineStr">
        <is>
          <t>kgCO2e/component</t>
        </is>
      </c>
      <c r="AE41" s="3" t="n"/>
      <c r="AF41" s="7" t="n"/>
      <c r="AG41" s="3" t="n"/>
      <c r="AH41" s="3" t="n"/>
      <c r="AI41" s="6" t="n"/>
      <c r="AJ41" s="3" t="inlineStr">
        <is>
          <t>kgCO2e/component</t>
        </is>
      </c>
      <c r="AK41" s="3" t="n"/>
      <c r="AL41" s="7" t="n">
        <v>0</v>
      </c>
      <c r="AM41" s="3" t="n"/>
      <c r="AN41" s="3" t="n"/>
      <c r="AO41" s="3" t="n"/>
      <c r="AP41" s="4">
        <f>IF(COUNT(AM41,AN41,AO41)=0,"",ROUND(AVERAGE(AM41,AN41,AO41),3))</f>
        <v/>
      </c>
      <c r="AQ41" s="3">
        <f>IF(AC41="","",ROUND(AC41*IF(M41="",0,M41)*(1+IF(AF41="",0,AF41)),5))</f>
        <v/>
      </c>
      <c r="AR41" s="3" t="inlineStr">
        <is>
          <t>kgCO2e/component</t>
        </is>
      </c>
      <c r="AS41" s="5" t="n"/>
      <c r="AT41" s="9">
        <f>IF(AND($A41&lt;&gt;"",G41=""),"Supplier code empty (High);","")&amp;IF(AND(U41&lt;&gt;"",OR(U41&gt;1,U41&lt;0)),"Incorrect PDS value (High);",IF(AND(U41&lt;&gt;"",U41&gt;0.5),"High PDS value (Medium);",""))&amp;IF(AND(V41&lt;&gt;"",OR(V41&gt;5,V41&lt;1)),"Incorrect DQR value (High);","")&amp;IF(AND(S41&lt;&gt;"",OR(S41&lt;=0,S41&gt;100)),"Unusual PCF value might be wrong (High);","")&amp;IF(AND(AL41&lt;&gt;"",OR(AL41&gt;1,AL41&lt;0)),"Incorrect PDS value (High);",IF(AND(AL41&lt;&gt;"",AL41&gt;0.5),"High PDS value (Medium);",""))&amp;IF(AND(AP41&lt;&gt;"",OR(AP41&gt;5,AP41&lt;1)),"Incorrect DQR value (High);","")&amp;IF(AND($A41&lt;&gt;"",AF41&gt;1),"Incorrect scrap rate (High);",IF(AND($A41&lt;&gt;"",AF41=0),"No scrap rate (No impact);",""))&amp;IF(AND($A41&lt;&gt;"",I41="",J41="",K41=""),"No raw material available (High);","")&amp;""</f>
        <v/>
      </c>
      <c r="AU41" s="9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4" t="n"/>
      <c r="M42" s="4" t="n"/>
      <c r="N42" s="3" t="inlineStr">
        <is>
          <t>kg</t>
        </is>
      </c>
      <c r="O42" s="4" t="n"/>
      <c r="P42" s="3" t="inlineStr">
        <is>
          <t>kg</t>
        </is>
      </c>
      <c r="Q42" s="3" t="n"/>
      <c r="R42" s="5" t="n"/>
      <c r="S42" s="6" t="n"/>
      <c r="T42" s="3" t="inlineStr">
        <is>
          <t>kgCO2e/component</t>
        </is>
      </c>
      <c r="U42" s="7" t="n"/>
      <c r="V42" s="4" t="n"/>
      <c r="W42" s="8" t="n"/>
      <c r="X42" s="3" t="inlineStr">
        <is>
          <t>Supplier</t>
        </is>
      </c>
      <c r="Y42" s="3" t="inlineStr">
        <is>
          <t>No</t>
        </is>
      </c>
      <c r="Z42" s="5" t="n"/>
      <c r="AA42" s="3" t="n"/>
      <c r="AB42" s="3" t="n"/>
      <c r="AC42" s="6" t="n"/>
      <c r="AD42" s="3" t="inlineStr">
        <is>
          <t>kgCO2e/component</t>
        </is>
      </c>
      <c r="AE42" s="3" t="n"/>
      <c r="AF42" s="7" t="n"/>
      <c r="AG42" s="3" t="n"/>
      <c r="AH42" s="3" t="n"/>
      <c r="AI42" s="6" t="n"/>
      <c r="AJ42" s="3" t="inlineStr">
        <is>
          <t>kgCO2e/component</t>
        </is>
      </c>
      <c r="AK42" s="3" t="n"/>
      <c r="AL42" s="7" t="n">
        <v>0</v>
      </c>
      <c r="AM42" s="3" t="n"/>
      <c r="AN42" s="3" t="n"/>
      <c r="AO42" s="3" t="n"/>
      <c r="AP42" s="4">
        <f>IF(COUNT(AM42,AN42,AO42)=0,"",ROUND(AVERAGE(AM42,AN42,AO42),3))</f>
        <v/>
      </c>
      <c r="AQ42" s="3">
        <f>IF(AC42="","",ROUND(AC42*IF(M42="",0,M42)*(1+IF(AF42="",0,AF42)),5))</f>
        <v/>
      </c>
      <c r="AR42" s="3" t="inlineStr">
        <is>
          <t>kgCO2e/component</t>
        </is>
      </c>
      <c r="AS42" s="5" t="n"/>
      <c r="AT42" s="9">
        <f>IF(AND($A42&lt;&gt;"",G42=""),"Supplier code empty (High);","")&amp;IF(AND(U42&lt;&gt;"",OR(U42&gt;1,U42&lt;0)),"Incorrect PDS value (High);",IF(AND(U42&lt;&gt;"",U42&gt;0.5),"High PDS value (Medium);",""))&amp;IF(AND(V42&lt;&gt;"",OR(V42&gt;5,V42&lt;1)),"Incorrect DQR value (High);","")&amp;IF(AND(S42&lt;&gt;"",OR(S42&lt;=0,S42&gt;100)),"Unusual PCF value might be wrong (High);","")&amp;IF(AND(AL42&lt;&gt;"",OR(AL42&gt;1,AL42&lt;0)),"Incorrect PDS value (High);",IF(AND(AL42&lt;&gt;"",AL42&gt;0.5),"High PDS value (Medium);",""))&amp;IF(AND(AP42&lt;&gt;"",OR(AP42&gt;5,AP42&lt;1)),"Incorrect DQR value (High);","")&amp;IF(AND($A42&lt;&gt;"",AF42&gt;1),"Incorrect scrap rate (High);",IF(AND($A42&lt;&gt;"",AF42=0),"No scrap rate (No impact);",""))&amp;IF(AND($A42&lt;&gt;"",I42="",J42="",K42=""),"No raw material available (High);","")&amp;""</f>
        <v/>
      </c>
      <c r="AU42" s="9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4" t="n"/>
      <c r="M43" s="4" t="n"/>
      <c r="N43" s="3" t="inlineStr">
        <is>
          <t>kg</t>
        </is>
      </c>
      <c r="O43" s="4" t="n"/>
      <c r="P43" s="3" t="inlineStr">
        <is>
          <t>kg</t>
        </is>
      </c>
      <c r="Q43" s="3" t="n"/>
      <c r="R43" s="5" t="n"/>
      <c r="S43" s="6" t="n"/>
      <c r="T43" s="3" t="inlineStr">
        <is>
          <t>kgCO2e/component</t>
        </is>
      </c>
      <c r="U43" s="7" t="n"/>
      <c r="V43" s="4" t="n"/>
      <c r="W43" s="8" t="n"/>
      <c r="X43" s="3" t="inlineStr">
        <is>
          <t>Supplier</t>
        </is>
      </c>
      <c r="Y43" s="3" t="inlineStr">
        <is>
          <t>No</t>
        </is>
      </c>
      <c r="Z43" s="5" t="n"/>
      <c r="AA43" s="3" t="n"/>
      <c r="AB43" s="3" t="n"/>
      <c r="AC43" s="6" t="n"/>
      <c r="AD43" s="3" t="inlineStr">
        <is>
          <t>kgCO2e/component</t>
        </is>
      </c>
      <c r="AE43" s="3" t="n"/>
      <c r="AF43" s="7" t="n"/>
      <c r="AG43" s="3" t="n"/>
      <c r="AH43" s="3" t="n"/>
      <c r="AI43" s="6" t="n"/>
      <c r="AJ43" s="3" t="inlineStr">
        <is>
          <t>kgCO2e/component</t>
        </is>
      </c>
      <c r="AK43" s="3" t="n"/>
      <c r="AL43" s="7" t="n">
        <v>0</v>
      </c>
      <c r="AM43" s="3" t="n"/>
      <c r="AN43" s="3" t="n"/>
      <c r="AO43" s="3" t="n"/>
      <c r="AP43" s="4">
        <f>IF(COUNT(AM43,AN43,AO43)=0,"",ROUND(AVERAGE(AM43,AN43,AO43),3))</f>
        <v/>
      </c>
      <c r="AQ43" s="3">
        <f>IF(AC43="","",ROUND(AC43*IF(M43="",0,M43)*(1+IF(AF43="",0,AF43)),5))</f>
        <v/>
      </c>
      <c r="AR43" s="3" t="inlineStr">
        <is>
          <t>kgCO2e/component</t>
        </is>
      </c>
      <c r="AS43" s="5" t="n"/>
      <c r="AT43" s="9">
        <f>IF(AND($A43&lt;&gt;"",G43=""),"Supplier code empty (High);","")&amp;IF(AND(U43&lt;&gt;"",OR(U43&gt;1,U43&lt;0)),"Incorrect PDS value (High);",IF(AND(U43&lt;&gt;"",U43&gt;0.5),"High PDS value (Medium);",""))&amp;IF(AND(V43&lt;&gt;"",OR(V43&gt;5,V43&lt;1)),"Incorrect DQR value (High);","")&amp;IF(AND(S43&lt;&gt;"",OR(S43&lt;=0,S43&gt;100)),"Unusual PCF value might be wrong (High);","")&amp;IF(AND(AL43&lt;&gt;"",OR(AL43&gt;1,AL43&lt;0)),"Incorrect PDS value (High);",IF(AND(AL43&lt;&gt;"",AL43&gt;0.5),"High PDS value (Medium);",""))&amp;IF(AND(AP43&lt;&gt;"",OR(AP43&gt;5,AP43&lt;1)),"Incorrect DQR value (High);","")&amp;IF(AND($A43&lt;&gt;"",AF43&gt;1),"Incorrect scrap rate (High);",IF(AND($A43&lt;&gt;"",AF43=0),"No scrap rate (No impact);",""))&amp;IF(AND($A43&lt;&gt;"",I43="",J43="",K43=""),"No raw material available (High);","")&amp;""</f>
        <v/>
      </c>
      <c r="AU43" s="9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4" t="n"/>
      <c r="M44" s="4" t="n"/>
      <c r="N44" s="3" t="inlineStr">
        <is>
          <t>kg</t>
        </is>
      </c>
      <c r="O44" s="4" t="n"/>
      <c r="P44" s="3" t="inlineStr">
        <is>
          <t>kg</t>
        </is>
      </c>
      <c r="Q44" s="3" t="n"/>
      <c r="R44" s="5" t="n"/>
      <c r="S44" s="6" t="n"/>
      <c r="T44" s="3" t="inlineStr">
        <is>
          <t>kgCO2e/component</t>
        </is>
      </c>
      <c r="U44" s="7" t="n"/>
      <c r="V44" s="4" t="n"/>
      <c r="W44" s="8" t="n"/>
      <c r="X44" s="3" t="inlineStr">
        <is>
          <t>Supplier</t>
        </is>
      </c>
      <c r="Y44" s="3" t="inlineStr">
        <is>
          <t>No</t>
        </is>
      </c>
      <c r="Z44" s="5" t="n"/>
      <c r="AA44" s="3" t="n"/>
      <c r="AB44" s="3" t="n"/>
      <c r="AC44" s="6" t="n"/>
      <c r="AD44" s="3" t="inlineStr">
        <is>
          <t>kgCO2e/component</t>
        </is>
      </c>
      <c r="AE44" s="3" t="n"/>
      <c r="AF44" s="7" t="n"/>
      <c r="AG44" s="3" t="n"/>
      <c r="AH44" s="3" t="n"/>
      <c r="AI44" s="6" t="n"/>
      <c r="AJ44" s="3" t="inlineStr">
        <is>
          <t>kgCO2e/component</t>
        </is>
      </c>
      <c r="AK44" s="3" t="n"/>
      <c r="AL44" s="7" t="n">
        <v>0</v>
      </c>
      <c r="AM44" s="3" t="n"/>
      <c r="AN44" s="3" t="n"/>
      <c r="AO44" s="3" t="n"/>
      <c r="AP44" s="4">
        <f>IF(COUNT(AM44,AN44,AO44)=0,"",ROUND(AVERAGE(AM44,AN44,AO44),3))</f>
        <v/>
      </c>
      <c r="AQ44" s="3">
        <f>IF(AC44="","",ROUND(AC44*IF(M44="",0,M44)*(1+IF(AF44="",0,AF44)),5))</f>
        <v/>
      </c>
      <c r="AR44" s="3" t="inlineStr">
        <is>
          <t>kgCO2e/component</t>
        </is>
      </c>
      <c r="AS44" s="5" t="n"/>
      <c r="AT44" s="9">
        <f>IF(AND($A44&lt;&gt;"",G44=""),"Supplier code empty (High);","")&amp;IF(AND(U44&lt;&gt;"",OR(U44&gt;1,U44&lt;0)),"Incorrect PDS value (High);",IF(AND(U44&lt;&gt;"",U44&gt;0.5),"High PDS value (Medium);",""))&amp;IF(AND(V44&lt;&gt;"",OR(V44&gt;5,V44&lt;1)),"Incorrect DQR value (High);","")&amp;IF(AND(S44&lt;&gt;"",OR(S44&lt;=0,S44&gt;100)),"Unusual PCF value might be wrong (High);","")&amp;IF(AND(AL44&lt;&gt;"",OR(AL44&gt;1,AL44&lt;0)),"Incorrect PDS value (High);",IF(AND(AL44&lt;&gt;"",AL44&gt;0.5),"High PDS value (Medium);",""))&amp;IF(AND(AP44&lt;&gt;"",OR(AP44&gt;5,AP44&lt;1)),"Incorrect DQR value (High);","")&amp;IF(AND($A44&lt;&gt;"",AF44&gt;1),"Incorrect scrap rate (High);",IF(AND($A44&lt;&gt;"",AF44=0),"No scrap rate (No impact);",""))&amp;IF(AND($A44&lt;&gt;"",I44="",J44="",K44=""),"No raw material available (High);","")&amp;""</f>
        <v/>
      </c>
      <c r="AU44" s="9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4" t="n"/>
      <c r="M45" s="4" t="n"/>
      <c r="N45" s="3" t="inlineStr">
        <is>
          <t>kg</t>
        </is>
      </c>
      <c r="O45" s="4" t="n"/>
      <c r="P45" s="3" t="inlineStr">
        <is>
          <t>kg</t>
        </is>
      </c>
      <c r="Q45" s="3" t="n"/>
      <c r="R45" s="5" t="n"/>
      <c r="S45" s="6" t="n"/>
      <c r="T45" s="3" t="inlineStr">
        <is>
          <t>kgCO2e/component</t>
        </is>
      </c>
      <c r="U45" s="7" t="n"/>
      <c r="V45" s="4" t="n"/>
      <c r="W45" s="8" t="n"/>
      <c r="X45" s="3" t="inlineStr">
        <is>
          <t>Supplier</t>
        </is>
      </c>
      <c r="Y45" s="3" t="inlineStr">
        <is>
          <t>No</t>
        </is>
      </c>
      <c r="Z45" s="5" t="n"/>
      <c r="AA45" s="3" t="n"/>
      <c r="AB45" s="3" t="n"/>
      <c r="AC45" s="6" t="n"/>
      <c r="AD45" s="3" t="inlineStr">
        <is>
          <t>kgCO2e/component</t>
        </is>
      </c>
      <c r="AE45" s="3" t="n"/>
      <c r="AF45" s="7" t="n"/>
      <c r="AG45" s="3" t="n"/>
      <c r="AH45" s="3" t="n"/>
      <c r="AI45" s="6" t="n"/>
      <c r="AJ45" s="3" t="inlineStr">
        <is>
          <t>kgCO2e/component</t>
        </is>
      </c>
      <c r="AK45" s="3" t="n"/>
      <c r="AL45" s="7" t="n">
        <v>0</v>
      </c>
      <c r="AM45" s="3" t="n"/>
      <c r="AN45" s="3" t="n"/>
      <c r="AO45" s="3" t="n"/>
      <c r="AP45" s="4">
        <f>IF(COUNT(AM45,AN45,AO45)=0,"",ROUND(AVERAGE(AM45,AN45,AO45),3))</f>
        <v/>
      </c>
      <c r="AQ45" s="3">
        <f>IF(AC45="","",ROUND(AC45*IF(M45="",0,M45)*(1+IF(AF45="",0,AF45)),5))</f>
        <v/>
      </c>
      <c r="AR45" s="3" t="inlineStr">
        <is>
          <t>kgCO2e/component</t>
        </is>
      </c>
      <c r="AS45" s="5" t="n"/>
      <c r="AT45" s="9">
        <f>IF(AND($A45&lt;&gt;"",G45=""),"Supplier code empty (High);","")&amp;IF(AND(U45&lt;&gt;"",OR(U45&gt;1,U45&lt;0)),"Incorrect PDS value (High);",IF(AND(U45&lt;&gt;"",U45&gt;0.5),"High PDS value (Medium);",""))&amp;IF(AND(V45&lt;&gt;"",OR(V45&gt;5,V45&lt;1)),"Incorrect DQR value (High);","")&amp;IF(AND(S45&lt;&gt;"",OR(S45&lt;=0,S45&gt;100)),"Unusual PCF value might be wrong (High);","")&amp;IF(AND(AL45&lt;&gt;"",OR(AL45&gt;1,AL45&lt;0)),"Incorrect PDS value (High);",IF(AND(AL45&lt;&gt;"",AL45&gt;0.5),"High PDS value (Medium);",""))&amp;IF(AND(AP45&lt;&gt;"",OR(AP45&gt;5,AP45&lt;1)),"Incorrect DQR value (High);","")&amp;IF(AND($A45&lt;&gt;"",AF45&gt;1),"Incorrect scrap rate (High);",IF(AND($A45&lt;&gt;"",AF45=0),"No scrap rate (No impact);",""))&amp;IF(AND($A45&lt;&gt;"",I45="",J45="",K45=""),"No raw material available (High);","")&amp;""</f>
        <v/>
      </c>
      <c r="AU45" s="9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4" t="n"/>
      <c r="M46" s="4" t="n"/>
      <c r="N46" s="3" t="inlineStr">
        <is>
          <t>kg</t>
        </is>
      </c>
      <c r="O46" s="4" t="n"/>
      <c r="P46" s="3" t="inlineStr">
        <is>
          <t>kg</t>
        </is>
      </c>
      <c r="Q46" s="3" t="n"/>
      <c r="R46" s="5" t="n"/>
      <c r="S46" s="6" t="n"/>
      <c r="T46" s="3" t="inlineStr">
        <is>
          <t>kgCO2e/component</t>
        </is>
      </c>
      <c r="U46" s="7" t="n"/>
      <c r="V46" s="4" t="n"/>
      <c r="W46" s="8" t="n"/>
      <c r="X46" s="3" t="inlineStr">
        <is>
          <t>Supplier</t>
        </is>
      </c>
      <c r="Y46" s="3" t="inlineStr">
        <is>
          <t>No</t>
        </is>
      </c>
      <c r="Z46" s="5" t="n"/>
      <c r="AA46" s="3" t="n"/>
      <c r="AB46" s="3" t="n"/>
      <c r="AC46" s="6" t="n"/>
      <c r="AD46" s="3" t="inlineStr">
        <is>
          <t>kgCO2e/component</t>
        </is>
      </c>
      <c r="AE46" s="3" t="n"/>
      <c r="AF46" s="7" t="n"/>
      <c r="AG46" s="3" t="n"/>
      <c r="AH46" s="3" t="n"/>
      <c r="AI46" s="6" t="n"/>
      <c r="AJ46" s="3" t="inlineStr">
        <is>
          <t>kgCO2e/component</t>
        </is>
      </c>
      <c r="AK46" s="3" t="n"/>
      <c r="AL46" s="7" t="n">
        <v>0</v>
      </c>
      <c r="AM46" s="3" t="n"/>
      <c r="AN46" s="3" t="n"/>
      <c r="AO46" s="3" t="n"/>
      <c r="AP46" s="4">
        <f>IF(COUNT(AM46,AN46,AO46)=0,"",ROUND(AVERAGE(AM46,AN46,AO46),3))</f>
        <v/>
      </c>
      <c r="AQ46" s="3">
        <f>IF(AC46="","",ROUND(AC46*IF(M46="",0,M46)*(1+IF(AF46="",0,AF46)),5))</f>
        <v/>
      </c>
      <c r="AR46" s="3" t="inlineStr">
        <is>
          <t>kgCO2e/component</t>
        </is>
      </c>
      <c r="AS46" s="5" t="n"/>
      <c r="AT46" s="9">
        <f>IF(AND($A46&lt;&gt;"",G46=""),"Supplier code empty (High);","")&amp;IF(AND(U46&lt;&gt;"",OR(U46&gt;1,U46&lt;0)),"Incorrect PDS value (High);",IF(AND(U46&lt;&gt;"",U46&gt;0.5),"High PDS value (Medium);",""))&amp;IF(AND(V46&lt;&gt;"",OR(V46&gt;5,V46&lt;1)),"Incorrect DQR value (High);","")&amp;IF(AND(S46&lt;&gt;"",OR(S46&lt;=0,S46&gt;100)),"Unusual PCF value might be wrong (High);","")&amp;IF(AND(AL46&lt;&gt;"",OR(AL46&gt;1,AL46&lt;0)),"Incorrect PDS value (High);",IF(AND(AL46&lt;&gt;"",AL46&gt;0.5),"High PDS value (Medium);",""))&amp;IF(AND(AP46&lt;&gt;"",OR(AP46&gt;5,AP46&lt;1)),"Incorrect DQR value (High);","")&amp;IF(AND($A46&lt;&gt;"",AF46&gt;1),"Incorrect scrap rate (High);",IF(AND($A46&lt;&gt;"",AF46=0),"No scrap rate (No impact);",""))&amp;IF(AND($A46&lt;&gt;"",I46="",J46="",K46=""),"No raw material available (High);","")&amp;""</f>
        <v/>
      </c>
      <c r="AU46" s="9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4" t="n"/>
      <c r="M47" s="4" t="n"/>
      <c r="N47" s="3" t="inlineStr">
        <is>
          <t>kg</t>
        </is>
      </c>
      <c r="O47" s="4" t="n"/>
      <c r="P47" s="3" t="inlineStr">
        <is>
          <t>kg</t>
        </is>
      </c>
      <c r="Q47" s="3" t="n"/>
      <c r="R47" s="5" t="n"/>
      <c r="S47" s="6" t="n"/>
      <c r="T47" s="3" t="inlineStr">
        <is>
          <t>kgCO2e/component</t>
        </is>
      </c>
      <c r="U47" s="7" t="n"/>
      <c r="V47" s="4" t="n"/>
      <c r="W47" s="8" t="n"/>
      <c r="X47" s="3" t="inlineStr">
        <is>
          <t>Supplier</t>
        </is>
      </c>
      <c r="Y47" s="3" t="inlineStr">
        <is>
          <t>No</t>
        </is>
      </c>
      <c r="Z47" s="5" t="n"/>
      <c r="AA47" s="3" t="n"/>
      <c r="AB47" s="3" t="n"/>
      <c r="AC47" s="6" t="n"/>
      <c r="AD47" s="3" t="inlineStr">
        <is>
          <t>kgCO2e/component</t>
        </is>
      </c>
      <c r="AE47" s="3" t="n"/>
      <c r="AF47" s="7" t="n"/>
      <c r="AG47" s="3" t="n"/>
      <c r="AH47" s="3" t="n"/>
      <c r="AI47" s="6" t="n"/>
      <c r="AJ47" s="3" t="inlineStr">
        <is>
          <t>kgCO2e/component</t>
        </is>
      </c>
      <c r="AK47" s="3" t="n"/>
      <c r="AL47" s="7" t="n">
        <v>0</v>
      </c>
      <c r="AM47" s="3" t="n"/>
      <c r="AN47" s="3" t="n"/>
      <c r="AO47" s="3" t="n"/>
      <c r="AP47" s="4">
        <f>IF(COUNT(AM47,AN47,AO47)=0,"",ROUND(AVERAGE(AM47,AN47,AO47),3))</f>
        <v/>
      </c>
      <c r="AQ47" s="3">
        <f>IF(AC47="","",ROUND(AC47*IF(M47="",0,M47)*(1+IF(AF47="",0,AF47)),5))</f>
        <v/>
      </c>
      <c r="AR47" s="3" t="inlineStr">
        <is>
          <t>kgCO2e/component</t>
        </is>
      </c>
      <c r="AS47" s="5" t="n"/>
      <c r="AT47" s="9">
        <f>IF(AND($A47&lt;&gt;"",G47=""),"Supplier code empty (High);","")&amp;IF(AND(U47&lt;&gt;"",OR(U47&gt;1,U47&lt;0)),"Incorrect PDS value (High);",IF(AND(U47&lt;&gt;"",U47&gt;0.5),"High PDS value (Medium);",""))&amp;IF(AND(V47&lt;&gt;"",OR(V47&gt;5,V47&lt;1)),"Incorrect DQR value (High);","")&amp;IF(AND(S47&lt;&gt;"",OR(S47&lt;=0,S47&gt;100)),"Unusual PCF value might be wrong (High);","")&amp;IF(AND(AL47&lt;&gt;"",OR(AL47&gt;1,AL47&lt;0)),"Incorrect PDS value (High);",IF(AND(AL47&lt;&gt;"",AL47&gt;0.5),"High PDS value (Medium);",""))&amp;IF(AND(AP47&lt;&gt;"",OR(AP47&gt;5,AP47&lt;1)),"Incorrect DQR value (High);","")&amp;IF(AND($A47&lt;&gt;"",AF47&gt;1),"Incorrect scrap rate (High);",IF(AND($A47&lt;&gt;"",AF47=0),"No scrap rate (No impact);",""))&amp;IF(AND($A47&lt;&gt;"",I47="",J47="",K47=""),"No raw material available (High);","")&amp;""</f>
        <v/>
      </c>
      <c r="AU47" s="9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4" t="n"/>
      <c r="M48" s="4" t="n"/>
      <c r="N48" s="3" t="inlineStr">
        <is>
          <t>kg</t>
        </is>
      </c>
      <c r="O48" s="4" t="n"/>
      <c r="P48" s="3" t="inlineStr">
        <is>
          <t>kg</t>
        </is>
      </c>
      <c r="Q48" s="3" t="n"/>
      <c r="R48" s="5" t="n"/>
      <c r="S48" s="6" t="n"/>
      <c r="T48" s="3" t="inlineStr">
        <is>
          <t>kgCO2e/component</t>
        </is>
      </c>
      <c r="U48" s="7" t="n"/>
      <c r="V48" s="4" t="n"/>
      <c r="W48" s="8" t="n"/>
      <c r="X48" s="3" t="inlineStr">
        <is>
          <t>Supplier</t>
        </is>
      </c>
      <c r="Y48" s="3" t="inlineStr">
        <is>
          <t>No</t>
        </is>
      </c>
      <c r="Z48" s="5" t="n"/>
      <c r="AA48" s="3" t="n"/>
      <c r="AB48" s="3" t="n"/>
      <c r="AC48" s="6" t="n"/>
      <c r="AD48" s="3" t="inlineStr">
        <is>
          <t>kgCO2e/component</t>
        </is>
      </c>
      <c r="AE48" s="3" t="n"/>
      <c r="AF48" s="7" t="n"/>
      <c r="AG48" s="3" t="n"/>
      <c r="AH48" s="3" t="n"/>
      <c r="AI48" s="6" t="n"/>
      <c r="AJ48" s="3" t="inlineStr">
        <is>
          <t>kgCO2e/component</t>
        </is>
      </c>
      <c r="AK48" s="3" t="n"/>
      <c r="AL48" s="7" t="n">
        <v>0</v>
      </c>
      <c r="AM48" s="3" t="n"/>
      <c r="AN48" s="3" t="n"/>
      <c r="AO48" s="3" t="n"/>
      <c r="AP48" s="4">
        <f>IF(COUNT(AM48,AN48,AO48)=0,"",ROUND(AVERAGE(AM48,AN48,AO48),3))</f>
        <v/>
      </c>
      <c r="AQ48" s="3">
        <f>IF(AC48="","",ROUND(AC48*IF(M48="",0,M48)*(1+IF(AF48="",0,AF48)),5))</f>
        <v/>
      </c>
      <c r="AR48" s="3" t="inlineStr">
        <is>
          <t>kgCO2e/component</t>
        </is>
      </c>
      <c r="AS48" s="5" t="n"/>
      <c r="AT48" s="9">
        <f>IF(AND($A48&lt;&gt;"",G48=""),"Supplier code empty (High);","")&amp;IF(AND(U48&lt;&gt;"",OR(U48&gt;1,U48&lt;0)),"Incorrect PDS value (High);",IF(AND(U48&lt;&gt;"",U48&gt;0.5),"High PDS value (Medium);",""))&amp;IF(AND(V48&lt;&gt;"",OR(V48&gt;5,V48&lt;1)),"Incorrect DQR value (High);","")&amp;IF(AND(S48&lt;&gt;"",OR(S48&lt;=0,S48&gt;100)),"Unusual PCF value might be wrong (High);","")&amp;IF(AND(AL48&lt;&gt;"",OR(AL48&gt;1,AL48&lt;0)),"Incorrect PDS value (High);",IF(AND(AL48&lt;&gt;"",AL48&gt;0.5),"High PDS value (Medium);",""))&amp;IF(AND(AP48&lt;&gt;"",OR(AP48&gt;5,AP48&lt;1)),"Incorrect DQR value (High);","")&amp;IF(AND($A48&lt;&gt;"",AF48&gt;1),"Incorrect scrap rate (High);",IF(AND($A48&lt;&gt;"",AF48=0),"No scrap rate (No impact);",""))&amp;IF(AND($A48&lt;&gt;"",I48="",J48="",K48=""),"No raw material available (High);","")&amp;""</f>
        <v/>
      </c>
      <c r="AU48" s="9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4" t="n"/>
      <c r="M49" s="4" t="n"/>
      <c r="N49" s="3" t="inlineStr">
        <is>
          <t>kg</t>
        </is>
      </c>
      <c r="O49" s="4" t="n"/>
      <c r="P49" s="3" t="inlineStr">
        <is>
          <t>kg</t>
        </is>
      </c>
      <c r="Q49" s="3" t="n"/>
      <c r="R49" s="5" t="n"/>
      <c r="S49" s="6" t="n"/>
      <c r="T49" s="3" t="inlineStr">
        <is>
          <t>kgCO2e/component</t>
        </is>
      </c>
      <c r="U49" s="7" t="n"/>
      <c r="V49" s="4" t="n"/>
      <c r="W49" s="8" t="n"/>
      <c r="X49" s="3" t="inlineStr">
        <is>
          <t>Supplier</t>
        </is>
      </c>
      <c r="Y49" s="3" t="inlineStr">
        <is>
          <t>No</t>
        </is>
      </c>
      <c r="Z49" s="5" t="n"/>
      <c r="AA49" s="3" t="n"/>
      <c r="AB49" s="3" t="n"/>
      <c r="AC49" s="6" t="n"/>
      <c r="AD49" s="3" t="inlineStr">
        <is>
          <t>kgCO2e/component</t>
        </is>
      </c>
      <c r="AE49" s="3" t="n"/>
      <c r="AF49" s="7" t="n"/>
      <c r="AG49" s="3" t="n"/>
      <c r="AH49" s="3" t="n"/>
      <c r="AI49" s="6" t="n"/>
      <c r="AJ49" s="3" t="inlineStr">
        <is>
          <t>kgCO2e/component</t>
        </is>
      </c>
      <c r="AK49" s="3" t="n"/>
      <c r="AL49" s="7" t="n">
        <v>0</v>
      </c>
      <c r="AM49" s="3" t="n"/>
      <c r="AN49" s="3" t="n"/>
      <c r="AO49" s="3" t="n"/>
      <c r="AP49" s="4">
        <f>IF(COUNT(AM49,AN49,AO49)=0,"",ROUND(AVERAGE(AM49,AN49,AO49),3))</f>
        <v/>
      </c>
      <c r="AQ49" s="3">
        <f>IF(AC49="","",ROUND(AC49*IF(M49="",0,M49)*(1+IF(AF49="",0,AF49)),5))</f>
        <v/>
      </c>
      <c r="AR49" s="3" t="inlineStr">
        <is>
          <t>kgCO2e/component</t>
        </is>
      </c>
      <c r="AS49" s="5" t="n"/>
      <c r="AT49" s="9">
        <f>IF(AND($A49&lt;&gt;"",G49=""),"Supplier code empty (High);","")&amp;IF(AND(U49&lt;&gt;"",OR(U49&gt;1,U49&lt;0)),"Incorrect PDS value (High);",IF(AND(U49&lt;&gt;"",U49&gt;0.5),"High PDS value (Medium);",""))&amp;IF(AND(V49&lt;&gt;"",OR(V49&gt;5,V49&lt;1)),"Incorrect DQR value (High);","")&amp;IF(AND(S49&lt;&gt;"",OR(S49&lt;=0,S49&gt;100)),"Unusual PCF value might be wrong (High);","")&amp;IF(AND(AL49&lt;&gt;"",OR(AL49&gt;1,AL49&lt;0)),"Incorrect PDS value (High);",IF(AND(AL49&lt;&gt;"",AL49&gt;0.5),"High PDS value (Medium);",""))&amp;IF(AND(AP49&lt;&gt;"",OR(AP49&gt;5,AP49&lt;1)),"Incorrect DQR value (High);","")&amp;IF(AND($A49&lt;&gt;"",AF49&gt;1),"Incorrect scrap rate (High);",IF(AND($A49&lt;&gt;"",AF49=0),"No scrap rate (No impact);",""))&amp;IF(AND($A49&lt;&gt;"",I49="",J49="",K49=""),"No raw material available (High);","")&amp;""</f>
        <v/>
      </c>
      <c r="AU49" s="9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4" t="n"/>
      <c r="M50" s="4" t="n"/>
      <c r="N50" s="3" t="inlineStr">
        <is>
          <t>kg</t>
        </is>
      </c>
      <c r="O50" s="4" t="n"/>
      <c r="P50" s="3" t="inlineStr">
        <is>
          <t>kg</t>
        </is>
      </c>
      <c r="Q50" s="3" t="n"/>
      <c r="R50" s="5" t="n"/>
      <c r="S50" s="6" t="n"/>
      <c r="T50" s="3" t="inlineStr">
        <is>
          <t>kgCO2e/component</t>
        </is>
      </c>
      <c r="U50" s="7" t="n"/>
      <c r="V50" s="4" t="n"/>
      <c r="W50" s="8" t="n"/>
      <c r="X50" s="3" t="inlineStr">
        <is>
          <t>Supplier</t>
        </is>
      </c>
      <c r="Y50" s="3" t="inlineStr">
        <is>
          <t>No</t>
        </is>
      </c>
      <c r="Z50" s="5" t="n"/>
      <c r="AA50" s="3" t="n"/>
      <c r="AB50" s="3" t="n"/>
      <c r="AC50" s="6" t="n"/>
      <c r="AD50" s="3" t="inlineStr">
        <is>
          <t>kgCO2e/component</t>
        </is>
      </c>
      <c r="AE50" s="3" t="n"/>
      <c r="AF50" s="7" t="n"/>
      <c r="AG50" s="3" t="n"/>
      <c r="AH50" s="3" t="n"/>
      <c r="AI50" s="6" t="n"/>
      <c r="AJ50" s="3" t="inlineStr">
        <is>
          <t>kgCO2e/component</t>
        </is>
      </c>
      <c r="AK50" s="3" t="n"/>
      <c r="AL50" s="7" t="n">
        <v>0</v>
      </c>
      <c r="AM50" s="3" t="n"/>
      <c r="AN50" s="3" t="n"/>
      <c r="AO50" s="3" t="n"/>
      <c r="AP50" s="4">
        <f>IF(COUNT(AM50,AN50,AO50)=0,"",ROUND(AVERAGE(AM50,AN50,AO50),3))</f>
        <v/>
      </c>
      <c r="AQ50" s="3">
        <f>IF(AC50="","",ROUND(AC50*IF(M50="",0,M50)*(1+IF(AF50="",0,AF50)),5))</f>
        <v/>
      </c>
      <c r="AR50" s="3" t="inlineStr">
        <is>
          <t>kgCO2e/component</t>
        </is>
      </c>
      <c r="AS50" s="5" t="n"/>
      <c r="AT50" s="9">
        <f>IF(AND($A50&lt;&gt;"",G50=""),"Supplier code empty (High);","")&amp;IF(AND(U50&lt;&gt;"",OR(U50&gt;1,U50&lt;0)),"Incorrect PDS value (High);",IF(AND(U50&lt;&gt;"",U50&gt;0.5),"High PDS value (Medium);",""))&amp;IF(AND(V50&lt;&gt;"",OR(V50&gt;5,V50&lt;1)),"Incorrect DQR value (High);","")&amp;IF(AND(S50&lt;&gt;"",OR(S50&lt;=0,S50&gt;100)),"Unusual PCF value might be wrong (High);","")&amp;IF(AND(AL50&lt;&gt;"",OR(AL50&gt;1,AL50&lt;0)),"Incorrect PDS value (High);",IF(AND(AL50&lt;&gt;"",AL50&gt;0.5),"High PDS value (Medium);",""))&amp;IF(AND(AP50&lt;&gt;"",OR(AP50&gt;5,AP50&lt;1)),"Incorrect DQR value (High);","")&amp;IF(AND($A50&lt;&gt;"",AF50&gt;1),"Incorrect scrap rate (High);",IF(AND($A50&lt;&gt;"",AF50=0),"No scrap rate (No impact);",""))&amp;IF(AND($A50&lt;&gt;"",I50="",J50="",K50=""),"No raw material available (High);","")&amp;""</f>
        <v/>
      </c>
      <c r="AU50" s="9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4" t="n"/>
      <c r="M51" s="4" t="n"/>
      <c r="N51" s="3" t="inlineStr">
        <is>
          <t>kg</t>
        </is>
      </c>
      <c r="O51" s="4" t="n"/>
      <c r="P51" s="3" t="inlineStr">
        <is>
          <t>kg</t>
        </is>
      </c>
      <c r="Q51" s="3" t="n"/>
      <c r="R51" s="5" t="n"/>
      <c r="S51" s="6" t="n"/>
      <c r="T51" s="3" t="inlineStr">
        <is>
          <t>kgCO2e/component</t>
        </is>
      </c>
      <c r="U51" s="7" t="n"/>
      <c r="V51" s="4" t="n"/>
      <c r="W51" s="8" t="n"/>
      <c r="X51" s="3" t="inlineStr">
        <is>
          <t>Supplier</t>
        </is>
      </c>
      <c r="Y51" s="3" t="inlineStr">
        <is>
          <t>No</t>
        </is>
      </c>
      <c r="Z51" s="5" t="n"/>
      <c r="AA51" s="3" t="n"/>
      <c r="AB51" s="3" t="n"/>
      <c r="AC51" s="6" t="n"/>
      <c r="AD51" s="3" t="inlineStr">
        <is>
          <t>kgCO2e/component</t>
        </is>
      </c>
      <c r="AE51" s="3" t="n"/>
      <c r="AF51" s="7" t="n"/>
      <c r="AG51" s="3" t="n"/>
      <c r="AH51" s="3" t="n"/>
      <c r="AI51" s="6" t="n"/>
      <c r="AJ51" s="3" t="inlineStr">
        <is>
          <t>kgCO2e/component</t>
        </is>
      </c>
      <c r="AK51" s="3" t="n"/>
      <c r="AL51" s="7" t="n">
        <v>0</v>
      </c>
      <c r="AM51" s="3" t="n"/>
      <c r="AN51" s="3" t="n"/>
      <c r="AO51" s="3" t="n"/>
      <c r="AP51" s="4">
        <f>IF(COUNT(AM51,AN51,AO51)=0,"",ROUND(AVERAGE(AM51,AN51,AO51),3))</f>
        <v/>
      </c>
      <c r="AQ51" s="3">
        <f>IF(AC51="","",ROUND(AC51*IF(M51="",0,M51)*(1+IF(AF51="",0,AF51)),5))</f>
        <v/>
      </c>
      <c r="AR51" s="3" t="inlineStr">
        <is>
          <t>kgCO2e/component</t>
        </is>
      </c>
      <c r="AS51" s="5" t="n"/>
      <c r="AT51" s="9">
        <f>IF(AND($A51&lt;&gt;"",G51=""),"Supplier code empty (High);","")&amp;IF(AND(U51&lt;&gt;"",OR(U51&gt;1,U51&lt;0)),"Incorrect PDS value (High);",IF(AND(U51&lt;&gt;"",U51&gt;0.5),"High PDS value (Medium);",""))&amp;IF(AND(V51&lt;&gt;"",OR(V51&gt;5,V51&lt;1)),"Incorrect DQR value (High);","")&amp;IF(AND(S51&lt;&gt;"",OR(S51&lt;=0,S51&gt;100)),"Unusual PCF value might be wrong (High);","")&amp;IF(AND(AL51&lt;&gt;"",OR(AL51&gt;1,AL51&lt;0)),"Incorrect PDS value (High);",IF(AND(AL51&lt;&gt;"",AL51&gt;0.5),"High PDS value (Medium);",""))&amp;IF(AND(AP51&lt;&gt;"",OR(AP51&gt;5,AP51&lt;1)),"Incorrect DQR value (High);","")&amp;IF(AND($A51&lt;&gt;"",AF51&gt;1),"Incorrect scrap rate (High);",IF(AND($A51&lt;&gt;"",AF51=0),"No scrap rate (No impact);",""))&amp;IF(AND($A51&lt;&gt;"",I51="",J51="",K51=""),"No raw material available (High);","")&amp;""</f>
        <v/>
      </c>
      <c r="AU51" s="9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4" t="n"/>
      <c r="M52" s="4" t="n"/>
      <c r="N52" s="3" t="inlineStr">
        <is>
          <t>kg</t>
        </is>
      </c>
      <c r="O52" s="4" t="n"/>
      <c r="P52" s="3" t="inlineStr">
        <is>
          <t>kg</t>
        </is>
      </c>
      <c r="Q52" s="3" t="n"/>
      <c r="R52" s="5" t="n"/>
      <c r="S52" s="6" t="n"/>
      <c r="T52" s="3" t="inlineStr">
        <is>
          <t>kgCO2e/component</t>
        </is>
      </c>
      <c r="U52" s="7" t="n"/>
      <c r="V52" s="4" t="n"/>
      <c r="W52" s="8" t="n"/>
      <c r="X52" s="3" t="inlineStr">
        <is>
          <t>Supplier</t>
        </is>
      </c>
      <c r="Y52" s="3" t="inlineStr">
        <is>
          <t>No</t>
        </is>
      </c>
      <c r="Z52" s="5" t="n"/>
      <c r="AA52" s="3" t="n"/>
      <c r="AB52" s="3" t="n"/>
      <c r="AC52" s="6" t="n"/>
      <c r="AD52" s="3" t="inlineStr">
        <is>
          <t>kgCO2e/component</t>
        </is>
      </c>
      <c r="AE52" s="3" t="n"/>
      <c r="AF52" s="7" t="n"/>
      <c r="AG52" s="3" t="n"/>
      <c r="AH52" s="3" t="n"/>
      <c r="AI52" s="6" t="n"/>
      <c r="AJ52" s="3" t="inlineStr">
        <is>
          <t>kgCO2e/component</t>
        </is>
      </c>
      <c r="AK52" s="3" t="n"/>
      <c r="AL52" s="7" t="n">
        <v>0</v>
      </c>
      <c r="AM52" s="3" t="n"/>
      <c r="AN52" s="3" t="n"/>
      <c r="AO52" s="3" t="n"/>
      <c r="AP52" s="4">
        <f>IF(COUNT(AM52,AN52,AO52)=0,"",ROUND(AVERAGE(AM52,AN52,AO52),3))</f>
        <v/>
      </c>
      <c r="AQ52" s="3">
        <f>IF(AC52="","",ROUND(AC52*IF(M52="",0,M52)*(1+IF(AF52="",0,AF52)),5))</f>
        <v/>
      </c>
      <c r="AR52" s="3" t="inlineStr">
        <is>
          <t>kgCO2e/component</t>
        </is>
      </c>
      <c r="AS52" s="5" t="n"/>
      <c r="AT52" s="9">
        <f>IF(AND($A52&lt;&gt;"",G52=""),"Supplier code empty (High);","")&amp;IF(AND(U52&lt;&gt;"",OR(U52&gt;1,U52&lt;0)),"Incorrect PDS value (High);",IF(AND(U52&lt;&gt;"",U52&gt;0.5),"High PDS value (Medium);",""))&amp;IF(AND(V52&lt;&gt;"",OR(V52&gt;5,V52&lt;1)),"Incorrect DQR value (High);","")&amp;IF(AND(S52&lt;&gt;"",OR(S52&lt;=0,S52&gt;100)),"Unusual PCF value might be wrong (High);","")&amp;IF(AND(AL52&lt;&gt;"",OR(AL52&gt;1,AL52&lt;0)),"Incorrect PDS value (High);",IF(AND(AL52&lt;&gt;"",AL52&gt;0.5),"High PDS value (Medium);",""))&amp;IF(AND(AP52&lt;&gt;"",OR(AP52&gt;5,AP52&lt;1)),"Incorrect DQR value (High);","")&amp;IF(AND($A52&lt;&gt;"",AF52&gt;1),"Incorrect scrap rate (High);",IF(AND($A52&lt;&gt;"",AF52=0),"No scrap rate (No impact);",""))&amp;IF(AND($A52&lt;&gt;"",I52="",J52="",K52=""),"No raw material available (High);","")&amp;""</f>
        <v/>
      </c>
      <c r="AU52" s="9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4" t="n"/>
      <c r="M53" s="4" t="n"/>
      <c r="N53" s="3" t="inlineStr">
        <is>
          <t>kg</t>
        </is>
      </c>
      <c r="O53" s="4" t="n"/>
      <c r="P53" s="3" t="inlineStr">
        <is>
          <t>kg</t>
        </is>
      </c>
      <c r="Q53" s="3" t="n"/>
      <c r="R53" s="5" t="n"/>
      <c r="S53" s="6" t="n"/>
      <c r="T53" s="3" t="inlineStr">
        <is>
          <t>kgCO2e/component</t>
        </is>
      </c>
      <c r="U53" s="7" t="n"/>
      <c r="V53" s="4" t="n"/>
      <c r="W53" s="8" t="n"/>
      <c r="X53" s="3" t="inlineStr">
        <is>
          <t>Supplier</t>
        </is>
      </c>
      <c r="Y53" s="3" t="inlineStr">
        <is>
          <t>No</t>
        </is>
      </c>
      <c r="Z53" s="5" t="n"/>
      <c r="AA53" s="3" t="n"/>
      <c r="AB53" s="3" t="n"/>
      <c r="AC53" s="6" t="n"/>
      <c r="AD53" s="3" t="inlineStr">
        <is>
          <t>kgCO2e/component</t>
        </is>
      </c>
      <c r="AE53" s="3" t="n"/>
      <c r="AF53" s="7" t="n"/>
      <c r="AG53" s="3" t="n"/>
      <c r="AH53" s="3" t="n"/>
      <c r="AI53" s="6" t="n"/>
      <c r="AJ53" s="3" t="inlineStr">
        <is>
          <t>kgCO2e/component</t>
        </is>
      </c>
      <c r="AK53" s="3" t="n"/>
      <c r="AL53" s="7" t="n">
        <v>0</v>
      </c>
      <c r="AM53" s="3" t="n"/>
      <c r="AN53" s="3" t="n"/>
      <c r="AO53" s="3" t="n"/>
      <c r="AP53" s="4">
        <f>IF(COUNT(AM53,AN53,AO53)=0,"",ROUND(AVERAGE(AM53,AN53,AO53),3))</f>
        <v/>
      </c>
      <c r="AQ53" s="3">
        <f>IF(AC53="","",ROUND(AC53*IF(M53="",0,M53)*(1+IF(AF53="",0,AF53)),5))</f>
        <v/>
      </c>
      <c r="AR53" s="3" t="inlineStr">
        <is>
          <t>kgCO2e/component</t>
        </is>
      </c>
      <c r="AS53" s="5" t="n"/>
      <c r="AT53" s="9">
        <f>IF(AND($A53&lt;&gt;"",G53=""),"Supplier code empty (High);","")&amp;IF(AND(U53&lt;&gt;"",OR(U53&gt;1,U53&lt;0)),"Incorrect PDS value (High);",IF(AND(U53&lt;&gt;"",U53&gt;0.5),"High PDS value (Medium);",""))&amp;IF(AND(V53&lt;&gt;"",OR(V53&gt;5,V53&lt;1)),"Incorrect DQR value (High);","")&amp;IF(AND(S53&lt;&gt;"",OR(S53&lt;=0,S53&gt;100)),"Unusual PCF value might be wrong (High);","")&amp;IF(AND(AL53&lt;&gt;"",OR(AL53&gt;1,AL53&lt;0)),"Incorrect PDS value (High);",IF(AND(AL53&lt;&gt;"",AL53&gt;0.5),"High PDS value (Medium);",""))&amp;IF(AND(AP53&lt;&gt;"",OR(AP53&gt;5,AP53&lt;1)),"Incorrect DQR value (High);","")&amp;IF(AND($A53&lt;&gt;"",AF53&gt;1),"Incorrect scrap rate (High);",IF(AND($A53&lt;&gt;"",AF53=0),"No scrap rate (No impact);",""))&amp;IF(AND($A53&lt;&gt;"",I53="",J53="",K53=""),"No raw material available (High);","")&amp;""</f>
        <v/>
      </c>
      <c r="AU53" s="9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4" t="n"/>
      <c r="M54" s="4" t="n"/>
      <c r="N54" s="3" t="inlineStr">
        <is>
          <t>kg</t>
        </is>
      </c>
      <c r="O54" s="4" t="n"/>
      <c r="P54" s="3" t="inlineStr">
        <is>
          <t>kg</t>
        </is>
      </c>
      <c r="Q54" s="3" t="n"/>
      <c r="R54" s="5" t="n"/>
      <c r="S54" s="6" t="n"/>
      <c r="T54" s="3" t="inlineStr">
        <is>
          <t>kgCO2e/component</t>
        </is>
      </c>
      <c r="U54" s="7" t="n"/>
      <c r="V54" s="4" t="n"/>
      <c r="W54" s="8" t="n"/>
      <c r="X54" s="3" t="inlineStr">
        <is>
          <t>Supplier</t>
        </is>
      </c>
      <c r="Y54" s="3" t="inlineStr">
        <is>
          <t>No</t>
        </is>
      </c>
      <c r="Z54" s="5" t="n"/>
      <c r="AA54" s="3" t="n"/>
      <c r="AB54" s="3" t="n"/>
      <c r="AC54" s="6" t="n"/>
      <c r="AD54" s="3" t="inlineStr">
        <is>
          <t>kgCO2e/component</t>
        </is>
      </c>
      <c r="AE54" s="3" t="n"/>
      <c r="AF54" s="7" t="n"/>
      <c r="AG54" s="3" t="n"/>
      <c r="AH54" s="3" t="n"/>
      <c r="AI54" s="6" t="n"/>
      <c r="AJ54" s="3" t="inlineStr">
        <is>
          <t>kgCO2e/component</t>
        </is>
      </c>
      <c r="AK54" s="3" t="n"/>
      <c r="AL54" s="7" t="n">
        <v>0</v>
      </c>
      <c r="AM54" s="3" t="n"/>
      <c r="AN54" s="3" t="n"/>
      <c r="AO54" s="3" t="n"/>
      <c r="AP54" s="4">
        <f>IF(COUNT(AM54,AN54,AO54)=0,"",ROUND(AVERAGE(AM54,AN54,AO54),3))</f>
        <v/>
      </c>
      <c r="AQ54" s="3">
        <f>IF(AC54="","",ROUND(AC54*IF(M54="",0,M54)*(1+IF(AF54="",0,AF54)),5))</f>
        <v/>
      </c>
      <c r="AR54" s="3" t="inlineStr">
        <is>
          <t>kgCO2e/component</t>
        </is>
      </c>
      <c r="AS54" s="5" t="n"/>
      <c r="AT54" s="9">
        <f>IF(AND($A54&lt;&gt;"",G54=""),"Supplier code empty (High);","")&amp;IF(AND(U54&lt;&gt;"",OR(U54&gt;1,U54&lt;0)),"Incorrect PDS value (High);",IF(AND(U54&lt;&gt;"",U54&gt;0.5),"High PDS value (Medium);",""))&amp;IF(AND(V54&lt;&gt;"",OR(V54&gt;5,V54&lt;1)),"Incorrect DQR value (High);","")&amp;IF(AND(S54&lt;&gt;"",OR(S54&lt;=0,S54&gt;100)),"Unusual PCF value might be wrong (High);","")&amp;IF(AND(AL54&lt;&gt;"",OR(AL54&gt;1,AL54&lt;0)),"Incorrect PDS value (High);",IF(AND(AL54&lt;&gt;"",AL54&gt;0.5),"High PDS value (Medium);",""))&amp;IF(AND(AP54&lt;&gt;"",OR(AP54&gt;5,AP54&lt;1)),"Incorrect DQR value (High);","")&amp;IF(AND($A54&lt;&gt;"",AF54&gt;1),"Incorrect scrap rate (High);",IF(AND($A54&lt;&gt;"",AF54=0),"No scrap rate (No impact);",""))&amp;IF(AND($A54&lt;&gt;"",I54="",J54="",K54=""),"No raw material available (High);","")&amp;""</f>
        <v/>
      </c>
      <c r="AU54" s="9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4" t="n"/>
      <c r="M55" s="4" t="n"/>
      <c r="N55" s="3" t="inlineStr">
        <is>
          <t>kg</t>
        </is>
      </c>
      <c r="O55" s="4" t="n"/>
      <c r="P55" s="3" t="inlineStr">
        <is>
          <t>kg</t>
        </is>
      </c>
      <c r="Q55" s="3" t="n"/>
      <c r="R55" s="5" t="n"/>
      <c r="S55" s="6" t="n"/>
      <c r="T55" s="3" t="inlineStr">
        <is>
          <t>kgCO2e/component</t>
        </is>
      </c>
      <c r="U55" s="7" t="n"/>
      <c r="V55" s="4" t="n"/>
      <c r="W55" s="8" t="n"/>
      <c r="X55" s="3" t="inlineStr">
        <is>
          <t>Supplier</t>
        </is>
      </c>
      <c r="Y55" s="3" t="inlineStr">
        <is>
          <t>No</t>
        </is>
      </c>
      <c r="Z55" s="5" t="n"/>
      <c r="AA55" s="3" t="n"/>
      <c r="AB55" s="3" t="n"/>
      <c r="AC55" s="6" t="n"/>
      <c r="AD55" s="3" t="inlineStr">
        <is>
          <t>kgCO2e/component</t>
        </is>
      </c>
      <c r="AE55" s="3" t="n"/>
      <c r="AF55" s="7" t="n"/>
      <c r="AG55" s="3" t="n"/>
      <c r="AH55" s="3" t="n"/>
      <c r="AI55" s="6" t="n"/>
      <c r="AJ55" s="3" t="inlineStr">
        <is>
          <t>kgCO2e/component</t>
        </is>
      </c>
      <c r="AK55" s="3" t="n"/>
      <c r="AL55" s="7" t="n">
        <v>0</v>
      </c>
      <c r="AM55" s="3" t="n"/>
      <c r="AN55" s="3" t="n"/>
      <c r="AO55" s="3" t="n"/>
      <c r="AP55" s="4">
        <f>IF(COUNT(AM55,AN55,AO55)=0,"",ROUND(AVERAGE(AM55,AN55,AO55),3))</f>
        <v/>
      </c>
      <c r="AQ55" s="3">
        <f>IF(AC55="","",ROUND(AC55*IF(M55="",0,M55)*(1+IF(AF55="",0,AF55)),5))</f>
        <v/>
      </c>
      <c r="AR55" s="3" t="inlineStr">
        <is>
          <t>kgCO2e/component</t>
        </is>
      </c>
      <c r="AS55" s="5" t="n"/>
      <c r="AT55" s="9">
        <f>IF(AND($A55&lt;&gt;"",G55=""),"Supplier code empty (High);","")&amp;IF(AND(U55&lt;&gt;"",OR(U55&gt;1,U55&lt;0)),"Incorrect PDS value (High);",IF(AND(U55&lt;&gt;"",U55&gt;0.5),"High PDS value (Medium);",""))&amp;IF(AND(V55&lt;&gt;"",OR(V55&gt;5,V55&lt;1)),"Incorrect DQR value (High);","")&amp;IF(AND(S55&lt;&gt;"",OR(S55&lt;=0,S55&gt;100)),"Unusual PCF value might be wrong (High);","")&amp;IF(AND(AL55&lt;&gt;"",OR(AL55&gt;1,AL55&lt;0)),"Incorrect PDS value (High);",IF(AND(AL55&lt;&gt;"",AL55&gt;0.5),"High PDS value (Medium);",""))&amp;IF(AND(AP55&lt;&gt;"",OR(AP55&gt;5,AP55&lt;1)),"Incorrect DQR value (High);","")&amp;IF(AND($A55&lt;&gt;"",AF55&gt;1),"Incorrect scrap rate (High);",IF(AND($A55&lt;&gt;"",AF55=0),"No scrap rate (No impact);",""))&amp;IF(AND($A55&lt;&gt;"",I55="",J55="",K55=""),"No raw material available (High);","")&amp;""</f>
        <v/>
      </c>
      <c r="AU55" s="9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4" t="n"/>
      <c r="M56" s="4" t="n"/>
      <c r="N56" s="3" t="inlineStr">
        <is>
          <t>kg</t>
        </is>
      </c>
      <c r="O56" s="4" t="n"/>
      <c r="P56" s="3" t="inlineStr">
        <is>
          <t>kg</t>
        </is>
      </c>
      <c r="Q56" s="3" t="n"/>
      <c r="R56" s="5" t="n"/>
      <c r="S56" s="6" t="n"/>
      <c r="T56" s="3" t="inlineStr">
        <is>
          <t>kgCO2e/component</t>
        </is>
      </c>
      <c r="U56" s="7" t="n"/>
      <c r="V56" s="4" t="n"/>
      <c r="W56" s="8" t="n"/>
      <c r="X56" s="3" t="inlineStr">
        <is>
          <t>Supplier</t>
        </is>
      </c>
      <c r="Y56" s="3" t="inlineStr">
        <is>
          <t>No</t>
        </is>
      </c>
      <c r="Z56" s="5" t="n"/>
      <c r="AA56" s="3" t="n"/>
      <c r="AB56" s="3" t="n"/>
      <c r="AC56" s="6" t="n"/>
      <c r="AD56" s="3" t="inlineStr">
        <is>
          <t>kgCO2e/component</t>
        </is>
      </c>
      <c r="AE56" s="3" t="n"/>
      <c r="AF56" s="7" t="n"/>
      <c r="AG56" s="3" t="n"/>
      <c r="AH56" s="3" t="n"/>
      <c r="AI56" s="6" t="n"/>
      <c r="AJ56" s="3" t="inlineStr">
        <is>
          <t>kgCO2e/component</t>
        </is>
      </c>
      <c r="AK56" s="3" t="n"/>
      <c r="AL56" s="7" t="n">
        <v>0</v>
      </c>
      <c r="AM56" s="3" t="n"/>
      <c r="AN56" s="3" t="n"/>
      <c r="AO56" s="3" t="n"/>
      <c r="AP56" s="4">
        <f>IF(COUNT(AM56,AN56,AO56)=0,"",ROUND(AVERAGE(AM56,AN56,AO56),3))</f>
        <v/>
      </c>
      <c r="AQ56" s="3">
        <f>IF(AC56="","",ROUND(AC56*IF(M56="",0,M56)*(1+IF(AF56="",0,AF56)),5))</f>
        <v/>
      </c>
      <c r="AR56" s="3" t="inlineStr">
        <is>
          <t>kgCO2e/component</t>
        </is>
      </c>
      <c r="AS56" s="5" t="n"/>
      <c r="AT56" s="9">
        <f>IF(AND($A56&lt;&gt;"",G56=""),"Supplier code empty (High);","")&amp;IF(AND(U56&lt;&gt;"",OR(U56&gt;1,U56&lt;0)),"Incorrect PDS value (High);",IF(AND(U56&lt;&gt;"",U56&gt;0.5),"High PDS value (Medium);",""))&amp;IF(AND(V56&lt;&gt;"",OR(V56&gt;5,V56&lt;1)),"Incorrect DQR value (High);","")&amp;IF(AND(S56&lt;&gt;"",OR(S56&lt;=0,S56&gt;100)),"Unusual PCF value might be wrong (High);","")&amp;IF(AND(AL56&lt;&gt;"",OR(AL56&gt;1,AL56&lt;0)),"Incorrect PDS value (High);",IF(AND(AL56&lt;&gt;"",AL56&gt;0.5),"High PDS value (Medium);",""))&amp;IF(AND(AP56&lt;&gt;"",OR(AP56&gt;5,AP56&lt;1)),"Incorrect DQR value (High);","")&amp;IF(AND($A56&lt;&gt;"",AF56&gt;1),"Incorrect scrap rate (High);",IF(AND($A56&lt;&gt;"",AF56=0),"No scrap rate (No impact);",""))&amp;IF(AND($A56&lt;&gt;"",I56="",J56="",K56=""),"No raw material available (High);","")&amp;""</f>
        <v/>
      </c>
      <c r="AU56" s="9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4" t="n"/>
      <c r="M57" s="4" t="n"/>
      <c r="N57" s="3" t="inlineStr">
        <is>
          <t>kg</t>
        </is>
      </c>
      <c r="O57" s="4" t="n"/>
      <c r="P57" s="3" t="inlineStr">
        <is>
          <t>kg</t>
        </is>
      </c>
      <c r="Q57" s="3" t="n"/>
      <c r="R57" s="5" t="n"/>
      <c r="S57" s="6" t="n"/>
      <c r="T57" s="3" t="inlineStr">
        <is>
          <t>kgCO2e/component</t>
        </is>
      </c>
      <c r="U57" s="7" t="n"/>
      <c r="V57" s="4" t="n"/>
      <c r="W57" s="8" t="n"/>
      <c r="X57" s="3" t="inlineStr">
        <is>
          <t>Supplier</t>
        </is>
      </c>
      <c r="Y57" s="3" t="inlineStr">
        <is>
          <t>No</t>
        </is>
      </c>
      <c r="Z57" s="5" t="n"/>
      <c r="AA57" s="3" t="n"/>
      <c r="AB57" s="3" t="n"/>
      <c r="AC57" s="6" t="n"/>
      <c r="AD57" s="3" t="inlineStr">
        <is>
          <t>kgCO2e/component</t>
        </is>
      </c>
      <c r="AE57" s="3" t="n"/>
      <c r="AF57" s="7" t="n"/>
      <c r="AG57" s="3" t="n"/>
      <c r="AH57" s="3" t="n"/>
      <c r="AI57" s="6" t="n"/>
      <c r="AJ57" s="3" t="inlineStr">
        <is>
          <t>kgCO2e/component</t>
        </is>
      </c>
      <c r="AK57" s="3" t="n"/>
      <c r="AL57" s="7" t="n">
        <v>0</v>
      </c>
      <c r="AM57" s="3" t="n"/>
      <c r="AN57" s="3" t="n"/>
      <c r="AO57" s="3" t="n"/>
      <c r="AP57" s="4">
        <f>IF(COUNT(AM57,AN57,AO57)=0,"",ROUND(AVERAGE(AM57,AN57,AO57),3))</f>
        <v/>
      </c>
      <c r="AQ57" s="3">
        <f>IF(AC57="","",ROUND(AC57*IF(M57="",0,M57)*(1+IF(AF57="",0,AF57)),5))</f>
        <v/>
      </c>
      <c r="AR57" s="3" t="inlineStr">
        <is>
          <t>kgCO2e/component</t>
        </is>
      </c>
      <c r="AS57" s="5" t="n"/>
      <c r="AT57" s="9">
        <f>IF(AND($A57&lt;&gt;"",G57=""),"Supplier code empty (High);","")&amp;IF(AND(U57&lt;&gt;"",OR(U57&gt;1,U57&lt;0)),"Incorrect PDS value (High);",IF(AND(U57&lt;&gt;"",U57&gt;0.5),"High PDS value (Medium);",""))&amp;IF(AND(V57&lt;&gt;"",OR(V57&gt;5,V57&lt;1)),"Incorrect DQR value (High);","")&amp;IF(AND(S57&lt;&gt;"",OR(S57&lt;=0,S57&gt;100)),"Unusual PCF value might be wrong (High);","")&amp;IF(AND(AL57&lt;&gt;"",OR(AL57&gt;1,AL57&lt;0)),"Incorrect PDS value (High);",IF(AND(AL57&lt;&gt;"",AL57&gt;0.5),"High PDS value (Medium);",""))&amp;IF(AND(AP57&lt;&gt;"",OR(AP57&gt;5,AP57&lt;1)),"Incorrect DQR value (High);","")&amp;IF(AND($A57&lt;&gt;"",AF57&gt;1),"Incorrect scrap rate (High);",IF(AND($A57&lt;&gt;"",AF57=0),"No scrap rate (No impact);",""))&amp;IF(AND($A57&lt;&gt;"",I57="",J57="",K57=""),"No raw material available (High);","")&amp;""</f>
        <v/>
      </c>
      <c r="AU57" s="9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4" t="n"/>
      <c r="M58" s="4" t="n"/>
      <c r="N58" s="3" t="inlineStr">
        <is>
          <t>kg</t>
        </is>
      </c>
      <c r="O58" s="4" t="n"/>
      <c r="P58" s="3" t="inlineStr">
        <is>
          <t>kg</t>
        </is>
      </c>
      <c r="Q58" s="3" t="n"/>
      <c r="R58" s="5" t="n"/>
      <c r="S58" s="6" t="n"/>
      <c r="T58" s="3" t="inlineStr">
        <is>
          <t>kgCO2e/component</t>
        </is>
      </c>
      <c r="U58" s="7" t="n"/>
      <c r="V58" s="4" t="n"/>
      <c r="W58" s="8" t="n"/>
      <c r="X58" s="3" t="inlineStr">
        <is>
          <t>Supplier</t>
        </is>
      </c>
      <c r="Y58" s="3" t="inlineStr">
        <is>
          <t>No</t>
        </is>
      </c>
      <c r="Z58" s="5" t="n"/>
      <c r="AA58" s="3" t="n"/>
      <c r="AB58" s="3" t="n"/>
      <c r="AC58" s="6" t="n"/>
      <c r="AD58" s="3" t="inlineStr">
        <is>
          <t>kgCO2e/component</t>
        </is>
      </c>
      <c r="AE58" s="3" t="n"/>
      <c r="AF58" s="7" t="n"/>
      <c r="AG58" s="3" t="n"/>
      <c r="AH58" s="3" t="n"/>
      <c r="AI58" s="6" t="n"/>
      <c r="AJ58" s="3" t="inlineStr">
        <is>
          <t>kgCO2e/component</t>
        </is>
      </c>
      <c r="AK58" s="3" t="n"/>
      <c r="AL58" s="7" t="n">
        <v>0</v>
      </c>
      <c r="AM58" s="3" t="n"/>
      <c r="AN58" s="3" t="n"/>
      <c r="AO58" s="3" t="n"/>
      <c r="AP58" s="4">
        <f>IF(COUNT(AM58,AN58,AO58)=0,"",ROUND(AVERAGE(AM58,AN58,AO58),3))</f>
        <v/>
      </c>
      <c r="AQ58" s="3">
        <f>IF(AC58="","",ROUND(AC58*IF(M58="",0,M58)*(1+IF(AF58="",0,AF58)),5))</f>
        <v/>
      </c>
      <c r="AR58" s="3" t="inlineStr">
        <is>
          <t>kgCO2e/component</t>
        </is>
      </c>
      <c r="AS58" s="5" t="n"/>
      <c r="AT58" s="9">
        <f>IF(AND($A58&lt;&gt;"",G58=""),"Supplier code empty (High);","")&amp;IF(AND(U58&lt;&gt;"",OR(U58&gt;1,U58&lt;0)),"Incorrect PDS value (High);",IF(AND(U58&lt;&gt;"",U58&gt;0.5),"High PDS value (Medium);",""))&amp;IF(AND(V58&lt;&gt;"",OR(V58&gt;5,V58&lt;1)),"Incorrect DQR value (High);","")&amp;IF(AND(S58&lt;&gt;"",OR(S58&lt;=0,S58&gt;100)),"Unusual PCF value might be wrong (High);","")&amp;IF(AND(AL58&lt;&gt;"",OR(AL58&gt;1,AL58&lt;0)),"Incorrect PDS value (High);",IF(AND(AL58&lt;&gt;"",AL58&gt;0.5),"High PDS value (Medium);",""))&amp;IF(AND(AP58&lt;&gt;"",OR(AP58&gt;5,AP58&lt;1)),"Incorrect DQR value (High);","")&amp;IF(AND($A58&lt;&gt;"",AF58&gt;1),"Incorrect scrap rate (High);",IF(AND($A58&lt;&gt;"",AF58=0),"No scrap rate (No impact);",""))&amp;IF(AND($A58&lt;&gt;"",I58="",J58="",K58=""),"No raw material available (High);","")&amp;""</f>
        <v/>
      </c>
      <c r="AU58" s="9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4" t="n"/>
      <c r="M59" s="4" t="n"/>
      <c r="N59" s="3" t="inlineStr">
        <is>
          <t>kg</t>
        </is>
      </c>
      <c r="O59" s="4" t="n"/>
      <c r="P59" s="3" t="inlineStr">
        <is>
          <t>kg</t>
        </is>
      </c>
      <c r="Q59" s="3" t="n"/>
      <c r="R59" s="5" t="n"/>
      <c r="S59" s="6" t="n"/>
      <c r="T59" s="3" t="inlineStr">
        <is>
          <t>kgCO2e/component</t>
        </is>
      </c>
      <c r="U59" s="7" t="n"/>
      <c r="V59" s="4" t="n"/>
      <c r="W59" s="8" t="n"/>
      <c r="X59" s="3" t="inlineStr">
        <is>
          <t>Supplier</t>
        </is>
      </c>
      <c r="Y59" s="3" t="inlineStr">
        <is>
          <t>No</t>
        </is>
      </c>
      <c r="Z59" s="5" t="n"/>
      <c r="AA59" s="3" t="n"/>
      <c r="AB59" s="3" t="n"/>
      <c r="AC59" s="6" t="n"/>
      <c r="AD59" s="3" t="inlineStr">
        <is>
          <t>kgCO2e/component</t>
        </is>
      </c>
      <c r="AE59" s="3" t="n"/>
      <c r="AF59" s="7" t="n"/>
      <c r="AG59" s="3" t="n"/>
      <c r="AH59" s="3" t="n"/>
      <c r="AI59" s="6" t="n"/>
      <c r="AJ59" s="3" t="inlineStr">
        <is>
          <t>kgCO2e/component</t>
        </is>
      </c>
      <c r="AK59" s="3" t="n"/>
      <c r="AL59" s="7" t="n">
        <v>0</v>
      </c>
      <c r="AM59" s="3" t="n"/>
      <c r="AN59" s="3" t="n"/>
      <c r="AO59" s="3" t="n"/>
      <c r="AP59" s="4">
        <f>IF(COUNT(AM59,AN59,AO59)=0,"",ROUND(AVERAGE(AM59,AN59,AO59),3))</f>
        <v/>
      </c>
      <c r="AQ59" s="3">
        <f>IF(AC59="","",ROUND(AC59*IF(M59="",0,M59)*(1+IF(AF59="",0,AF59)),5))</f>
        <v/>
      </c>
      <c r="AR59" s="3" t="inlineStr">
        <is>
          <t>kgCO2e/component</t>
        </is>
      </c>
      <c r="AS59" s="5" t="n"/>
      <c r="AT59" s="9">
        <f>IF(AND($A59&lt;&gt;"",G59=""),"Supplier code empty (High);","")&amp;IF(AND(U59&lt;&gt;"",OR(U59&gt;1,U59&lt;0)),"Incorrect PDS value (High);",IF(AND(U59&lt;&gt;"",U59&gt;0.5),"High PDS value (Medium);",""))&amp;IF(AND(V59&lt;&gt;"",OR(V59&gt;5,V59&lt;1)),"Incorrect DQR value (High);","")&amp;IF(AND(S59&lt;&gt;"",OR(S59&lt;=0,S59&gt;100)),"Unusual PCF value might be wrong (High);","")&amp;IF(AND(AL59&lt;&gt;"",OR(AL59&gt;1,AL59&lt;0)),"Incorrect PDS value (High);",IF(AND(AL59&lt;&gt;"",AL59&gt;0.5),"High PDS value (Medium);",""))&amp;IF(AND(AP59&lt;&gt;"",OR(AP59&gt;5,AP59&lt;1)),"Incorrect DQR value (High);","")&amp;IF(AND($A59&lt;&gt;"",AF59&gt;1),"Incorrect scrap rate (High);",IF(AND($A59&lt;&gt;"",AF59=0),"No scrap rate (No impact);",""))&amp;IF(AND($A59&lt;&gt;"",I59="",J59="",K59=""),"No raw material available (High);","")&amp;""</f>
        <v/>
      </c>
      <c r="AU59" s="9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4" t="n"/>
      <c r="M60" s="4" t="n"/>
      <c r="N60" s="3" t="inlineStr">
        <is>
          <t>kg</t>
        </is>
      </c>
      <c r="O60" s="4" t="n"/>
      <c r="P60" s="3" t="inlineStr">
        <is>
          <t>kg</t>
        </is>
      </c>
      <c r="Q60" s="3" t="n"/>
      <c r="R60" s="5" t="n"/>
      <c r="S60" s="6" t="n"/>
      <c r="T60" s="3" t="inlineStr">
        <is>
          <t>kgCO2e/component</t>
        </is>
      </c>
      <c r="U60" s="7" t="n"/>
      <c r="V60" s="4" t="n"/>
      <c r="W60" s="8" t="n"/>
      <c r="X60" s="3" t="inlineStr">
        <is>
          <t>Supplier</t>
        </is>
      </c>
      <c r="Y60" s="3" t="inlineStr">
        <is>
          <t>No</t>
        </is>
      </c>
      <c r="Z60" s="5" t="n"/>
      <c r="AA60" s="3" t="n"/>
      <c r="AB60" s="3" t="n"/>
      <c r="AC60" s="6" t="n"/>
      <c r="AD60" s="3" t="inlineStr">
        <is>
          <t>kgCO2e/component</t>
        </is>
      </c>
      <c r="AE60" s="3" t="n"/>
      <c r="AF60" s="7" t="n"/>
      <c r="AG60" s="3" t="n"/>
      <c r="AH60" s="3" t="n"/>
      <c r="AI60" s="6" t="n"/>
      <c r="AJ60" s="3" t="inlineStr">
        <is>
          <t>kgCO2e/component</t>
        </is>
      </c>
      <c r="AK60" s="3" t="n"/>
      <c r="AL60" s="7" t="n">
        <v>0</v>
      </c>
      <c r="AM60" s="3" t="n"/>
      <c r="AN60" s="3" t="n"/>
      <c r="AO60" s="3" t="n"/>
      <c r="AP60" s="4">
        <f>IF(COUNT(AM60,AN60,AO60)=0,"",ROUND(AVERAGE(AM60,AN60,AO60),3))</f>
        <v/>
      </c>
      <c r="AQ60" s="3">
        <f>IF(AC60="","",ROUND(AC60*IF(M60="",0,M60)*(1+IF(AF60="",0,AF60)),5))</f>
        <v/>
      </c>
      <c r="AR60" s="3" t="inlineStr">
        <is>
          <t>kgCO2e/component</t>
        </is>
      </c>
      <c r="AS60" s="5" t="n"/>
      <c r="AT60" s="9">
        <f>IF(AND($A60&lt;&gt;"",G60=""),"Supplier code empty (High);","")&amp;IF(AND(U60&lt;&gt;"",OR(U60&gt;1,U60&lt;0)),"Incorrect PDS value (High);",IF(AND(U60&lt;&gt;"",U60&gt;0.5),"High PDS value (Medium);",""))&amp;IF(AND(V60&lt;&gt;"",OR(V60&gt;5,V60&lt;1)),"Incorrect DQR value (High);","")&amp;IF(AND(S60&lt;&gt;"",OR(S60&lt;=0,S60&gt;100)),"Unusual PCF value might be wrong (High);","")&amp;IF(AND(AL60&lt;&gt;"",OR(AL60&gt;1,AL60&lt;0)),"Incorrect PDS value (High);",IF(AND(AL60&lt;&gt;"",AL60&gt;0.5),"High PDS value (Medium);",""))&amp;IF(AND(AP60&lt;&gt;"",OR(AP60&gt;5,AP60&lt;1)),"Incorrect DQR value (High);","")&amp;IF(AND($A60&lt;&gt;"",AF60&gt;1),"Incorrect scrap rate (High);",IF(AND($A60&lt;&gt;"",AF60=0),"No scrap rate (No impact);",""))&amp;IF(AND($A60&lt;&gt;"",I60="",J60="",K60=""),"No raw material available (High);","")&amp;""</f>
        <v/>
      </c>
      <c r="AU60" s="9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4" t="n"/>
      <c r="M61" s="4" t="n"/>
      <c r="N61" s="3" t="inlineStr">
        <is>
          <t>kg</t>
        </is>
      </c>
      <c r="O61" s="4" t="n"/>
      <c r="P61" s="3" t="inlineStr">
        <is>
          <t>kg</t>
        </is>
      </c>
      <c r="Q61" s="3" t="n"/>
      <c r="R61" s="5" t="n"/>
      <c r="S61" s="6" t="n"/>
      <c r="T61" s="3" t="inlineStr">
        <is>
          <t>kgCO2e/component</t>
        </is>
      </c>
      <c r="U61" s="7" t="n"/>
      <c r="V61" s="4" t="n"/>
      <c r="W61" s="8" t="n"/>
      <c r="X61" s="3" t="inlineStr">
        <is>
          <t>Supplier</t>
        </is>
      </c>
      <c r="Y61" s="3" t="inlineStr">
        <is>
          <t>No</t>
        </is>
      </c>
      <c r="Z61" s="5" t="n"/>
      <c r="AA61" s="3" t="n"/>
      <c r="AB61" s="3" t="n"/>
      <c r="AC61" s="6" t="n"/>
      <c r="AD61" s="3" t="inlineStr">
        <is>
          <t>kgCO2e/component</t>
        </is>
      </c>
      <c r="AE61" s="3" t="n"/>
      <c r="AF61" s="7" t="n"/>
      <c r="AG61" s="3" t="n"/>
      <c r="AH61" s="3" t="n"/>
      <c r="AI61" s="6" t="n"/>
      <c r="AJ61" s="3" t="inlineStr">
        <is>
          <t>kgCO2e/component</t>
        </is>
      </c>
      <c r="AK61" s="3" t="n"/>
      <c r="AL61" s="7" t="n">
        <v>0</v>
      </c>
      <c r="AM61" s="3" t="n"/>
      <c r="AN61" s="3" t="n"/>
      <c r="AO61" s="3" t="n"/>
      <c r="AP61" s="4">
        <f>IF(COUNT(AM61,AN61,AO61)=0,"",ROUND(AVERAGE(AM61,AN61,AO61),3))</f>
        <v/>
      </c>
      <c r="AQ61" s="3">
        <f>IF(AC61="","",ROUND(AC61*IF(M61="",0,M61)*(1+IF(AF61="",0,AF61)),5))</f>
        <v/>
      </c>
      <c r="AR61" s="3" t="inlineStr">
        <is>
          <t>kgCO2e/component</t>
        </is>
      </c>
      <c r="AS61" s="5" t="n"/>
      <c r="AT61" s="9">
        <f>IF(AND($A61&lt;&gt;"",G61=""),"Supplier code empty (High);","")&amp;IF(AND(U61&lt;&gt;"",OR(U61&gt;1,U61&lt;0)),"Incorrect PDS value (High);",IF(AND(U61&lt;&gt;"",U61&gt;0.5),"High PDS value (Medium);",""))&amp;IF(AND(V61&lt;&gt;"",OR(V61&gt;5,V61&lt;1)),"Incorrect DQR value (High);","")&amp;IF(AND(S61&lt;&gt;"",OR(S61&lt;=0,S61&gt;100)),"Unusual PCF value might be wrong (High);","")&amp;IF(AND(AL61&lt;&gt;"",OR(AL61&gt;1,AL61&lt;0)),"Incorrect PDS value (High);",IF(AND(AL61&lt;&gt;"",AL61&gt;0.5),"High PDS value (Medium);",""))&amp;IF(AND(AP61&lt;&gt;"",OR(AP61&gt;5,AP61&lt;1)),"Incorrect DQR value (High);","")&amp;IF(AND($A61&lt;&gt;"",AF61&gt;1),"Incorrect scrap rate (High);",IF(AND($A61&lt;&gt;"",AF61=0),"No scrap rate (No impact);",""))&amp;IF(AND($A61&lt;&gt;"",I61="",J61="",K61=""),"No raw material available (High);","")&amp;""</f>
        <v/>
      </c>
      <c r="AU61" s="9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4" t="n"/>
      <c r="M62" s="4" t="n"/>
      <c r="N62" s="3" t="inlineStr">
        <is>
          <t>kg</t>
        </is>
      </c>
      <c r="O62" s="4" t="n"/>
      <c r="P62" s="3" t="inlineStr">
        <is>
          <t>kg</t>
        </is>
      </c>
      <c r="Q62" s="3" t="n"/>
      <c r="R62" s="5" t="n"/>
      <c r="S62" s="6" t="n"/>
      <c r="T62" s="3" t="inlineStr">
        <is>
          <t>kgCO2e/component</t>
        </is>
      </c>
      <c r="U62" s="7" t="n"/>
      <c r="V62" s="4" t="n"/>
      <c r="W62" s="8" t="n"/>
      <c r="X62" s="3" t="inlineStr">
        <is>
          <t>Supplier</t>
        </is>
      </c>
      <c r="Y62" s="3" t="inlineStr">
        <is>
          <t>No</t>
        </is>
      </c>
      <c r="Z62" s="5" t="n"/>
      <c r="AA62" s="3" t="n"/>
      <c r="AB62" s="3" t="n"/>
      <c r="AC62" s="6" t="n"/>
      <c r="AD62" s="3" t="inlineStr">
        <is>
          <t>kgCO2e/component</t>
        </is>
      </c>
      <c r="AE62" s="3" t="n"/>
      <c r="AF62" s="7" t="n"/>
      <c r="AG62" s="3" t="n"/>
      <c r="AH62" s="3" t="n"/>
      <c r="AI62" s="6" t="n"/>
      <c r="AJ62" s="3" t="inlineStr">
        <is>
          <t>kgCO2e/component</t>
        </is>
      </c>
      <c r="AK62" s="3" t="n"/>
      <c r="AL62" s="7" t="n">
        <v>0</v>
      </c>
      <c r="AM62" s="3" t="n"/>
      <c r="AN62" s="3" t="n"/>
      <c r="AO62" s="3" t="n"/>
      <c r="AP62" s="4">
        <f>IF(COUNT(AM62,AN62,AO62)=0,"",ROUND(AVERAGE(AM62,AN62,AO62),3))</f>
        <v/>
      </c>
      <c r="AQ62" s="3">
        <f>IF(AC62="","",ROUND(AC62*IF(M62="",0,M62)*(1+IF(AF62="",0,AF62)),5))</f>
        <v/>
      </c>
      <c r="AR62" s="3" t="inlineStr">
        <is>
          <t>kgCO2e/component</t>
        </is>
      </c>
      <c r="AS62" s="5" t="n"/>
      <c r="AT62" s="9">
        <f>IF(AND($A62&lt;&gt;"",G62=""),"Supplier code empty (High);","")&amp;IF(AND(U62&lt;&gt;"",OR(U62&gt;1,U62&lt;0)),"Incorrect PDS value (High);",IF(AND(U62&lt;&gt;"",U62&gt;0.5),"High PDS value (Medium);",""))&amp;IF(AND(V62&lt;&gt;"",OR(V62&gt;5,V62&lt;1)),"Incorrect DQR value (High);","")&amp;IF(AND(S62&lt;&gt;"",OR(S62&lt;=0,S62&gt;100)),"Unusual PCF value might be wrong (High);","")&amp;IF(AND(AL62&lt;&gt;"",OR(AL62&gt;1,AL62&lt;0)),"Incorrect PDS value (High);",IF(AND(AL62&lt;&gt;"",AL62&gt;0.5),"High PDS value (Medium);",""))&amp;IF(AND(AP62&lt;&gt;"",OR(AP62&gt;5,AP62&lt;1)),"Incorrect DQR value (High);","")&amp;IF(AND($A62&lt;&gt;"",AF62&gt;1),"Incorrect scrap rate (High);",IF(AND($A62&lt;&gt;"",AF62=0),"No scrap rate (No impact);",""))&amp;IF(AND($A62&lt;&gt;"",I62="",J62="",K62=""),"No raw material available (High);","")&amp;""</f>
        <v/>
      </c>
      <c r="AU62" s="9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4" t="n"/>
      <c r="M63" s="4" t="n"/>
      <c r="N63" s="3" t="inlineStr">
        <is>
          <t>kg</t>
        </is>
      </c>
      <c r="O63" s="4" t="n"/>
      <c r="P63" s="3" t="inlineStr">
        <is>
          <t>kg</t>
        </is>
      </c>
      <c r="Q63" s="3" t="n"/>
      <c r="R63" s="5" t="n"/>
      <c r="S63" s="6" t="n"/>
      <c r="T63" s="3" t="inlineStr">
        <is>
          <t>kgCO2e/component</t>
        </is>
      </c>
      <c r="U63" s="7" t="n"/>
      <c r="V63" s="4" t="n"/>
      <c r="W63" s="8" t="n"/>
      <c r="X63" s="3" t="inlineStr">
        <is>
          <t>Supplier</t>
        </is>
      </c>
      <c r="Y63" s="3" t="inlineStr">
        <is>
          <t>No</t>
        </is>
      </c>
      <c r="Z63" s="5" t="n"/>
      <c r="AA63" s="3" t="n"/>
      <c r="AB63" s="3" t="n"/>
      <c r="AC63" s="6" t="n"/>
      <c r="AD63" s="3" t="inlineStr">
        <is>
          <t>kgCO2e/component</t>
        </is>
      </c>
      <c r="AE63" s="3" t="n"/>
      <c r="AF63" s="7" t="n"/>
      <c r="AG63" s="3" t="n"/>
      <c r="AH63" s="3" t="n"/>
      <c r="AI63" s="6" t="n"/>
      <c r="AJ63" s="3" t="inlineStr">
        <is>
          <t>kgCO2e/component</t>
        </is>
      </c>
      <c r="AK63" s="3" t="n"/>
      <c r="AL63" s="7" t="n">
        <v>0</v>
      </c>
      <c r="AM63" s="3" t="n"/>
      <c r="AN63" s="3" t="n"/>
      <c r="AO63" s="3" t="n"/>
      <c r="AP63" s="4">
        <f>IF(COUNT(AM63,AN63,AO63)=0,"",ROUND(AVERAGE(AM63,AN63,AO63),3))</f>
        <v/>
      </c>
      <c r="AQ63" s="3">
        <f>IF(AC63="","",ROUND(AC63*IF(M63="",0,M63)*(1+IF(AF63="",0,AF63)),5))</f>
        <v/>
      </c>
      <c r="AR63" s="3" t="inlineStr">
        <is>
          <t>kgCO2e/component</t>
        </is>
      </c>
      <c r="AS63" s="5" t="n"/>
      <c r="AT63" s="9">
        <f>IF(AND($A63&lt;&gt;"",G63=""),"Supplier code empty (High);","")&amp;IF(AND(U63&lt;&gt;"",OR(U63&gt;1,U63&lt;0)),"Incorrect PDS value (High);",IF(AND(U63&lt;&gt;"",U63&gt;0.5),"High PDS value (Medium);",""))&amp;IF(AND(V63&lt;&gt;"",OR(V63&gt;5,V63&lt;1)),"Incorrect DQR value (High);","")&amp;IF(AND(S63&lt;&gt;"",OR(S63&lt;=0,S63&gt;100)),"Unusual PCF value might be wrong (High);","")&amp;IF(AND(AL63&lt;&gt;"",OR(AL63&gt;1,AL63&lt;0)),"Incorrect PDS value (High);",IF(AND(AL63&lt;&gt;"",AL63&gt;0.5),"High PDS value (Medium);",""))&amp;IF(AND(AP63&lt;&gt;"",OR(AP63&gt;5,AP63&lt;1)),"Incorrect DQR value (High);","")&amp;IF(AND($A63&lt;&gt;"",AF63&gt;1),"Incorrect scrap rate (High);",IF(AND($A63&lt;&gt;"",AF63=0),"No scrap rate (No impact);",""))&amp;IF(AND($A63&lt;&gt;"",I63="",J63="",K63=""),"No raw material available (High);","")&amp;""</f>
        <v/>
      </c>
      <c r="AU63" s="9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4" t="n"/>
      <c r="M64" s="4" t="n"/>
      <c r="N64" s="3" t="inlineStr">
        <is>
          <t>kg</t>
        </is>
      </c>
      <c r="O64" s="4" t="n"/>
      <c r="P64" s="3" t="inlineStr">
        <is>
          <t>kg</t>
        </is>
      </c>
      <c r="Q64" s="3" t="n"/>
      <c r="R64" s="5" t="n"/>
      <c r="S64" s="6" t="n"/>
      <c r="T64" s="3" t="inlineStr">
        <is>
          <t>kgCO2e/component</t>
        </is>
      </c>
      <c r="U64" s="7" t="n"/>
      <c r="V64" s="4" t="n"/>
      <c r="W64" s="8" t="n"/>
      <c r="X64" s="3" t="inlineStr">
        <is>
          <t>Supplier</t>
        </is>
      </c>
      <c r="Y64" s="3" t="inlineStr">
        <is>
          <t>No</t>
        </is>
      </c>
      <c r="Z64" s="5" t="n"/>
      <c r="AA64" s="3" t="n"/>
      <c r="AB64" s="3" t="n"/>
      <c r="AC64" s="6" t="n"/>
      <c r="AD64" s="3" t="inlineStr">
        <is>
          <t>kgCO2e/component</t>
        </is>
      </c>
      <c r="AE64" s="3" t="n"/>
      <c r="AF64" s="7" t="n"/>
      <c r="AG64" s="3" t="n"/>
      <c r="AH64" s="3" t="n"/>
      <c r="AI64" s="6" t="n"/>
      <c r="AJ64" s="3" t="inlineStr">
        <is>
          <t>kgCO2e/component</t>
        </is>
      </c>
      <c r="AK64" s="3" t="n"/>
      <c r="AL64" s="7" t="n">
        <v>0</v>
      </c>
      <c r="AM64" s="3" t="n"/>
      <c r="AN64" s="3" t="n"/>
      <c r="AO64" s="3" t="n"/>
      <c r="AP64" s="4">
        <f>IF(COUNT(AM64,AN64,AO64)=0,"",ROUND(AVERAGE(AM64,AN64,AO64),3))</f>
        <v/>
      </c>
      <c r="AQ64" s="3">
        <f>IF(AC64="","",ROUND(AC64*IF(M64="",0,M64)*(1+IF(AF64="",0,AF64)),5))</f>
        <v/>
      </c>
      <c r="AR64" s="3" t="inlineStr">
        <is>
          <t>kgCO2e/component</t>
        </is>
      </c>
      <c r="AS64" s="5" t="n"/>
      <c r="AT64" s="9">
        <f>IF(AND($A64&lt;&gt;"",G64=""),"Supplier code empty (High);","")&amp;IF(AND(U64&lt;&gt;"",OR(U64&gt;1,U64&lt;0)),"Incorrect PDS value (High);",IF(AND(U64&lt;&gt;"",U64&gt;0.5),"High PDS value (Medium);",""))&amp;IF(AND(V64&lt;&gt;"",OR(V64&gt;5,V64&lt;1)),"Incorrect DQR value (High);","")&amp;IF(AND(S64&lt;&gt;"",OR(S64&lt;=0,S64&gt;100)),"Unusual PCF value might be wrong (High);","")&amp;IF(AND(AL64&lt;&gt;"",OR(AL64&gt;1,AL64&lt;0)),"Incorrect PDS value (High);",IF(AND(AL64&lt;&gt;"",AL64&gt;0.5),"High PDS value (Medium);",""))&amp;IF(AND(AP64&lt;&gt;"",OR(AP64&gt;5,AP64&lt;1)),"Incorrect DQR value (High);","")&amp;IF(AND($A64&lt;&gt;"",AF64&gt;1),"Incorrect scrap rate (High);",IF(AND($A64&lt;&gt;"",AF64=0),"No scrap rate (No impact);",""))&amp;IF(AND($A64&lt;&gt;"",I64="",J64="",K64=""),"No raw material available (High);","")&amp;""</f>
        <v/>
      </c>
      <c r="AU64" s="9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4" t="n"/>
      <c r="M65" s="4" t="n"/>
      <c r="N65" s="3" t="inlineStr">
        <is>
          <t>kg</t>
        </is>
      </c>
      <c r="O65" s="4" t="n"/>
      <c r="P65" s="3" t="inlineStr">
        <is>
          <t>kg</t>
        </is>
      </c>
      <c r="Q65" s="3" t="n"/>
      <c r="R65" s="5" t="n"/>
      <c r="S65" s="6" t="n"/>
      <c r="T65" s="3" t="inlineStr">
        <is>
          <t>kgCO2e/component</t>
        </is>
      </c>
      <c r="U65" s="7" t="n"/>
      <c r="V65" s="4" t="n"/>
      <c r="W65" s="8" t="n"/>
      <c r="X65" s="3" t="inlineStr">
        <is>
          <t>Supplier</t>
        </is>
      </c>
      <c r="Y65" s="3" t="inlineStr">
        <is>
          <t>No</t>
        </is>
      </c>
      <c r="Z65" s="5" t="n"/>
      <c r="AA65" s="3" t="n"/>
      <c r="AB65" s="3" t="n"/>
      <c r="AC65" s="6" t="n"/>
      <c r="AD65" s="3" t="inlineStr">
        <is>
          <t>kgCO2e/component</t>
        </is>
      </c>
      <c r="AE65" s="3" t="n"/>
      <c r="AF65" s="7" t="n"/>
      <c r="AG65" s="3" t="n"/>
      <c r="AH65" s="3" t="n"/>
      <c r="AI65" s="6" t="n"/>
      <c r="AJ65" s="3" t="inlineStr">
        <is>
          <t>kgCO2e/component</t>
        </is>
      </c>
      <c r="AK65" s="3" t="n"/>
      <c r="AL65" s="7" t="n">
        <v>0</v>
      </c>
      <c r="AM65" s="3" t="n"/>
      <c r="AN65" s="3" t="n"/>
      <c r="AO65" s="3" t="n"/>
      <c r="AP65" s="4">
        <f>IF(COUNT(AM65,AN65,AO65)=0,"",ROUND(AVERAGE(AM65,AN65,AO65),3))</f>
        <v/>
      </c>
      <c r="AQ65" s="3">
        <f>IF(AC65="","",ROUND(AC65*IF(M65="",0,M65)*(1+IF(AF65="",0,AF65)),5))</f>
        <v/>
      </c>
      <c r="AR65" s="3" t="inlineStr">
        <is>
          <t>kgCO2e/component</t>
        </is>
      </c>
      <c r="AS65" s="5" t="n"/>
      <c r="AT65" s="9">
        <f>IF(AND($A65&lt;&gt;"",G65=""),"Supplier code empty (High);","")&amp;IF(AND(U65&lt;&gt;"",OR(U65&gt;1,U65&lt;0)),"Incorrect PDS value (High);",IF(AND(U65&lt;&gt;"",U65&gt;0.5),"High PDS value (Medium);",""))&amp;IF(AND(V65&lt;&gt;"",OR(V65&gt;5,V65&lt;1)),"Incorrect DQR value (High);","")&amp;IF(AND(S65&lt;&gt;"",OR(S65&lt;=0,S65&gt;100)),"Unusual PCF value might be wrong (High);","")&amp;IF(AND(AL65&lt;&gt;"",OR(AL65&gt;1,AL65&lt;0)),"Incorrect PDS value (High);",IF(AND(AL65&lt;&gt;"",AL65&gt;0.5),"High PDS value (Medium);",""))&amp;IF(AND(AP65&lt;&gt;"",OR(AP65&gt;5,AP65&lt;1)),"Incorrect DQR value (High);","")&amp;IF(AND($A65&lt;&gt;"",AF65&gt;1),"Incorrect scrap rate (High);",IF(AND($A65&lt;&gt;"",AF65=0),"No scrap rate (No impact);",""))&amp;IF(AND($A65&lt;&gt;"",I65="",J65="",K65=""),"No raw material available (High);","")&amp;""</f>
        <v/>
      </c>
      <c r="AU65" s="9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4" t="n"/>
      <c r="M66" s="4" t="n"/>
      <c r="N66" s="3" t="inlineStr">
        <is>
          <t>kg</t>
        </is>
      </c>
      <c r="O66" s="4" t="n"/>
      <c r="P66" s="3" t="inlineStr">
        <is>
          <t>kg</t>
        </is>
      </c>
      <c r="Q66" s="3" t="n"/>
      <c r="R66" s="5" t="n"/>
      <c r="S66" s="6" t="n"/>
      <c r="T66" s="3" t="inlineStr">
        <is>
          <t>kgCO2e/component</t>
        </is>
      </c>
      <c r="U66" s="7" t="n"/>
      <c r="V66" s="4" t="n"/>
      <c r="W66" s="8" t="n"/>
      <c r="X66" s="3" t="inlineStr">
        <is>
          <t>Supplier</t>
        </is>
      </c>
      <c r="Y66" s="3" t="inlineStr">
        <is>
          <t>No</t>
        </is>
      </c>
      <c r="Z66" s="5" t="n"/>
      <c r="AA66" s="3" t="n"/>
      <c r="AB66" s="3" t="n"/>
      <c r="AC66" s="6" t="n"/>
      <c r="AD66" s="3" t="inlineStr">
        <is>
          <t>kgCO2e/component</t>
        </is>
      </c>
      <c r="AE66" s="3" t="n"/>
      <c r="AF66" s="7" t="n"/>
      <c r="AG66" s="3" t="n"/>
      <c r="AH66" s="3" t="n"/>
      <c r="AI66" s="6" t="n"/>
      <c r="AJ66" s="3" t="inlineStr">
        <is>
          <t>kgCO2e/component</t>
        </is>
      </c>
      <c r="AK66" s="3" t="n"/>
      <c r="AL66" s="7" t="n">
        <v>0</v>
      </c>
      <c r="AM66" s="3" t="n"/>
      <c r="AN66" s="3" t="n"/>
      <c r="AO66" s="3" t="n"/>
      <c r="AP66" s="4">
        <f>IF(COUNT(AM66,AN66,AO66)=0,"",ROUND(AVERAGE(AM66,AN66,AO66),3))</f>
        <v/>
      </c>
      <c r="AQ66" s="3">
        <f>IF(AC66="","",ROUND(AC66*IF(M66="",0,M66)*(1+IF(AF66="",0,AF66)),5))</f>
        <v/>
      </c>
      <c r="AR66" s="3" t="inlineStr">
        <is>
          <t>kgCO2e/component</t>
        </is>
      </c>
      <c r="AS66" s="5" t="n"/>
      <c r="AT66" s="9">
        <f>IF(AND($A66&lt;&gt;"",G66=""),"Supplier code empty (High);","")&amp;IF(AND(U66&lt;&gt;"",OR(U66&gt;1,U66&lt;0)),"Incorrect PDS value (High);",IF(AND(U66&lt;&gt;"",U66&gt;0.5),"High PDS value (Medium);",""))&amp;IF(AND(V66&lt;&gt;"",OR(V66&gt;5,V66&lt;1)),"Incorrect DQR value (High);","")&amp;IF(AND(S66&lt;&gt;"",OR(S66&lt;=0,S66&gt;100)),"Unusual PCF value might be wrong (High);","")&amp;IF(AND(AL66&lt;&gt;"",OR(AL66&gt;1,AL66&lt;0)),"Incorrect PDS value (High);",IF(AND(AL66&lt;&gt;"",AL66&gt;0.5),"High PDS value (Medium);",""))&amp;IF(AND(AP66&lt;&gt;"",OR(AP66&gt;5,AP66&lt;1)),"Incorrect DQR value (High);","")&amp;IF(AND($A66&lt;&gt;"",AF66&gt;1),"Incorrect scrap rate (High);",IF(AND($A66&lt;&gt;"",AF66=0),"No scrap rate (No impact);",""))&amp;IF(AND($A66&lt;&gt;"",I66="",J66="",K66=""),"No raw material available (High);","")&amp;""</f>
        <v/>
      </c>
      <c r="AU66" s="9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4" t="n"/>
      <c r="M67" s="4" t="n"/>
      <c r="N67" s="3" t="inlineStr">
        <is>
          <t>kg</t>
        </is>
      </c>
      <c r="O67" s="4" t="n"/>
      <c r="P67" s="3" t="inlineStr">
        <is>
          <t>kg</t>
        </is>
      </c>
      <c r="Q67" s="3" t="n"/>
      <c r="R67" s="5" t="n"/>
      <c r="S67" s="6" t="n"/>
      <c r="T67" s="3" t="inlineStr">
        <is>
          <t>kgCO2e/component</t>
        </is>
      </c>
      <c r="U67" s="7" t="n"/>
      <c r="V67" s="4" t="n"/>
      <c r="W67" s="8" t="n"/>
      <c r="X67" s="3" t="inlineStr">
        <is>
          <t>Supplier</t>
        </is>
      </c>
      <c r="Y67" s="3" t="inlineStr">
        <is>
          <t>No</t>
        </is>
      </c>
      <c r="Z67" s="5" t="n"/>
      <c r="AA67" s="3" t="n"/>
      <c r="AB67" s="3" t="n"/>
      <c r="AC67" s="6" t="n"/>
      <c r="AD67" s="3" t="inlineStr">
        <is>
          <t>kgCO2e/component</t>
        </is>
      </c>
      <c r="AE67" s="3" t="n"/>
      <c r="AF67" s="7" t="n"/>
      <c r="AG67" s="3" t="n"/>
      <c r="AH67" s="3" t="n"/>
      <c r="AI67" s="6" t="n"/>
      <c r="AJ67" s="3" t="inlineStr">
        <is>
          <t>kgCO2e/component</t>
        </is>
      </c>
      <c r="AK67" s="3" t="n"/>
      <c r="AL67" s="7" t="n">
        <v>0</v>
      </c>
      <c r="AM67" s="3" t="n"/>
      <c r="AN67" s="3" t="n"/>
      <c r="AO67" s="3" t="n"/>
      <c r="AP67" s="4">
        <f>IF(COUNT(AM67,AN67,AO67)=0,"",ROUND(AVERAGE(AM67,AN67,AO67),3))</f>
        <v/>
      </c>
      <c r="AQ67" s="3">
        <f>IF(AC67="","",ROUND(AC67*IF(M67="",0,M67)*(1+IF(AF67="",0,AF67)),5))</f>
        <v/>
      </c>
      <c r="AR67" s="3" t="inlineStr">
        <is>
          <t>kgCO2e/component</t>
        </is>
      </c>
      <c r="AS67" s="5" t="n"/>
      <c r="AT67" s="9">
        <f>IF(AND($A67&lt;&gt;"",G67=""),"Supplier code empty (High);","")&amp;IF(AND(U67&lt;&gt;"",OR(U67&gt;1,U67&lt;0)),"Incorrect PDS value (High);",IF(AND(U67&lt;&gt;"",U67&gt;0.5),"High PDS value (Medium);",""))&amp;IF(AND(V67&lt;&gt;"",OR(V67&gt;5,V67&lt;1)),"Incorrect DQR value (High);","")&amp;IF(AND(S67&lt;&gt;"",OR(S67&lt;=0,S67&gt;100)),"Unusual PCF value might be wrong (High);","")&amp;IF(AND(AL67&lt;&gt;"",OR(AL67&gt;1,AL67&lt;0)),"Incorrect PDS value (High);",IF(AND(AL67&lt;&gt;"",AL67&gt;0.5),"High PDS value (Medium);",""))&amp;IF(AND(AP67&lt;&gt;"",OR(AP67&gt;5,AP67&lt;1)),"Incorrect DQR value (High);","")&amp;IF(AND($A67&lt;&gt;"",AF67&gt;1),"Incorrect scrap rate (High);",IF(AND($A67&lt;&gt;"",AF67=0),"No scrap rate (No impact);",""))&amp;IF(AND($A67&lt;&gt;"",I67="",J67="",K67=""),"No raw material available (High);","")&amp;""</f>
        <v/>
      </c>
      <c r="AU67" s="9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4" t="n"/>
      <c r="M68" s="4" t="n"/>
      <c r="N68" s="3" t="inlineStr">
        <is>
          <t>kg</t>
        </is>
      </c>
      <c r="O68" s="4" t="n"/>
      <c r="P68" s="3" t="inlineStr">
        <is>
          <t>kg</t>
        </is>
      </c>
      <c r="Q68" s="3" t="n"/>
      <c r="R68" s="5" t="n"/>
      <c r="S68" s="6" t="n"/>
      <c r="T68" s="3" t="inlineStr">
        <is>
          <t>kgCO2e/component</t>
        </is>
      </c>
      <c r="U68" s="7" t="n"/>
      <c r="V68" s="4" t="n"/>
      <c r="W68" s="8" t="n"/>
      <c r="X68" s="3" t="inlineStr">
        <is>
          <t>Supplier</t>
        </is>
      </c>
      <c r="Y68" s="3" t="inlineStr">
        <is>
          <t>No</t>
        </is>
      </c>
      <c r="Z68" s="5" t="n"/>
      <c r="AA68" s="3" t="n"/>
      <c r="AB68" s="3" t="n"/>
      <c r="AC68" s="6" t="n"/>
      <c r="AD68" s="3" t="inlineStr">
        <is>
          <t>kgCO2e/component</t>
        </is>
      </c>
      <c r="AE68" s="3" t="n"/>
      <c r="AF68" s="7" t="n"/>
      <c r="AG68" s="3" t="n"/>
      <c r="AH68" s="3" t="n"/>
      <c r="AI68" s="6" t="n"/>
      <c r="AJ68" s="3" t="inlineStr">
        <is>
          <t>kgCO2e/component</t>
        </is>
      </c>
      <c r="AK68" s="3" t="n"/>
      <c r="AL68" s="7" t="n">
        <v>0</v>
      </c>
      <c r="AM68" s="3" t="n"/>
      <c r="AN68" s="3" t="n"/>
      <c r="AO68" s="3" t="n"/>
      <c r="AP68" s="4">
        <f>IF(COUNT(AM68,AN68,AO68)=0,"",ROUND(AVERAGE(AM68,AN68,AO68),3))</f>
        <v/>
      </c>
      <c r="AQ68" s="3">
        <f>IF(AC68="","",ROUND(AC68*IF(M68="",0,M68)*(1+IF(AF68="",0,AF68)),5))</f>
        <v/>
      </c>
      <c r="AR68" s="3" t="inlineStr">
        <is>
          <t>kgCO2e/component</t>
        </is>
      </c>
      <c r="AS68" s="5" t="n"/>
      <c r="AT68" s="9">
        <f>IF(AND($A68&lt;&gt;"",G68=""),"Supplier code empty (High);","")&amp;IF(AND(U68&lt;&gt;"",OR(U68&gt;1,U68&lt;0)),"Incorrect PDS value (High);",IF(AND(U68&lt;&gt;"",U68&gt;0.5),"High PDS value (Medium);",""))&amp;IF(AND(V68&lt;&gt;"",OR(V68&gt;5,V68&lt;1)),"Incorrect DQR value (High);","")&amp;IF(AND(S68&lt;&gt;"",OR(S68&lt;=0,S68&gt;100)),"Unusual PCF value might be wrong (High);","")&amp;IF(AND(AL68&lt;&gt;"",OR(AL68&gt;1,AL68&lt;0)),"Incorrect PDS value (High);",IF(AND(AL68&lt;&gt;"",AL68&gt;0.5),"High PDS value (Medium);",""))&amp;IF(AND(AP68&lt;&gt;"",OR(AP68&gt;5,AP68&lt;1)),"Incorrect DQR value (High);","")&amp;IF(AND($A68&lt;&gt;"",AF68&gt;1),"Incorrect scrap rate (High);",IF(AND($A68&lt;&gt;"",AF68=0),"No scrap rate (No impact);",""))&amp;IF(AND($A68&lt;&gt;"",I68="",J68="",K68=""),"No raw material available (High);","")&amp;""</f>
        <v/>
      </c>
      <c r="AU68" s="9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4" t="n"/>
      <c r="M69" s="4" t="n"/>
      <c r="N69" s="3" t="inlineStr">
        <is>
          <t>kg</t>
        </is>
      </c>
      <c r="O69" s="4" t="n"/>
      <c r="P69" s="3" t="inlineStr">
        <is>
          <t>kg</t>
        </is>
      </c>
      <c r="Q69" s="3" t="n"/>
      <c r="R69" s="5" t="n"/>
      <c r="S69" s="6" t="n"/>
      <c r="T69" s="3" t="inlineStr">
        <is>
          <t>kgCO2e/component</t>
        </is>
      </c>
      <c r="U69" s="7" t="n"/>
      <c r="V69" s="4" t="n"/>
      <c r="W69" s="8" t="n"/>
      <c r="X69" s="3" t="inlineStr">
        <is>
          <t>Supplier</t>
        </is>
      </c>
      <c r="Y69" s="3" t="inlineStr">
        <is>
          <t>No</t>
        </is>
      </c>
      <c r="Z69" s="5" t="n"/>
      <c r="AA69" s="3" t="n"/>
      <c r="AB69" s="3" t="n"/>
      <c r="AC69" s="6" t="n"/>
      <c r="AD69" s="3" t="inlineStr">
        <is>
          <t>kgCO2e/component</t>
        </is>
      </c>
      <c r="AE69" s="3" t="n"/>
      <c r="AF69" s="7" t="n"/>
      <c r="AG69" s="3" t="n"/>
      <c r="AH69" s="3" t="n"/>
      <c r="AI69" s="6" t="n"/>
      <c r="AJ69" s="3" t="inlineStr">
        <is>
          <t>kgCO2e/component</t>
        </is>
      </c>
      <c r="AK69" s="3" t="n"/>
      <c r="AL69" s="7" t="n">
        <v>0</v>
      </c>
      <c r="AM69" s="3" t="n"/>
      <c r="AN69" s="3" t="n"/>
      <c r="AO69" s="3" t="n"/>
      <c r="AP69" s="4">
        <f>IF(COUNT(AM69,AN69,AO69)=0,"",ROUND(AVERAGE(AM69,AN69,AO69),3))</f>
        <v/>
      </c>
      <c r="AQ69" s="3">
        <f>IF(AC69="","",ROUND(AC69*IF(M69="",0,M69)*(1+IF(AF69="",0,AF69)),5))</f>
        <v/>
      </c>
      <c r="AR69" s="3" t="inlineStr">
        <is>
          <t>kgCO2e/component</t>
        </is>
      </c>
      <c r="AS69" s="5" t="n"/>
      <c r="AT69" s="9">
        <f>IF(AND($A69&lt;&gt;"",G69=""),"Supplier code empty (High);","")&amp;IF(AND(U69&lt;&gt;"",OR(U69&gt;1,U69&lt;0)),"Incorrect PDS value (High);",IF(AND(U69&lt;&gt;"",U69&gt;0.5),"High PDS value (Medium);",""))&amp;IF(AND(V69&lt;&gt;"",OR(V69&gt;5,V69&lt;1)),"Incorrect DQR value (High);","")&amp;IF(AND(S69&lt;&gt;"",OR(S69&lt;=0,S69&gt;100)),"Unusual PCF value might be wrong (High);","")&amp;IF(AND(AL69&lt;&gt;"",OR(AL69&gt;1,AL69&lt;0)),"Incorrect PDS value (High);",IF(AND(AL69&lt;&gt;"",AL69&gt;0.5),"High PDS value (Medium);",""))&amp;IF(AND(AP69&lt;&gt;"",OR(AP69&gt;5,AP69&lt;1)),"Incorrect DQR value (High);","")&amp;IF(AND($A69&lt;&gt;"",AF69&gt;1),"Incorrect scrap rate (High);",IF(AND($A69&lt;&gt;"",AF69=0),"No scrap rate (No impact);",""))&amp;IF(AND($A69&lt;&gt;"",I69="",J69="",K69=""),"No raw material available (High);","")&amp;""</f>
        <v/>
      </c>
      <c r="AU69" s="9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4" t="n"/>
      <c r="M70" s="4" t="n"/>
      <c r="N70" s="3" t="inlineStr">
        <is>
          <t>kg</t>
        </is>
      </c>
      <c r="O70" s="4" t="n"/>
      <c r="P70" s="3" t="inlineStr">
        <is>
          <t>kg</t>
        </is>
      </c>
      <c r="Q70" s="3" t="n"/>
      <c r="R70" s="5" t="n"/>
      <c r="S70" s="6" t="n"/>
      <c r="T70" s="3" t="inlineStr">
        <is>
          <t>kgCO2e/component</t>
        </is>
      </c>
      <c r="U70" s="7" t="n"/>
      <c r="V70" s="4" t="n"/>
      <c r="W70" s="8" t="n"/>
      <c r="X70" s="3" t="inlineStr">
        <is>
          <t>Supplier</t>
        </is>
      </c>
      <c r="Y70" s="3" t="inlineStr">
        <is>
          <t>No</t>
        </is>
      </c>
      <c r="Z70" s="5" t="n"/>
      <c r="AA70" s="3" t="n"/>
      <c r="AB70" s="3" t="n"/>
      <c r="AC70" s="6" t="n"/>
      <c r="AD70" s="3" t="inlineStr">
        <is>
          <t>kgCO2e/component</t>
        </is>
      </c>
      <c r="AE70" s="3" t="n"/>
      <c r="AF70" s="7" t="n"/>
      <c r="AG70" s="3" t="n"/>
      <c r="AH70" s="3" t="n"/>
      <c r="AI70" s="6" t="n"/>
      <c r="AJ70" s="3" t="inlineStr">
        <is>
          <t>kgCO2e/component</t>
        </is>
      </c>
      <c r="AK70" s="3" t="n"/>
      <c r="AL70" s="7" t="n">
        <v>0</v>
      </c>
      <c r="AM70" s="3" t="n"/>
      <c r="AN70" s="3" t="n"/>
      <c r="AO70" s="3" t="n"/>
      <c r="AP70" s="4">
        <f>IF(COUNT(AM70,AN70,AO70)=0,"",ROUND(AVERAGE(AM70,AN70,AO70),3))</f>
        <v/>
      </c>
      <c r="AQ70" s="3">
        <f>IF(AC70="","",ROUND(AC70*IF(M70="",0,M70)*(1+IF(AF70="",0,AF70)),5))</f>
        <v/>
      </c>
      <c r="AR70" s="3" t="inlineStr">
        <is>
          <t>kgCO2e/component</t>
        </is>
      </c>
      <c r="AS70" s="5" t="n"/>
      <c r="AT70" s="9">
        <f>IF(AND($A70&lt;&gt;"",G70=""),"Supplier code empty (High);","")&amp;IF(AND(U70&lt;&gt;"",OR(U70&gt;1,U70&lt;0)),"Incorrect PDS value (High);",IF(AND(U70&lt;&gt;"",U70&gt;0.5),"High PDS value (Medium);",""))&amp;IF(AND(V70&lt;&gt;"",OR(V70&gt;5,V70&lt;1)),"Incorrect DQR value (High);","")&amp;IF(AND(S70&lt;&gt;"",OR(S70&lt;=0,S70&gt;100)),"Unusual PCF value might be wrong (High);","")&amp;IF(AND(AL70&lt;&gt;"",OR(AL70&gt;1,AL70&lt;0)),"Incorrect PDS value (High);",IF(AND(AL70&lt;&gt;"",AL70&gt;0.5),"High PDS value (Medium);",""))&amp;IF(AND(AP70&lt;&gt;"",OR(AP70&gt;5,AP70&lt;1)),"Incorrect DQR value (High);","")&amp;IF(AND($A70&lt;&gt;"",AF70&gt;1),"Incorrect scrap rate (High);",IF(AND($A70&lt;&gt;"",AF70=0),"No scrap rate (No impact);",""))&amp;IF(AND($A70&lt;&gt;"",I70="",J70="",K70=""),"No raw material available (High);","")&amp;""</f>
        <v/>
      </c>
      <c r="AU70" s="9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4" t="n"/>
      <c r="M71" s="4" t="n"/>
      <c r="N71" s="3" t="inlineStr">
        <is>
          <t>kg</t>
        </is>
      </c>
      <c r="O71" s="4" t="n"/>
      <c r="P71" s="3" t="inlineStr">
        <is>
          <t>kg</t>
        </is>
      </c>
      <c r="Q71" s="3" t="n"/>
      <c r="R71" s="5" t="n"/>
      <c r="S71" s="6" t="n"/>
      <c r="T71" s="3" t="inlineStr">
        <is>
          <t>kgCO2e/component</t>
        </is>
      </c>
      <c r="U71" s="7" t="n"/>
      <c r="V71" s="4" t="n"/>
      <c r="W71" s="8" t="n"/>
      <c r="X71" s="3" t="inlineStr">
        <is>
          <t>Supplier</t>
        </is>
      </c>
      <c r="Y71" s="3" t="inlineStr">
        <is>
          <t>No</t>
        </is>
      </c>
      <c r="Z71" s="5" t="n"/>
      <c r="AA71" s="3" t="n"/>
      <c r="AB71" s="3" t="n"/>
      <c r="AC71" s="6" t="n"/>
      <c r="AD71" s="3" t="inlineStr">
        <is>
          <t>kgCO2e/component</t>
        </is>
      </c>
      <c r="AE71" s="3" t="n"/>
      <c r="AF71" s="7" t="n"/>
      <c r="AG71" s="3" t="n"/>
      <c r="AH71" s="3" t="n"/>
      <c r="AI71" s="6" t="n"/>
      <c r="AJ71" s="3" t="inlineStr">
        <is>
          <t>kgCO2e/component</t>
        </is>
      </c>
      <c r="AK71" s="3" t="n"/>
      <c r="AL71" s="7" t="n">
        <v>0</v>
      </c>
      <c r="AM71" s="3" t="n"/>
      <c r="AN71" s="3" t="n"/>
      <c r="AO71" s="3" t="n"/>
      <c r="AP71" s="4">
        <f>IF(COUNT(AM71,AN71,AO71)=0,"",ROUND(AVERAGE(AM71,AN71,AO71),3))</f>
        <v/>
      </c>
      <c r="AQ71" s="3">
        <f>IF(AC71="","",ROUND(AC71*IF(M71="",0,M71)*(1+IF(AF71="",0,AF71)),5))</f>
        <v/>
      </c>
      <c r="AR71" s="3" t="inlineStr">
        <is>
          <t>kgCO2e/component</t>
        </is>
      </c>
      <c r="AS71" s="5" t="n"/>
      <c r="AT71" s="9">
        <f>IF(AND($A71&lt;&gt;"",G71=""),"Supplier code empty (High);","")&amp;IF(AND(U71&lt;&gt;"",OR(U71&gt;1,U71&lt;0)),"Incorrect PDS value (High);",IF(AND(U71&lt;&gt;"",U71&gt;0.5),"High PDS value (Medium);",""))&amp;IF(AND(V71&lt;&gt;"",OR(V71&gt;5,V71&lt;1)),"Incorrect DQR value (High);","")&amp;IF(AND(S71&lt;&gt;"",OR(S71&lt;=0,S71&gt;100)),"Unusual PCF value might be wrong (High);","")&amp;IF(AND(AL71&lt;&gt;"",OR(AL71&gt;1,AL71&lt;0)),"Incorrect PDS value (High);",IF(AND(AL71&lt;&gt;"",AL71&gt;0.5),"High PDS value (Medium);",""))&amp;IF(AND(AP71&lt;&gt;"",OR(AP71&gt;5,AP71&lt;1)),"Incorrect DQR value (High);","")&amp;IF(AND($A71&lt;&gt;"",AF71&gt;1),"Incorrect scrap rate (High);",IF(AND($A71&lt;&gt;"",AF71=0),"No scrap rate (No impact);",""))&amp;IF(AND($A71&lt;&gt;"",I71="",J71="",K71=""),"No raw material available (High);","")&amp;""</f>
        <v/>
      </c>
      <c r="AU71" s="9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4" t="n"/>
      <c r="M72" s="4" t="n"/>
      <c r="N72" s="3" t="inlineStr">
        <is>
          <t>kg</t>
        </is>
      </c>
      <c r="O72" s="4" t="n"/>
      <c r="P72" s="3" t="inlineStr">
        <is>
          <t>kg</t>
        </is>
      </c>
      <c r="Q72" s="3" t="n"/>
      <c r="R72" s="5" t="n"/>
      <c r="S72" s="6" t="n"/>
      <c r="T72" s="3" t="inlineStr">
        <is>
          <t>kgCO2e/component</t>
        </is>
      </c>
      <c r="U72" s="7" t="n"/>
      <c r="V72" s="4" t="n"/>
      <c r="W72" s="8" t="n"/>
      <c r="X72" s="3" t="inlineStr">
        <is>
          <t>Supplier</t>
        </is>
      </c>
      <c r="Y72" s="3" t="inlineStr">
        <is>
          <t>No</t>
        </is>
      </c>
      <c r="Z72" s="5" t="n"/>
      <c r="AA72" s="3" t="n"/>
      <c r="AB72" s="3" t="n"/>
      <c r="AC72" s="6" t="n"/>
      <c r="AD72" s="3" t="inlineStr">
        <is>
          <t>kgCO2e/component</t>
        </is>
      </c>
      <c r="AE72" s="3" t="n"/>
      <c r="AF72" s="7" t="n"/>
      <c r="AG72" s="3" t="n"/>
      <c r="AH72" s="3" t="n"/>
      <c r="AI72" s="6" t="n"/>
      <c r="AJ72" s="3" t="inlineStr">
        <is>
          <t>kgCO2e/component</t>
        </is>
      </c>
      <c r="AK72" s="3" t="n"/>
      <c r="AL72" s="7" t="n">
        <v>0</v>
      </c>
      <c r="AM72" s="3" t="n"/>
      <c r="AN72" s="3" t="n"/>
      <c r="AO72" s="3" t="n"/>
      <c r="AP72" s="4">
        <f>IF(COUNT(AM72,AN72,AO72)=0,"",ROUND(AVERAGE(AM72,AN72,AO72),3))</f>
        <v/>
      </c>
      <c r="AQ72" s="3">
        <f>IF(AC72="","",ROUND(AC72*IF(M72="",0,M72)*(1+IF(AF72="",0,AF72)),5))</f>
        <v/>
      </c>
      <c r="AR72" s="3" t="inlineStr">
        <is>
          <t>kgCO2e/component</t>
        </is>
      </c>
      <c r="AS72" s="5" t="n"/>
      <c r="AT72" s="9">
        <f>IF(AND($A72&lt;&gt;"",G72=""),"Supplier code empty (High);","")&amp;IF(AND(U72&lt;&gt;"",OR(U72&gt;1,U72&lt;0)),"Incorrect PDS value (High);",IF(AND(U72&lt;&gt;"",U72&gt;0.5),"High PDS value (Medium);",""))&amp;IF(AND(V72&lt;&gt;"",OR(V72&gt;5,V72&lt;1)),"Incorrect DQR value (High);","")&amp;IF(AND(S72&lt;&gt;"",OR(S72&lt;=0,S72&gt;100)),"Unusual PCF value might be wrong (High);","")&amp;IF(AND(AL72&lt;&gt;"",OR(AL72&gt;1,AL72&lt;0)),"Incorrect PDS value (High);",IF(AND(AL72&lt;&gt;"",AL72&gt;0.5),"High PDS value (Medium);",""))&amp;IF(AND(AP72&lt;&gt;"",OR(AP72&gt;5,AP72&lt;1)),"Incorrect DQR value (High);","")&amp;IF(AND($A72&lt;&gt;"",AF72&gt;1),"Incorrect scrap rate (High);",IF(AND($A72&lt;&gt;"",AF72=0),"No scrap rate (No impact);",""))&amp;IF(AND($A72&lt;&gt;"",I72="",J72="",K72=""),"No raw material available (High);","")&amp;""</f>
        <v/>
      </c>
      <c r="AU72" s="9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4" t="n"/>
      <c r="M73" s="4" t="n"/>
      <c r="N73" s="3" t="inlineStr">
        <is>
          <t>kg</t>
        </is>
      </c>
      <c r="O73" s="4" t="n"/>
      <c r="P73" s="3" t="inlineStr">
        <is>
          <t>kg</t>
        </is>
      </c>
      <c r="Q73" s="3" t="n"/>
      <c r="R73" s="5" t="n"/>
      <c r="S73" s="6" t="n"/>
      <c r="T73" s="3" t="inlineStr">
        <is>
          <t>kgCO2e/component</t>
        </is>
      </c>
      <c r="U73" s="7" t="n"/>
      <c r="V73" s="4" t="n"/>
      <c r="W73" s="8" t="n"/>
      <c r="X73" s="3" t="inlineStr">
        <is>
          <t>Supplier</t>
        </is>
      </c>
      <c r="Y73" s="3" t="inlineStr">
        <is>
          <t>No</t>
        </is>
      </c>
      <c r="Z73" s="5" t="n"/>
      <c r="AA73" s="3" t="n"/>
      <c r="AB73" s="3" t="n"/>
      <c r="AC73" s="6" t="n"/>
      <c r="AD73" s="3" t="inlineStr">
        <is>
          <t>kgCO2e/component</t>
        </is>
      </c>
      <c r="AE73" s="3" t="n"/>
      <c r="AF73" s="7" t="n"/>
      <c r="AG73" s="3" t="n"/>
      <c r="AH73" s="3" t="n"/>
      <c r="AI73" s="6" t="n"/>
      <c r="AJ73" s="3" t="inlineStr">
        <is>
          <t>kgCO2e/component</t>
        </is>
      </c>
      <c r="AK73" s="3" t="n"/>
      <c r="AL73" s="7" t="n">
        <v>0</v>
      </c>
      <c r="AM73" s="3" t="n"/>
      <c r="AN73" s="3" t="n"/>
      <c r="AO73" s="3" t="n"/>
      <c r="AP73" s="4">
        <f>IF(COUNT(AM73,AN73,AO73)=0,"",ROUND(AVERAGE(AM73,AN73,AO73),3))</f>
        <v/>
      </c>
      <c r="AQ73" s="3">
        <f>IF(AC73="","",ROUND(AC73*IF(M73="",0,M73)*(1+IF(AF73="",0,AF73)),5))</f>
        <v/>
      </c>
      <c r="AR73" s="3" t="inlineStr">
        <is>
          <t>kgCO2e/component</t>
        </is>
      </c>
      <c r="AS73" s="5" t="n"/>
      <c r="AT73" s="9">
        <f>IF(AND($A73&lt;&gt;"",G73=""),"Supplier code empty (High);","")&amp;IF(AND(U73&lt;&gt;"",OR(U73&gt;1,U73&lt;0)),"Incorrect PDS value (High);",IF(AND(U73&lt;&gt;"",U73&gt;0.5),"High PDS value (Medium);",""))&amp;IF(AND(V73&lt;&gt;"",OR(V73&gt;5,V73&lt;1)),"Incorrect DQR value (High);","")&amp;IF(AND(S73&lt;&gt;"",OR(S73&lt;=0,S73&gt;100)),"Unusual PCF value might be wrong (High);","")&amp;IF(AND(AL73&lt;&gt;"",OR(AL73&gt;1,AL73&lt;0)),"Incorrect PDS value (High);",IF(AND(AL73&lt;&gt;"",AL73&gt;0.5),"High PDS value (Medium);",""))&amp;IF(AND(AP73&lt;&gt;"",OR(AP73&gt;5,AP73&lt;1)),"Incorrect DQR value (High);","")&amp;IF(AND($A73&lt;&gt;"",AF73&gt;1),"Incorrect scrap rate (High);",IF(AND($A73&lt;&gt;"",AF73=0),"No scrap rate (No impact);",""))&amp;IF(AND($A73&lt;&gt;"",I73="",J73="",K73=""),"No raw material available (High);","")&amp;""</f>
        <v/>
      </c>
      <c r="AU73" s="9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4" t="n"/>
      <c r="M74" s="4" t="n"/>
      <c r="N74" s="3" t="inlineStr">
        <is>
          <t>kg</t>
        </is>
      </c>
      <c r="O74" s="4" t="n"/>
      <c r="P74" s="3" t="inlineStr">
        <is>
          <t>kg</t>
        </is>
      </c>
      <c r="Q74" s="3" t="n"/>
      <c r="R74" s="5" t="n"/>
      <c r="S74" s="6" t="n"/>
      <c r="T74" s="3" t="inlineStr">
        <is>
          <t>kgCO2e/component</t>
        </is>
      </c>
      <c r="U74" s="7" t="n"/>
      <c r="V74" s="4" t="n"/>
      <c r="W74" s="8" t="n"/>
      <c r="X74" s="3" t="inlineStr">
        <is>
          <t>Supplier</t>
        </is>
      </c>
      <c r="Y74" s="3" t="inlineStr">
        <is>
          <t>No</t>
        </is>
      </c>
      <c r="Z74" s="5" t="n"/>
      <c r="AA74" s="3" t="n"/>
      <c r="AB74" s="3" t="n"/>
      <c r="AC74" s="6" t="n"/>
      <c r="AD74" s="3" t="inlineStr">
        <is>
          <t>kgCO2e/component</t>
        </is>
      </c>
      <c r="AE74" s="3" t="n"/>
      <c r="AF74" s="7" t="n"/>
      <c r="AG74" s="3" t="n"/>
      <c r="AH74" s="3" t="n"/>
      <c r="AI74" s="6" t="n"/>
      <c r="AJ74" s="3" t="inlineStr">
        <is>
          <t>kgCO2e/component</t>
        </is>
      </c>
      <c r="AK74" s="3" t="n"/>
      <c r="AL74" s="7" t="n">
        <v>0</v>
      </c>
      <c r="AM74" s="3" t="n"/>
      <c r="AN74" s="3" t="n"/>
      <c r="AO74" s="3" t="n"/>
      <c r="AP74" s="4">
        <f>IF(COUNT(AM74,AN74,AO74)=0,"",ROUND(AVERAGE(AM74,AN74,AO74),3))</f>
        <v/>
      </c>
      <c r="AQ74" s="3">
        <f>IF(AC74="","",ROUND(AC74*IF(M74="",0,M74)*(1+IF(AF74="",0,AF74)),5))</f>
        <v/>
      </c>
      <c r="AR74" s="3" t="inlineStr">
        <is>
          <t>kgCO2e/component</t>
        </is>
      </c>
      <c r="AS74" s="5" t="n"/>
      <c r="AT74" s="9">
        <f>IF(AND($A74&lt;&gt;"",G74=""),"Supplier code empty (High);","")&amp;IF(AND(U74&lt;&gt;"",OR(U74&gt;1,U74&lt;0)),"Incorrect PDS value (High);",IF(AND(U74&lt;&gt;"",U74&gt;0.5),"High PDS value (Medium);",""))&amp;IF(AND(V74&lt;&gt;"",OR(V74&gt;5,V74&lt;1)),"Incorrect DQR value (High);","")&amp;IF(AND(S74&lt;&gt;"",OR(S74&lt;=0,S74&gt;100)),"Unusual PCF value might be wrong (High);","")&amp;IF(AND(AL74&lt;&gt;"",OR(AL74&gt;1,AL74&lt;0)),"Incorrect PDS value (High);",IF(AND(AL74&lt;&gt;"",AL74&gt;0.5),"High PDS value (Medium);",""))&amp;IF(AND(AP74&lt;&gt;"",OR(AP74&gt;5,AP74&lt;1)),"Incorrect DQR value (High);","")&amp;IF(AND($A74&lt;&gt;"",AF74&gt;1),"Incorrect scrap rate (High);",IF(AND($A74&lt;&gt;"",AF74=0),"No scrap rate (No impact);",""))&amp;IF(AND($A74&lt;&gt;"",I74="",J74="",K74=""),"No raw material available (High);","")&amp;""</f>
        <v/>
      </c>
      <c r="AU74" s="9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4" t="n"/>
      <c r="M75" s="4" t="n"/>
      <c r="N75" s="3" t="inlineStr">
        <is>
          <t>kg</t>
        </is>
      </c>
      <c r="O75" s="4" t="n"/>
      <c r="P75" s="3" t="inlineStr">
        <is>
          <t>kg</t>
        </is>
      </c>
      <c r="Q75" s="3" t="n"/>
      <c r="R75" s="5" t="n"/>
      <c r="S75" s="6" t="n"/>
      <c r="T75" s="3" t="inlineStr">
        <is>
          <t>kgCO2e/component</t>
        </is>
      </c>
      <c r="U75" s="7" t="n"/>
      <c r="V75" s="4" t="n"/>
      <c r="W75" s="8" t="n"/>
      <c r="X75" s="3" t="inlineStr">
        <is>
          <t>Supplier</t>
        </is>
      </c>
      <c r="Y75" s="3" t="inlineStr">
        <is>
          <t>No</t>
        </is>
      </c>
      <c r="Z75" s="5" t="n"/>
      <c r="AA75" s="3" t="n"/>
      <c r="AB75" s="3" t="n"/>
      <c r="AC75" s="6" t="n"/>
      <c r="AD75" s="3" t="inlineStr">
        <is>
          <t>kgCO2e/component</t>
        </is>
      </c>
      <c r="AE75" s="3" t="n"/>
      <c r="AF75" s="7" t="n"/>
      <c r="AG75" s="3" t="n"/>
      <c r="AH75" s="3" t="n"/>
      <c r="AI75" s="6" t="n"/>
      <c r="AJ75" s="3" t="inlineStr">
        <is>
          <t>kgCO2e/component</t>
        </is>
      </c>
      <c r="AK75" s="3" t="n"/>
      <c r="AL75" s="7" t="n">
        <v>0</v>
      </c>
      <c r="AM75" s="3" t="n"/>
      <c r="AN75" s="3" t="n"/>
      <c r="AO75" s="3" t="n"/>
      <c r="AP75" s="4">
        <f>IF(COUNT(AM75,AN75,AO75)=0,"",ROUND(AVERAGE(AM75,AN75,AO75),3))</f>
        <v/>
      </c>
      <c r="AQ75" s="3">
        <f>IF(AC75="","",ROUND(AC75*IF(M75="",0,M75)*(1+IF(AF75="",0,AF75)),5))</f>
        <v/>
      </c>
      <c r="AR75" s="3" t="inlineStr">
        <is>
          <t>kgCO2e/component</t>
        </is>
      </c>
      <c r="AS75" s="5" t="n"/>
      <c r="AT75" s="9">
        <f>IF(AND($A75&lt;&gt;"",G75=""),"Supplier code empty (High);","")&amp;IF(AND(U75&lt;&gt;"",OR(U75&gt;1,U75&lt;0)),"Incorrect PDS value (High);",IF(AND(U75&lt;&gt;"",U75&gt;0.5),"High PDS value (Medium);",""))&amp;IF(AND(V75&lt;&gt;"",OR(V75&gt;5,V75&lt;1)),"Incorrect DQR value (High);","")&amp;IF(AND(S75&lt;&gt;"",OR(S75&lt;=0,S75&gt;100)),"Unusual PCF value might be wrong (High);","")&amp;IF(AND(AL75&lt;&gt;"",OR(AL75&gt;1,AL75&lt;0)),"Incorrect PDS value (High);",IF(AND(AL75&lt;&gt;"",AL75&gt;0.5),"High PDS value (Medium);",""))&amp;IF(AND(AP75&lt;&gt;"",OR(AP75&gt;5,AP75&lt;1)),"Incorrect DQR value (High);","")&amp;IF(AND($A75&lt;&gt;"",AF75&gt;1),"Incorrect scrap rate (High);",IF(AND($A75&lt;&gt;"",AF75=0),"No scrap rate (No impact);",""))&amp;IF(AND($A75&lt;&gt;"",I75="",J75="",K75=""),"No raw material available (High);","")&amp;""</f>
        <v/>
      </c>
      <c r="AU75" s="9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4" t="n"/>
      <c r="M76" s="4" t="n"/>
      <c r="N76" s="3" t="inlineStr">
        <is>
          <t>kg</t>
        </is>
      </c>
      <c r="O76" s="4" t="n"/>
      <c r="P76" s="3" t="inlineStr">
        <is>
          <t>kg</t>
        </is>
      </c>
      <c r="Q76" s="3" t="n"/>
      <c r="R76" s="5" t="n"/>
      <c r="S76" s="6" t="n"/>
      <c r="T76" s="3" t="inlineStr">
        <is>
          <t>kgCO2e/component</t>
        </is>
      </c>
      <c r="U76" s="7" t="n"/>
      <c r="V76" s="4" t="n"/>
      <c r="W76" s="8" t="n"/>
      <c r="X76" s="3" t="inlineStr">
        <is>
          <t>Supplier</t>
        </is>
      </c>
      <c r="Y76" s="3" t="inlineStr">
        <is>
          <t>No</t>
        </is>
      </c>
      <c r="Z76" s="5" t="n"/>
      <c r="AA76" s="3" t="n"/>
      <c r="AB76" s="3" t="n"/>
      <c r="AC76" s="6" t="n"/>
      <c r="AD76" s="3" t="inlineStr">
        <is>
          <t>kgCO2e/component</t>
        </is>
      </c>
      <c r="AE76" s="3" t="n"/>
      <c r="AF76" s="7" t="n"/>
      <c r="AG76" s="3" t="n"/>
      <c r="AH76" s="3" t="n"/>
      <c r="AI76" s="6" t="n"/>
      <c r="AJ76" s="3" t="inlineStr">
        <is>
          <t>kgCO2e/component</t>
        </is>
      </c>
      <c r="AK76" s="3" t="n"/>
      <c r="AL76" s="7" t="n">
        <v>0</v>
      </c>
      <c r="AM76" s="3" t="n"/>
      <c r="AN76" s="3" t="n"/>
      <c r="AO76" s="3" t="n"/>
      <c r="AP76" s="4">
        <f>IF(COUNT(AM76,AN76,AO76)=0,"",ROUND(AVERAGE(AM76,AN76,AO76),3))</f>
        <v/>
      </c>
      <c r="AQ76" s="3">
        <f>IF(AC76="","",ROUND(AC76*IF(M76="",0,M76)*(1+IF(AF76="",0,AF76)),5))</f>
        <v/>
      </c>
      <c r="AR76" s="3" t="inlineStr">
        <is>
          <t>kgCO2e/component</t>
        </is>
      </c>
      <c r="AS76" s="5" t="n"/>
      <c r="AT76" s="9">
        <f>IF(AND($A76&lt;&gt;"",G76=""),"Supplier code empty (High);","")&amp;IF(AND(U76&lt;&gt;"",OR(U76&gt;1,U76&lt;0)),"Incorrect PDS value (High);",IF(AND(U76&lt;&gt;"",U76&gt;0.5),"High PDS value (Medium);",""))&amp;IF(AND(V76&lt;&gt;"",OR(V76&gt;5,V76&lt;1)),"Incorrect DQR value (High);","")&amp;IF(AND(S76&lt;&gt;"",OR(S76&lt;=0,S76&gt;100)),"Unusual PCF value might be wrong (High);","")&amp;IF(AND(AL76&lt;&gt;"",OR(AL76&gt;1,AL76&lt;0)),"Incorrect PDS value (High);",IF(AND(AL76&lt;&gt;"",AL76&gt;0.5),"High PDS value (Medium);",""))&amp;IF(AND(AP76&lt;&gt;"",OR(AP76&gt;5,AP76&lt;1)),"Incorrect DQR value (High);","")&amp;IF(AND($A76&lt;&gt;"",AF76&gt;1),"Incorrect scrap rate (High);",IF(AND($A76&lt;&gt;"",AF76=0),"No scrap rate (No impact);",""))&amp;IF(AND($A76&lt;&gt;"",I76="",J76="",K76=""),"No raw material available (High);","")&amp;""</f>
        <v/>
      </c>
      <c r="AU76" s="9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4" t="n"/>
      <c r="M77" s="4" t="n"/>
      <c r="N77" s="3" t="inlineStr">
        <is>
          <t>kg</t>
        </is>
      </c>
      <c r="O77" s="4" t="n"/>
      <c r="P77" s="3" t="inlineStr">
        <is>
          <t>kg</t>
        </is>
      </c>
      <c r="Q77" s="3" t="n"/>
      <c r="R77" s="5" t="n"/>
      <c r="S77" s="6" t="n"/>
      <c r="T77" s="3" t="inlineStr">
        <is>
          <t>kgCO2e/component</t>
        </is>
      </c>
      <c r="U77" s="7" t="n"/>
      <c r="V77" s="4" t="n"/>
      <c r="W77" s="8" t="n"/>
      <c r="X77" s="3" t="inlineStr">
        <is>
          <t>Supplier</t>
        </is>
      </c>
      <c r="Y77" s="3" t="inlineStr">
        <is>
          <t>No</t>
        </is>
      </c>
      <c r="Z77" s="5" t="n"/>
      <c r="AA77" s="3" t="n"/>
      <c r="AB77" s="3" t="n"/>
      <c r="AC77" s="6" t="n"/>
      <c r="AD77" s="3" t="inlineStr">
        <is>
          <t>kgCO2e/component</t>
        </is>
      </c>
      <c r="AE77" s="3" t="n"/>
      <c r="AF77" s="7" t="n"/>
      <c r="AG77" s="3" t="n"/>
      <c r="AH77" s="3" t="n"/>
      <c r="AI77" s="6" t="n"/>
      <c r="AJ77" s="3" t="inlineStr">
        <is>
          <t>kgCO2e/component</t>
        </is>
      </c>
      <c r="AK77" s="3" t="n"/>
      <c r="AL77" s="7" t="n">
        <v>0</v>
      </c>
      <c r="AM77" s="3" t="n"/>
      <c r="AN77" s="3" t="n"/>
      <c r="AO77" s="3" t="n"/>
      <c r="AP77" s="4">
        <f>IF(COUNT(AM77,AN77,AO77)=0,"",ROUND(AVERAGE(AM77,AN77,AO77),3))</f>
        <v/>
      </c>
      <c r="AQ77" s="3">
        <f>IF(AC77="","",ROUND(AC77*IF(M77="",0,M77)*(1+IF(AF77="",0,AF77)),5))</f>
        <v/>
      </c>
      <c r="AR77" s="3" t="inlineStr">
        <is>
          <t>kgCO2e/component</t>
        </is>
      </c>
      <c r="AS77" s="5" t="n"/>
      <c r="AT77" s="9">
        <f>IF(AND($A77&lt;&gt;"",G77=""),"Supplier code empty (High);","")&amp;IF(AND(U77&lt;&gt;"",OR(U77&gt;1,U77&lt;0)),"Incorrect PDS value (High);",IF(AND(U77&lt;&gt;"",U77&gt;0.5),"High PDS value (Medium);",""))&amp;IF(AND(V77&lt;&gt;"",OR(V77&gt;5,V77&lt;1)),"Incorrect DQR value (High);","")&amp;IF(AND(S77&lt;&gt;"",OR(S77&lt;=0,S77&gt;100)),"Unusual PCF value might be wrong (High);","")&amp;IF(AND(AL77&lt;&gt;"",OR(AL77&gt;1,AL77&lt;0)),"Incorrect PDS value (High);",IF(AND(AL77&lt;&gt;"",AL77&gt;0.5),"High PDS value (Medium);",""))&amp;IF(AND(AP77&lt;&gt;"",OR(AP77&gt;5,AP77&lt;1)),"Incorrect DQR value (High);","")&amp;IF(AND($A77&lt;&gt;"",AF77&gt;1),"Incorrect scrap rate (High);",IF(AND($A77&lt;&gt;"",AF77=0),"No scrap rate (No impact);",""))&amp;IF(AND($A77&lt;&gt;"",I77="",J77="",K77=""),"No raw material available (High);","")&amp;""</f>
        <v/>
      </c>
      <c r="AU77" s="9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4" t="n"/>
      <c r="M78" s="4" t="n"/>
      <c r="N78" s="3" t="inlineStr">
        <is>
          <t>kg</t>
        </is>
      </c>
      <c r="O78" s="4" t="n"/>
      <c r="P78" s="3" t="inlineStr">
        <is>
          <t>kg</t>
        </is>
      </c>
      <c r="Q78" s="3" t="n"/>
      <c r="R78" s="5" t="n"/>
      <c r="S78" s="6" t="n"/>
      <c r="T78" s="3" t="inlineStr">
        <is>
          <t>kgCO2e/component</t>
        </is>
      </c>
      <c r="U78" s="7" t="n"/>
      <c r="V78" s="4" t="n"/>
      <c r="W78" s="8" t="n"/>
      <c r="X78" s="3" t="inlineStr">
        <is>
          <t>Supplier</t>
        </is>
      </c>
      <c r="Y78" s="3" t="inlineStr">
        <is>
          <t>No</t>
        </is>
      </c>
      <c r="Z78" s="5" t="n"/>
      <c r="AA78" s="3" t="n"/>
      <c r="AB78" s="3" t="n"/>
      <c r="AC78" s="6" t="n"/>
      <c r="AD78" s="3" t="inlineStr">
        <is>
          <t>kgCO2e/component</t>
        </is>
      </c>
      <c r="AE78" s="3" t="n"/>
      <c r="AF78" s="7" t="n"/>
      <c r="AG78" s="3" t="n"/>
      <c r="AH78" s="3" t="n"/>
      <c r="AI78" s="6" t="n"/>
      <c r="AJ78" s="3" t="inlineStr">
        <is>
          <t>kgCO2e/component</t>
        </is>
      </c>
      <c r="AK78" s="3" t="n"/>
      <c r="AL78" s="7" t="n">
        <v>0</v>
      </c>
      <c r="AM78" s="3" t="n"/>
      <c r="AN78" s="3" t="n"/>
      <c r="AO78" s="3" t="n"/>
      <c r="AP78" s="4">
        <f>IF(COUNT(AM78,AN78,AO78)=0,"",ROUND(AVERAGE(AM78,AN78,AO78),3))</f>
        <v/>
      </c>
      <c r="AQ78" s="3">
        <f>IF(AC78="","",ROUND(AC78*IF(M78="",0,M78)*(1+IF(AF78="",0,AF78)),5))</f>
        <v/>
      </c>
      <c r="AR78" s="3" t="inlineStr">
        <is>
          <t>kgCO2e/component</t>
        </is>
      </c>
      <c r="AS78" s="5" t="n"/>
      <c r="AT78" s="9">
        <f>IF(AND($A78&lt;&gt;"",G78=""),"Supplier code empty (High);","")&amp;IF(AND(U78&lt;&gt;"",OR(U78&gt;1,U78&lt;0)),"Incorrect PDS value (High);",IF(AND(U78&lt;&gt;"",U78&gt;0.5),"High PDS value (Medium);",""))&amp;IF(AND(V78&lt;&gt;"",OR(V78&gt;5,V78&lt;1)),"Incorrect DQR value (High);","")&amp;IF(AND(S78&lt;&gt;"",OR(S78&lt;=0,S78&gt;100)),"Unusual PCF value might be wrong (High);","")&amp;IF(AND(AL78&lt;&gt;"",OR(AL78&gt;1,AL78&lt;0)),"Incorrect PDS value (High);",IF(AND(AL78&lt;&gt;"",AL78&gt;0.5),"High PDS value (Medium);",""))&amp;IF(AND(AP78&lt;&gt;"",OR(AP78&gt;5,AP78&lt;1)),"Incorrect DQR value (High);","")&amp;IF(AND($A78&lt;&gt;"",AF78&gt;1),"Incorrect scrap rate (High);",IF(AND($A78&lt;&gt;"",AF78=0),"No scrap rate (No impact);",""))&amp;IF(AND($A78&lt;&gt;"",I78="",J78="",K78=""),"No raw material available (High);","")&amp;""</f>
        <v/>
      </c>
      <c r="AU78" s="9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4" t="n"/>
      <c r="M79" s="4" t="n"/>
      <c r="N79" s="3" t="inlineStr">
        <is>
          <t>kg</t>
        </is>
      </c>
      <c r="O79" s="4" t="n"/>
      <c r="P79" s="3" t="inlineStr">
        <is>
          <t>kg</t>
        </is>
      </c>
      <c r="Q79" s="3" t="n"/>
      <c r="R79" s="5" t="n"/>
      <c r="S79" s="6" t="n"/>
      <c r="T79" s="3" t="inlineStr">
        <is>
          <t>kgCO2e/component</t>
        </is>
      </c>
      <c r="U79" s="7" t="n"/>
      <c r="V79" s="4" t="n"/>
      <c r="W79" s="8" t="n"/>
      <c r="X79" s="3" t="inlineStr">
        <is>
          <t>Supplier</t>
        </is>
      </c>
      <c r="Y79" s="3" t="inlineStr">
        <is>
          <t>No</t>
        </is>
      </c>
      <c r="Z79" s="5" t="n"/>
      <c r="AA79" s="3" t="n"/>
      <c r="AB79" s="3" t="n"/>
      <c r="AC79" s="6" t="n"/>
      <c r="AD79" s="3" t="inlineStr">
        <is>
          <t>kgCO2e/component</t>
        </is>
      </c>
      <c r="AE79" s="3" t="n"/>
      <c r="AF79" s="7" t="n"/>
      <c r="AG79" s="3" t="n"/>
      <c r="AH79" s="3" t="n"/>
      <c r="AI79" s="6" t="n"/>
      <c r="AJ79" s="3" t="inlineStr">
        <is>
          <t>kgCO2e/component</t>
        </is>
      </c>
      <c r="AK79" s="3" t="n"/>
      <c r="AL79" s="7" t="n">
        <v>0</v>
      </c>
      <c r="AM79" s="3" t="n"/>
      <c r="AN79" s="3" t="n"/>
      <c r="AO79" s="3" t="n"/>
      <c r="AP79" s="4">
        <f>IF(COUNT(AM79,AN79,AO79)=0,"",ROUND(AVERAGE(AM79,AN79,AO79),3))</f>
        <v/>
      </c>
      <c r="AQ79" s="3">
        <f>IF(AC79="","",ROUND(AC79*IF(M79="",0,M79)*(1+IF(AF79="",0,AF79)),5))</f>
        <v/>
      </c>
      <c r="AR79" s="3" t="inlineStr">
        <is>
          <t>kgCO2e/component</t>
        </is>
      </c>
      <c r="AS79" s="5" t="n"/>
      <c r="AT79" s="9">
        <f>IF(AND($A79&lt;&gt;"",G79=""),"Supplier code empty (High);","")&amp;IF(AND(U79&lt;&gt;"",OR(U79&gt;1,U79&lt;0)),"Incorrect PDS value (High);",IF(AND(U79&lt;&gt;"",U79&gt;0.5),"High PDS value (Medium);",""))&amp;IF(AND(V79&lt;&gt;"",OR(V79&gt;5,V79&lt;1)),"Incorrect DQR value (High);","")&amp;IF(AND(S79&lt;&gt;"",OR(S79&lt;=0,S79&gt;100)),"Unusual PCF value might be wrong (High);","")&amp;IF(AND(AL79&lt;&gt;"",OR(AL79&gt;1,AL79&lt;0)),"Incorrect PDS value (High);",IF(AND(AL79&lt;&gt;"",AL79&gt;0.5),"High PDS value (Medium);",""))&amp;IF(AND(AP79&lt;&gt;"",OR(AP79&gt;5,AP79&lt;1)),"Incorrect DQR value (High);","")&amp;IF(AND($A79&lt;&gt;"",AF79&gt;1),"Incorrect scrap rate (High);",IF(AND($A79&lt;&gt;"",AF79=0),"No scrap rate (No impact);",""))&amp;IF(AND($A79&lt;&gt;"",I79="",J79="",K79=""),"No raw material available (High);","")&amp;""</f>
        <v/>
      </c>
      <c r="AU79" s="9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4" t="n"/>
      <c r="M80" s="4" t="n"/>
      <c r="N80" s="3" t="inlineStr">
        <is>
          <t>kg</t>
        </is>
      </c>
      <c r="O80" s="4" t="n"/>
      <c r="P80" s="3" t="inlineStr">
        <is>
          <t>kg</t>
        </is>
      </c>
      <c r="Q80" s="3" t="n"/>
      <c r="R80" s="5" t="n"/>
      <c r="S80" s="6" t="n"/>
      <c r="T80" s="3" t="inlineStr">
        <is>
          <t>kgCO2e/component</t>
        </is>
      </c>
      <c r="U80" s="7" t="n"/>
      <c r="V80" s="4" t="n"/>
      <c r="W80" s="8" t="n"/>
      <c r="X80" s="3" t="inlineStr">
        <is>
          <t>Supplier</t>
        </is>
      </c>
      <c r="Y80" s="3" t="inlineStr">
        <is>
          <t>No</t>
        </is>
      </c>
      <c r="Z80" s="5" t="n"/>
      <c r="AA80" s="3" t="n"/>
      <c r="AB80" s="3" t="n"/>
      <c r="AC80" s="6" t="n"/>
      <c r="AD80" s="3" t="inlineStr">
        <is>
          <t>kgCO2e/component</t>
        </is>
      </c>
      <c r="AE80" s="3" t="n"/>
      <c r="AF80" s="7" t="n"/>
      <c r="AG80" s="3" t="n"/>
      <c r="AH80" s="3" t="n"/>
      <c r="AI80" s="6" t="n"/>
      <c r="AJ80" s="3" t="inlineStr">
        <is>
          <t>kgCO2e/component</t>
        </is>
      </c>
      <c r="AK80" s="3" t="n"/>
      <c r="AL80" s="7" t="n">
        <v>0</v>
      </c>
      <c r="AM80" s="3" t="n"/>
      <c r="AN80" s="3" t="n"/>
      <c r="AO80" s="3" t="n"/>
      <c r="AP80" s="4">
        <f>IF(COUNT(AM80,AN80,AO80)=0,"",ROUND(AVERAGE(AM80,AN80,AO80),3))</f>
        <v/>
      </c>
      <c r="AQ80" s="3">
        <f>IF(AC80="","",ROUND(AC80*IF(M80="",0,M80)*(1+IF(AF80="",0,AF80)),5))</f>
        <v/>
      </c>
      <c r="AR80" s="3" t="inlineStr">
        <is>
          <t>kgCO2e/component</t>
        </is>
      </c>
      <c r="AS80" s="5" t="n"/>
      <c r="AT80" s="9">
        <f>IF(AND($A80&lt;&gt;"",G80=""),"Supplier code empty (High);","")&amp;IF(AND(U80&lt;&gt;"",OR(U80&gt;1,U80&lt;0)),"Incorrect PDS value (High);",IF(AND(U80&lt;&gt;"",U80&gt;0.5),"High PDS value (Medium);",""))&amp;IF(AND(V80&lt;&gt;"",OR(V80&gt;5,V80&lt;1)),"Incorrect DQR value (High);","")&amp;IF(AND(S80&lt;&gt;"",OR(S80&lt;=0,S80&gt;100)),"Unusual PCF value might be wrong (High);","")&amp;IF(AND(AL80&lt;&gt;"",OR(AL80&gt;1,AL80&lt;0)),"Incorrect PDS value (High);",IF(AND(AL80&lt;&gt;"",AL80&gt;0.5),"High PDS value (Medium);",""))&amp;IF(AND(AP80&lt;&gt;"",OR(AP80&gt;5,AP80&lt;1)),"Incorrect DQR value (High);","")&amp;IF(AND($A80&lt;&gt;"",AF80&gt;1),"Incorrect scrap rate (High);",IF(AND($A80&lt;&gt;"",AF80=0),"No scrap rate (No impact);",""))&amp;IF(AND($A80&lt;&gt;"",I80="",J80="",K80=""),"No raw material available (High);","")&amp;""</f>
        <v/>
      </c>
      <c r="AU80" s="9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4" t="n"/>
      <c r="M81" s="4" t="n"/>
      <c r="N81" s="3" t="inlineStr">
        <is>
          <t>kg</t>
        </is>
      </c>
      <c r="O81" s="4" t="n"/>
      <c r="P81" s="3" t="inlineStr">
        <is>
          <t>kg</t>
        </is>
      </c>
      <c r="Q81" s="3" t="n"/>
      <c r="R81" s="5" t="n"/>
      <c r="S81" s="6" t="n"/>
      <c r="T81" s="3" t="inlineStr">
        <is>
          <t>kgCO2e/component</t>
        </is>
      </c>
      <c r="U81" s="7" t="n"/>
      <c r="V81" s="4" t="n"/>
      <c r="W81" s="8" t="n"/>
      <c r="X81" s="3" t="inlineStr">
        <is>
          <t>Supplier</t>
        </is>
      </c>
      <c r="Y81" s="3" t="inlineStr">
        <is>
          <t>No</t>
        </is>
      </c>
      <c r="Z81" s="5" t="n"/>
      <c r="AA81" s="3" t="n"/>
      <c r="AB81" s="3" t="n"/>
      <c r="AC81" s="6" t="n"/>
      <c r="AD81" s="3" t="inlineStr">
        <is>
          <t>kgCO2e/component</t>
        </is>
      </c>
      <c r="AE81" s="3" t="n"/>
      <c r="AF81" s="7" t="n"/>
      <c r="AG81" s="3" t="n"/>
      <c r="AH81" s="3" t="n"/>
      <c r="AI81" s="6" t="n"/>
      <c r="AJ81" s="3" t="inlineStr">
        <is>
          <t>kgCO2e/component</t>
        </is>
      </c>
      <c r="AK81" s="3" t="n"/>
      <c r="AL81" s="7" t="n">
        <v>0</v>
      </c>
      <c r="AM81" s="3" t="n"/>
      <c r="AN81" s="3" t="n"/>
      <c r="AO81" s="3" t="n"/>
      <c r="AP81" s="4">
        <f>IF(COUNT(AM81,AN81,AO81)=0,"",ROUND(AVERAGE(AM81,AN81,AO81),3))</f>
        <v/>
      </c>
      <c r="AQ81" s="3">
        <f>IF(AC81="","",ROUND(AC81*IF(M81="",0,M81)*(1+IF(AF81="",0,AF81)),5))</f>
        <v/>
      </c>
      <c r="AR81" s="3" t="inlineStr">
        <is>
          <t>kgCO2e/component</t>
        </is>
      </c>
      <c r="AS81" s="5" t="n"/>
      <c r="AT81" s="9">
        <f>IF(AND($A81&lt;&gt;"",G81=""),"Supplier code empty (High);","")&amp;IF(AND(U81&lt;&gt;"",OR(U81&gt;1,U81&lt;0)),"Incorrect PDS value (High);",IF(AND(U81&lt;&gt;"",U81&gt;0.5),"High PDS value (Medium);",""))&amp;IF(AND(V81&lt;&gt;"",OR(V81&gt;5,V81&lt;1)),"Incorrect DQR value (High);","")&amp;IF(AND(S81&lt;&gt;"",OR(S81&lt;=0,S81&gt;100)),"Unusual PCF value might be wrong (High);","")&amp;IF(AND(AL81&lt;&gt;"",OR(AL81&gt;1,AL81&lt;0)),"Incorrect PDS value (High);",IF(AND(AL81&lt;&gt;"",AL81&gt;0.5),"High PDS value (Medium);",""))&amp;IF(AND(AP81&lt;&gt;"",OR(AP81&gt;5,AP81&lt;1)),"Incorrect DQR value (High);","")&amp;IF(AND($A81&lt;&gt;"",AF81&gt;1),"Incorrect scrap rate (High);",IF(AND($A81&lt;&gt;"",AF81=0),"No scrap rate (No impact);",""))&amp;IF(AND($A81&lt;&gt;"",I81="",J81="",K81=""),"No raw material available (High);","")&amp;""</f>
        <v/>
      </c>
      <c r="AU81" s="9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4" t="n"/>
      <c r="M82" s="4" t="n"/>
      <c r="N82" s="3" t="inlineStr">
        <is>
          <t>kg</t>
        </is>
      </c>
      <c r="O82" s="4" t="n"/>
      <c r="P82" s="3" t="inlineStr">
        <is>
          <t>kg</t>
        </is>
      </c>
      <c r="Q82" s="3" t="n"/>
      <c r="R82" s="5" t="n"/>
      <c r="S82" s="6" t="n"/>
      <c r="T82" s="3" t="inlineStr">
        <is>
          <t>kgCO2e/component</t>
        </is>
      </c>
      <c r="U82" s="7" t="n"/>
      <c r="V82" s="4" t="n"/>
      <c r="W82" s="8" t="n"/>
      <c r="X82" s="3" t="inlineStr">
        <is>
          <t>Supplier</t>
        </is>
      </c>
      <c r="Y82" s="3" t="inlineStr">
        <is>
          <t>No</t>
        </is>
      </c>
      <c r="Z82" s="5" t="n"/>
      <c r="AA82" s="3" t="n"/>
      <c r="AB82" s="3" t="n"/>
      <c r="AC82" s="6" t="n"/>
      <c r="AD82" s="3" t="inlineStr">
        <is>
          <t>kgCO2e/component</t>
        </is>
      </c>
      <c r="AE82" s="3" t="n"/>
      <c r="AF82" s="7" t="n"/>
      <c r="AG82" s="3" t="n"/>
      <c r="AH82" s="3" t="n"/>
      <c r="AI82" s="6" t="n"/>
      <c r="AJ82" s="3" t="inlineStr">
        <is>
          <t>kgCO2e/component</t>
        </is>
      </c>
      <c r="AK82" s="3" t="n"/>
      <c r="AL82" s="7" t="n">
        <v>0</v>
      </c>
      <c r="AM82" s="3" t="n"/>
      <c r="AN82" s="3" t="n"/>
      <c r="AO82" s="3" t="n"/>
      <c r="AP82" s="4">
        <f>IF(COUNT(AM82,AN82,AO82)=0,"",ROUND(AVERAGE(AM82,AN82,AO82),3))</f>
        <v/>
      </c>
      <c r="AQ82" s="3">
        <f>IF(AC82="","",ROUND(AC82*IF(M82="",0,M82)*(1+IF(AF82="",0,AF82)),5))</f>
        <v/>
      </c>
      <c r="AR82" s="3" t="inlineStr">
        <is>
          <t>kgCO2e/component</t>
        </is>
      </c>
      <c r="AS82" s="5" t="n"/>
      <c r="AT82" s="9">
        <f>IF(AND($A82&lt;&gt;"",G82=""),"Supplier code empty (High);","")&amp;IF(AND(U82&lt;&gt;"",OR(U82&gt;1,U82&lt;0)),"Incorrect PDS value (High);",IF(AND(U82&lt;&gt;"",U82&gt;0.5),"High PDS value (Medium);",""))&amp;IF(AND(V82&lt;&gt;"",OR(V82&gt;5,V82&lt;1)),"Incorrect DQR value (High);","")&amp;IF(AND(S82&lt;&gt;"",OR(S82&lt;=0,S82&gt;100)),"Unusual PCF value might be wrong (High);","")&amp;IF(AND(AL82&lt;&gt;"",OR(AL82&gt;1,AL82&lt;0)),"Incorrect PDS value (High);",IF(AND(AL82&lt;&gt;"",AL82&gt;0.5),"High PDS value (Medium);",""))&amp;IF(AND(AP82&lt;&gt;"",OR(AP82&gt;5,AP82&lt;1)),"Incorrect DQR value (High);","")&amp;IF(AND($A82&lt;&gt;"",AF82&gt;1),"Incorrect scrap rate (High);",IF(AND($A82&lt;&gt;"",AF82=0),"No scrap rate (No impact);",""))&amp;IF(AND($A82&lt;&gt;"",I82="",J82="",K82=""),"No raw material available (High);","")&amp;""</f>
        <v/>
      </c>
      <c r="AU82" s="9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4" t="n"/>
      <c r="M83" s="4" t="n"/>
      <c r="N83" s="3" t="inlineStr">
        <is>
          <t>kg</t>
        </is>
      </c>
      <c r="O83" s="4" t="n"/>
      <c r="P83" s="3" t="inlineStr">
        <is>
          <t>kg</t>
        </is>
      </c>
      <c r="Q83" s="3" t="n"/>
      <c r="R83" s="5" t="n"/>
      <c r="S83" s="6" t="n"/>
      <c r="T83" s="3" t="inlineStr">
        <is>
          <t>kgCO2e/component</t>
        </is>
      </c>
      <c r="U83" s="7" t="n"/>
      <c r="V83" s="4" t="n"/>
      <c r="W83" s="8" t="n"/>
      <c r="X83" s="3" t="inlineStr">
        <is>
          <t>Supplier</t>
        </is>
      </c>
      <c r="Y83" s="3" t="inlineStr">
        <is>
          <t>No</t>
        </is>
      </c>
      <c r="Z83" s="5" t="n"/>
      <c r="AA83" s="3" t="n"/>
      <c r="AB83" s="3" t="n"/>
      <c r="AC83" s="6" t="n"/>
      <c r="AD83" s="3" t="inlineStr">
        <is>
          <t>kgCO2e/component</t>
        </is>
      </c>
      <c r="AE83" s="3" t="n"/>
      <c r="AF83" s="7" t="n"/>
      <c r="AG83" s="3" t="n"/>
      <c r="AH83" s="3" t="n"/>
      <c r="AI83" s="6" t="n"/>
      <c r="AJ83" s="3" t="inlineStr">
        <is>
          <t>kgCO2e/component</t>
        </is>
      </c>
      <c r="AK83" s="3" t="n"/>
      <c r="AL83" s="7" t="n">
        <v>0</v>
      </c>
      <c r="AM83" s="3" t="n"/>
      <c r="AN83" s="3" t="n"/>
      <c r="AO83" s="3" t="n"/>
      <c r="AP83" s="4">
        <f>IF(COUNT(AM83,AN83,AO83)=0,"",ROUND(AVERAGE(AM83,AN83,AO83),3))</f>
        <v/>
      </c>
      <c r="AQ83" s="3">
        <f>IF(AC83="","",ROUND(AC83*IF(M83="",0,M83)*(1+IF(AF83="",0,AF83)),5))</f>
        <v/>
      </c>
      <c r="AR83" s="3" t="inlineStr">
        <is>
          <t>kgCO2e/component</t>
        </is>
      </c>
      <c r="AS83" s="5" t="n"/>
      <c r="AT83" s="9">
        <f>IF(AND($A83&lt;&gt;"",G83=""),"Supplier code empty (High);","")&amp;IF(AND(U83&lt;&gt;"",OR(U83&gt;1,U83&lt;0)),"Incorrect PDS value (High);",IF(AND(U83&lt;&gt;"",U83&gt;0.5),"High PDS value (Medium);",""))&amp;IF(AND(V83&lt;&gt;"",OR(V83&gt;5,V83&lt;1)),"Incorrect DQR value (High);","")&amp;IF(AND(S83&lt;&gt;"",OR(S83&lt;=0,S83&gt;100)),"Unusual PCF value might be wrong (High);","")&amp;IF(AND(AL83&lt;&gt;"",OR(AL83&gt;1,AL83&lt;0)),"Incorrect PDS value (High);",IF(AND(AL83&lt;&gt;"",AL83&gt;0.5),"High PDS value (Medium);",""))&amp;IF(AND(AP83&lt;&gt;"",OR(AP83&gt;5,AP83&lt;1)),"Incorrect DQR value (High);","")&amp;IF(AND($A83&lt;&gt;"",AF83&gt;1),"Incorrect scrap rate (High);",IF(AND($A83&lt;&gt;"",AF83=0),"No scrap rate (No impact);",""))&amp;IF(AND($A83&lt;&gt;"",I83="",J83="",K83=""),"No raw material available (High);","")&amp;""</f>
        <v/>
      </c>
      <c r="AU83" s="9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4" t="n"/>
      <c r="M84" s="4" t="n"/>
      <c r="N84" s="3" t="inlineStr">
        <is>
          <t>kg</t>
        </is>
      </c>
      <c r="O84" s="4" t="n"/>
      <c r="P84" s="3" t="inlineStr">
        <is>
          <t>kg</t>
        </is>
      </c>
      <c r="Q84" s="3" t="n"/>
      <c r="R84" s="5" t="n"/>
      <c r="S84" s="6" t="n"/>
      <c r="T84" s="3" t="inlineStr">
        <is>
          <t>kgCO2e/component</t>
        </is>
      </c>
      <c r="U84" s="7" t="n"/>
      <c r="V84" s="4" t="n"/>
      <c r="W84" s="8" t="n"/>
      <c r="X84" s="3" t="inlineStr">
        <is>
          <t>Supplier</t>
        </is>
      </c>
      <c r="Y84" s="3" t="inlineStr">
        <is>
          <t>No</t>
        </is>
      </c>
      <c r="Z84" s="5" t="n"/>
      <c r="AA84" s="3" t="n"/>
      <c r="AB84" s="3" t="n"/>
      <c r="AC84" s="6" t="n"/>
      <c r="AD84" s="3" t="inlineStr">
        <is>
          <t>kgCO2e/component</t>
        </is>
      </c>
      <c r="AE84" s="3" t="n"/>
      <c r="AF84" s="7" t="n"/>
      <c r="AG84" s="3" t="n"/>
      <c r="AH84" s="3" t="n"/>
      <c r="AI84" s="6" t="n"/>
      <c r="AJ84" s="3" t="inlineStr">
        <is>
          <t>kgCO2e/component</t>
        </is>
      </c>
      <c r="AK84" s="3" t="n"/>
      <c r="AL84" s="7" t="n">
        <v>0</v>
      </c>
      <c r="AM84" s="3" t="n"/>
      <c r="AN84" s="3" t="n"/>
      <c r="AO84" s="3" t="n"/>
      <c r="AP84" s="4">
        <f>IF(COUNT(AM84,AN84,AO84)=0,"",ROUND(AVERAGE(AM84,AN84,AO84),3))</f>
        <v/>
      </c>
      <c r="AQ84" s="3">
        <f>IF(AC84="","",ROUND(AC84*IF(M84="",0,M84)*(1+IF(AF84="",0,AF84)),5))</f>
        <v/>
      </c>
      <c r="AR84" s="3" t="inlineStr">
        <is>
          <t>kgCO2e/component</t>
        </is>
      </c>
      <c r="AS84" s="5" t="n"/>
      <c r="AT84" s="9">
        <f>IF(AND($A84&lt;&gt;"",G84=""),"Supplier code empty (High);","")&amp;IF(AND(U84&lt;&gt;"",OR(U84&gt;1,U84&lt;0)),"Incorrect PDS value (High);",IF(AND(U84&lt;&gt;"",U84&gt;0.5),"High PDS value (Medium);",""))&amp;IF(AND(V84&lt;&gt;"",OR(V84&gt;5,V84&lt;1)),"Incorrect DQR value (High);","")&amp;IF(AND(S84&lt;&gt;"",OR(S84&lt;=0,S84&gt;100)),"Unusual PCF value might be wrong (High);","")&amp;IF(AND(AL84&lt;&gt;"",OR(AL84&gt;1,AL84&lt;0)),"Incorrect PDS value (High);",IF(AND(AL84&lt;&gt;"",AL84&gt;0.5),"High PDS value (Medium);",""))&amp;IF(AND(AP84&lt;&gt;"",OR(AP84&gt;5,AP84&lt;1)),"Incorrect DQR value (High);","")&amp;IF(AND($A84&lt;&gt;"",AF84&gt;1),"Incorrect scrap rate (High);",IF(AND($A84&lt;&gt;"",AF84=0),"No scrap rate (No impact);",""))&amp;IF(AND($A84&lt;&gt;"",I84="",J84="",K84=""),"No raw material available (High);","")&amp;""</f>
        <v/>
      </c>
      <c r="AU84" s="9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4" t="n"/>
      <c r="M85" s="4" t="n"/>
      <c r="N85" s="3" t="inlineStr">
        <is>
          <t>kg</t>
        </is>
      </c>
      <c r="O85" s="4" t="n"/>
      <c r="P85" s="3" t="inlineStr">
        <is>
          <t>kg</t>
        </is>
      </c>
      <c r="Q85" s="3" t="n"/>
      <c r="R85" s="5" t="n"/>
      <c r="S85" s="6" t="n"/>
      <c r="T85" s="3" t="inlineStr">
        <is>
          <t>kgCO2e/component</t>
        </is>
      </c>
      <c r="U85" s="7" t="n"/>
      <c r="V85" s="4" t="n"/>
      <c r="W85" s="8" t="n"/>
      <c r="X85" s="3" t="inlineStr">
        <is>
          <t>Supplier</t>
        </is>
      </c>
      <c r="Y85" s="3" t="inlineStr">
        <is>
          <t>No</t>
        </is>
      </c>
      <c r="Z85" s="5" t="n"/>
      <c r="AA85" s="3" t="n"/>
      <c r="AB85" s="3" t="n"/>
      <c r="AC85" s="6" t="n"/>
      <c r="AD85" s="3" t="inlineStr">
        <is>
          <t>kgCO2e/component</t>
        </is>
      </c>
      <c r="AE85" s="3" t="n"/>
      <c r="AF85" s="7" t="n"/>
      <c r="AG85" s="3" t="n"/>
      <c r="AH85" s="3" t="n"/>
      <c r="AI85" s="6" t="n"/>
      <c r="AJ85" s="3" t="inlineStr">
        <is>
          <t>kgCO2e/component</t>
        </is>
      </c>
      <c r="AK85" s="3" t="n"/>
      <c r="AL85" s="7" t="n">
        <v>0</v>
      </c>
      <c r="AM85" s="3" t="n"/>
      <c r="AN85" s="3" t="n"/>
      <c r="AO85" s="3" t="n"/>
      <c r="AP85" s="4">
        <f>IF(COUNT(AM85,AN85,AO85)=0,"",ROUND(AVERAGE(AM85,AN85,AO85),3))</f>
        <v/>
      </c>
      <c r="AQ85" s="3">
        <f>IF(AC85="","",ROUND(AC85*IF(M85="",0,M85)*(1+IF(AF85="",0,AF85)),5))</f>
        <v/>
      </c>
      <c r="AR85" s="3" t="inlineStr">
        <is>
          <t>kgCO2e/component</t>
        </is>
      </c>
      <c r="AS85" s="5" t="n"/>
      <c r="AT85" s="9">
        <f>IF(AND($A85&lt;&gt;"",G85=""),"Supplier code empty (High);","")&amp;IF(AND(U85&lt;&gt;"",OR(U85&gt;1,U85&lt;0)),"Incorrect PDS value (High);",IF(AND(U85&lt;&gt;"",U85&gt;0.5),"High PDS value (Medium);",""))&amp;IF(AND(V85&lt;&gt;"",OR(V85&gt;5,V85&lt;1)),"Incorrect DQR value (High);","")&amp;IF(AND(S85&lt;&gt;"",OR(S85&lt;=0,S85&gt;100)),"Unusual PCF value might be wrong (High);","")&amp;IF(AND(AL85&lt;&gt;"",OR(AL85&gt;1,AL85&lt;0)),"Incorrect PDS value (High);",IF(AND(AL85&lt;&gt;"",AL85&gt;0.5),"High PDS value (Medium);",""))&amp;IF(AND(AP85&lt;&gt;"",OR(AP85&gt;5,AP85&lt;1)),"Incorrect DQR value (High);","")&amp;IF(AND($A85&lt;&gt;"",AF85&gt;1),"Incorrect scrap rate (High);",IF(AND($A85&lt;&gt;"",AF85=0),"No scrap rate (No impact);",""))&amp;IF(AND($A85&lt;&gt;"",I85="",J85="",K85=""),"No raw material available (High);","")&amp;""</f>
        <v/>
      </c>
      <c r="AU85" s="9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4" t="n"/>
      <c r="M86" s="4" t="n"/>
      <c r="N86" s="3" t="inlineStr">
        <is>
          <t>kg</t>
        </is>
      </c>
      <c r="O86" s="4" t="n"/>
      <c r="P86" s="3" t="inlineStr">
        <is>
          <t>kg</t>
        </is>
      </c>
      <c r="Q86" s="3" t="n"/>
      <c r="R86" s="5" t="n"/>
      <c r="S86" s="6" t="n"/>
      <c r="T86" s="3" t="inlineStr">
        <is>
          <t>kgCO2e/component</t>
        </is>
      </c>
      <c r="U86" s="7" t="n"/>
      <c r="V86" s="4" t="n"/>
      <c r="W86" s="8" t="n"/>
      <c r="X86" s="3" t="inlineStr">
        <is>
          <t>Supplier</t>
        </is>
      </c>
      <c r="Y86" s="3" t="inlineStr">
        <is>
          <t>No</t>
        </is>
      </c>
      <c r="Z86" s="5" t="n"/>
      <c r="AA86" s="3" t="n"/>
      <c r="AB86" s="3" t="n"/>
      <c r="AC86" s="6" t="n"/>
      <c r="AD86" s="3" t="inlineStr">
        <is>
          <t>kgCO2e/component</t>
        </is>
      </c>
      <c r="AE86" s="3" t="n"/>
      <c r="AF86" s="7" t="n"/>
      <c r="AG86" s="3" t="n"/>
      <c r="AH86" s="3" t="n"/>
      <c r="AI86" s="6" t="n"/>
      <c r="AJ86" s="3" t="inlineStr">
        <is>
          <t>kgCO2e/component</t>
        </is>
      </c>
      <c r="AK86" s="3" t="n"/>
      <c r="AL86" s="7" t="n">
        <v>0</v>
      </c>
      <c r="AM86" s="3" t="n"/>
      <c r="AN86" s="3" t="n"/>
      <c r="AO86" s="3" t="n"/>
      <c r="AP86" s="4">
        <f>IF(COUNT(AM86,AN86,AO86)=0,"",ROUND(AVERAGE(AM86,AN86,AO86),3))</f>
        <v/>
      </c>
      <c r="AQ86" s="3">
        <f>IF(AC86="","",ROUND(AC86*IF(M86="",0,M86)*(1+IF(AF86="",0,AF86)),5))</f>
        <v/>
      </c>
      <c r="AR86" s="3" t="inlineStr">
        <is>
          <t>kgCO2e/component</t>
        </is>
      </c>
      <c r="AS86" s="5" t="n"/>
      <c r="AT86" s="9">
        <f>IF(AND($A86&lt;&gt;"",G86=""),"Supplier code empty (High);","")&amp;IF(AND(U86&lt;&gt;"",OR(U86&gt;1,U86&lt;0)),"Incorrect PDS value (High);",IF(AND(U86&lt;&gt;"",U86&gt;0.5),"High PDS value (Medium);",""))&amp;IF(AND(V86&lt;&gt;"",OR(V86&gt;5,V86&lt;1)),"Incorrect DQR value (High);","")&amp;IF(AND(S86&lt;&gt;"",OR(S86&lt;=0,S86&gt;100)),"Unusual PCF value might be wrong (High);","")&amp;IF(AND(AL86&lt;&gt;"",OR(AL86&gt;1,AL86&lt;0)),"Incorrect PDS value (High);",IF(AND(AL86&lt;&gt;"",AL86&gt;0.5),"High PDS value (Medium);",""))&amp;IF(AND(AP86&lt;&gt;"",OR(AP86&gt;5,AP86&lt;1)),"Incorrect DQR value (High);","")&amp;IF(AND($A86&lt;&gt;"",AF86&gt;1),"Incorrect scrap rate (High);",IF(AND($A86&lt;&gt;"",AF86=0),"No scrap rate (No impact);",""))&amp;IF(AND($A86&lt;&gt;"",I86="",J86="",K86=""),"No raw material available (High);","")&amp;""</f>
        <v/>
      </c>
      <c r="AU86" s="9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4" t="n"/>
      <c r="M87" s="4" t="n"/>
      <c r="N87" s="3" t="inlineStr">
        <is>
          <t>kg</t>
        </is>
      </c>
      <c r="O87" s="4" t="n"/>
      <c r="P87" s="3" t="inlineStr">
        <is>
          <t>kg</t>
        </is>
      </c>
      <c r="Q87" s="3" t="n"/>
      <c r="R87" s="5" t="n"/>
      <c r="S87" s="6" t="n"/>
      <c r="T87" s="3" t="inlineStr">
        <is>
          <t>kgCO2e/component</t>
        </is>
      </c>
      <c r="U87" s="7" t="n"/>
      <c r="V87" s="4" t="n"/>
      <c r="W87" s="8" t="n"/>
      <c r="X87" s="3" t="inlineStr">
        <is>
          <t>Supplier</t>
        </is>
      </c>
      <c r="Y87" s="3" t="inlineStr">
        <is>
          <t>No</t>
        </is>
      </c>
      <c r="Z87" s="5" t="n"/>
      <c r="AA87" s="3" t="n"/>
      <c r="AB87" s="3" t="n"/>
      <c r="AC87" s="6" t="n"/>
      <c r="AD87" s="3" t="inlineStr">
        <is>
          <t>kgCO2e/component</t>
        </is>
      </c>
      <c r="AE87" s="3" t="n"/>
      <c r="AF87" s="7" t="n"/>
      <c r="AG87" s="3" t="n"/>
      <c r="AH87" s="3" t="n"/>
      <c r="AI87" s="6" t="n"/>
      <c r="AJ87" s="3" t="inlineStr">
        <is>
          <t>kgCO2e/component</t>
        </is>
      </c>
      <c r="AK87" s="3" t="n"/>
      <c r="AL87" s="7" t="n">
        <v>0</v>
      </c>
      <c r="AM87" s="3" t="n"/>
      <c r="AN87" s="3" t="n"/>
      <c r="AO87" s="3" t="n"/>
      <c r="AP87" s="4">
        <f>IF(COUNT(AM87,AN87,AO87)=0,"",ROUND(AVERAGE(AM87,AN87,AO87),3))</f>
        <v/>
      </c>
      <c r="AQ87" s="3">
        <f>IF(AC87="","",ROUND(AC87*IF(M87="",0,M87)*(1+IF(AF87="",0,AF87)),5))</f>
        <v/>
      </c>
      <c r="AR87" s="3" t="inlineStr">
        <is>
          <t>kgCO2e/component</t>
        </is>
      </c>
      <c r="AS87" s="5" t="n"/>
      <c r="AT87" s="9">
        <f>IF(AND($A87&lt;&gt;"",G87=""),"Supplier code empty (High);","")&amp;IF(AND(U87&lt;&gt;"",OR(U87&gt;1,U87&lt;0)),"Incorrect PDS value (High);",IF(AND(U87&lt;&gt;"",U87&gt;0.5),"High PDS value (Medium);",""))&amp;IF(AND(V87&lt;&gt;"",OR(V87&gt;5,V87&lt;1)),"Incorrect DQR value (High);","")&amp;IF(AND(S87&lt;&gt;"",OR(S87&lt;=0,S87&gt;100)),"Unusual PCF value might be wrong (High);","")&amp;IF(AND(AL87&lt;&gt;"",OR(AL87&gt;1,AL87&lt;0)),"Incorrect PDS value (High);",IF(AND(AL87&lt;&gt;"",AL87&gt;0.5),"High PDS value (Medium);",""))&amp;IF(AND(AP87&lt;&gt;"",OR(AP87&gt;5,AP87&lt;1)),"Incorrect DQR value (High);","")&amp;IF(AND($A87&lt;&gt;"",AF87&gt;1),"Incorrect scrap rate (High);",IF(AND($A87&lt;&gt;"",AF87=0),"No scrap rate (No impact);",""))&amp;IF(AND($A87&lt;&gt;"",I87="",J87="",K87=""),"No raw material available (High);","")&amp;""</f>
        <v/>
      </c>
      <c r="AU87" s="9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4" t="n"/>
      <c r="M88" s="4" t="n"/>
      <c r="N88" s="3" t="inlineStr">
        <is>
          <t>kg</t>
        </is>
      </c>
      <c r="O88" s="4" t="n"/>
      <c r="P88" s="3" t="inlineStr">
        <is>
          <t>kg</t>
        </is>
      </c>
      <c r="Q88" s="3" t="n"/>
      <c r="R88" s="5" t="n"/>
      <c r="S88" s="6" t="n"/>
      <c r="T88" s="3" t="inlineStr">
        <is>
          <t>kgCO2e/component</t>
        </is>
      </c>
      <c r="U88" s="7" t="n"/>
      <c r="V88" s="4" t="n"/>
      <c r="W88" s="8" t="n"/>
      <c r="X88" s="3" t="inlineStr">
        <is>
          <t>Supplier</t>
        </is>
      </c>
      <c r="Y88" s="3" t="inlineStr">
        <is>
          <t>No</t>
        </is>
      </c>
      <c r="Z88" s="5" t="n"/>
      <c r="AA88" s="3" t="n"/>
      <c r="AB88" s="3" t="n"/>
      <c r="AC88" s="6" t="n"/>
      <c r="AD88" s="3" t="inlineStr">
        <is>
          <t>kgCO2e/component</t>
        </is>
      </c>
      <c r="AE88" s="3" t="n"/>
      <c r="AF88" s="7" t="n"/>
      <c r="AG88" s="3" t="n"/>
      <c r="AH88" s="3" t="n"/>
      <c r="AI88" s="6" t="n"/>
      <c r="AJ88" s="3" t="inlineStr">
        <is>
          <t>kgCO2e/component</t>
        </is>
      </c>
      <c r="AK88" s="3" t="n"/>
      <c r="AL88" s="7" t="n">
        <v>0</v>
      </c>
      <c r="AM88" s="3" t="n"/>
      <c r="AN88" s="3" t="n"/>
      <c r="AO88" s="3" t="n"/>
      <c r="AP88" s="4">
        <f>IF(COUNT(AM88,AN88,AO88)=0,"",ROUND(AVERAGE(AM88,AN88,AO88),3))</f>
        <v/>
      </c>
      <c r="AQ88" s="3">
        <f>IF(AC88="","",ROUND(AC88*IF(M88="",0,M88)*(1+IF(AF88="",0,AF88)),5))</f>
        <v/>
      </c>
      <c r="AR88" s="3" t="inlineStr">
        <is>
          <t>kgCO2e/component</t>
        </is>
      </c>
      <c r="AS88" s="5" t="n"/>
      <c r="AT88" s="9">
        <f>IF(AND($A88&lt;&gt;"",G88=""),"Supplier code empty (High);","")&amp;IF(AND(U88&lt;&gt;"",OR(U88&gt;1,U88&lt;0)),"Incorrect PDS value (High);",IF(AND(U88&lt;&gt;"",U88&gt;0.5),"High PDS value (Medium);",""))&amp;IF(AND(V88&lt;&gt;"",OR(V88&gt;5,V88&lt;1)),"Incorrect DQR value (High);","")&amp;IF(AND(S88&lt;&gt;"",OR(S88&lt;=0,S88&gt;100)),"Unusual PCF value might be wrong (High);","")&amp;IF(AND(AL88&lt;&gt;"",OR(AL88&gt;1,AL88&lt;0)),"Incorrect PDS value (High);",IF(AND(AL88&lt;&gt;"",AL88&gt;0.5),"High PDS value (Medium);",""))&amp;IF(AND(AP88&lt;&gt;"",OR(AP88&gt;5,AP88&lt;1)),"Incorrect DQR value (High);","")&amp;IF(AND($A88&lt;&gt;"",AF88&gt;1),"Incorrect scrap rate (High);",IF(AND($A88&lt;&gt;"",AF88=0),"No scrap rate (No impact);",""))&amp;IF(AND($A88&lt;&gt;"",I88="",J88="",K88=""),"No raw material available (High);","")&amp;""</f>
        <v/>
      </c>
      <c r="AU88" s="9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4" t="n"/>
      <c r="M89" s="4" t="n"/>
      <c r="N89" s="3" t="inlineStr">
        <is>
          <t>kg</t>
        </is>
      </c>
      <c r="O89" s="4" t="n"/>
      <c r="P89" s="3" t="inlineStr">
        <is>
          <t>kg</t>
        </is>
      </c>
      <c r="Q89" s="3" t="n"/>
      <c r="R89" s="5" t="n"/>
      <c r="S89" s="6" t="n"/>
      <c r="T89" s="3" t="inlineStr">
        <is>
          <t>kgCO2e/component</t>
        </is>
      </c>
      <c r="U89" s="7" t="n"/>
      <c r="V89" s="4" t="n"/>
      <c r="W89" s="8" t="n"/>
      <c r="X89" s="3" t="inlineStr">
        <is>
          <t>Supplier</t>
        </is>
      </c>
      <c r="Y89" s="3" t="inlineStr">
        <is>
          <t>No</t>
        </is>
      </c>
      <c r="Z89" s="5" t="n"/>
      <c r="AA89" s="3" t="n"/>
      <c r="AB89" s="3" t="n"/>
      <c r="AC89" s="6" t="n"/>
      <c r="AD89" s="3" t="inlineStr">
        <is>
          <t>kgCO2e/component</t>
        </is>
      </c>
      <c r="AE89" s="3" t="n"/>
      <c r="AF89" s="7" t="n"/>
      <c r="AG89" s="3" t="n"/>
      <c r="AH89" s="3" t="n"/>
      <c r="AI89" s="6" t="n"/>
      <c r="AJ89" s="3" t="inlineStr">
        <is>
          <t>kgCO2e/component</t>
        </is>
      </c>
      <c r="AK89" s="3" t="n"/>
      <c r="AL89" s="7" t="n">
        <v>0</v>
      </c>
      <c r="AM89" s="3" t="n"/>
      <c r="AN89" s="3" t="n"/>
      <c r="AO89" s="3" t="n"/>
      <c r="AP89" s="4">
        <f>IF(COUNT(AM89,AN89,AO89)=0,"",ROUND(AVERAGE(AM89,AN89,AO89),3))</f>
        <v/>
      </c>
      <c r="AQ89" s="3">
        <f>IF(AC89="","",ROUND(AC89*IF(M89="",0,M89)*(1+IF(AF89="",0,AF89)),5))</f>
        <v/>
      </c>
      <c r="AR89" s="3" t="inlineStr">
        <is>
          <t>kgCO2e/component</t>
        </is>
      </c>
      <c r="AS89" s="5" t="n"/>
      <c r="AT89" s="9">
        <f>IF(AND($A89&lt;&gt;"",G89=""),"Supplier code empty (High);","")&amp;IF(AND(U89&lt;&gt;"",OR(U89&gt;1,U89&lt;0)),"Incorrect PDS value (High);",IF(AND(U89&lt;&gt;"",U89&gt;0.5),"High PDS value (Medium);",""))&amp;IF(AND(V89&lt;&gt;"",OR(V89&gt;5,V89&lt;1)),"Incorrect DQR value (High);","")&amp;IF(AND(S89&lt;&gt;"",OR(S89&lt;=0,S89&gt;100)),"Unusual PCF value might be wrong (High);","")&amp;IF(AND(AL89&lt;&gt;"",OR(AL89&gt;1,AL89&lt;0)),"Incorrect PDS value (High);",IF(AND(AL89&lt;&gt;"",AL89&gt;0.5),"High PDS value (Medium);",""))&amp;IF(AND(AP89&lt;&gt;"",OR(AP89&gt;5,AP89&lt;1)),"Incorrect DQR value (High);","")&amp;IF(AND($A89&lt;&gt;"",AF89&gt;1),"Incorrect scrap rate (High);",IF(AND($A89&lt;&gt;"",AF89=0),"No scrap rate (No impact);",""))&amp;IF(AND($A89&lt;&gt;"",I89="",J89="",K89=""),"No raw material available (High);","")&amp;""</f>
        <v/>
      </c>
      <c r="AU89" s="9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4" t="n"/>
      <c r="M90" s="4" t="n"/>
      <c r="N90" s="3" t="inlineStr">
        <is>
          <t>kg</t>
        </is>
      </c>
      <c r="O90" s="4" t="n"/>
      <c r="P90" s="3" t="inlineStr">
        <is>
          <t>kg</t>
        </is>
      </c>
      <c r="Q90" s="3" t="n"/>
      <c r="R90" s="5" t="n"/>
      <c r="S90" s="6" t="n"/>
      <c r="T90" s="3" t="inlineStr">
        <is>
          <t>kgCO2e/component</t>
        </is>
      </c>
      <c r="U90" s="7" t="n"/>
      <c r="V90" s="4" t="n"/>
      <c r="W90" s="8" t="n"/>
      <c r="X90" s="3" t="inlineStr">
        <is>
          <t>Supplier</t>
        </is>
      </c>
      <c r="Y90" s="3" t="inlineStr">
        <is>
          <t>No</t>
        </is>
      </c>
      <c r="Z90" s="5" t="n"/>
      <c r="AA90" s="3" t="n"/>
      <c r="AB90" s="3" t="n"/>
      <c r="AC90" s="6" t="n"/>
      <c r="AD90" s="3" t="inlineStr">
        <is>
          <t>kgCO2e/component</t>
        </is>
      </c>
      <c r="AE90" s="3" t="n"/>
      <c r="AF90" s="7" t="n"/>
      <c r="AG90" s="3" t="n"/>
      <c r="AH90" s="3" t="n"/>
      <c r="AI90" s="6" t="n"/>
      <c r="AJ90" s="3" t="inlineStr">
        <is>
          <t>kgCO2e/component</t>
        </is>
      </c>
      <c r="AK90" s="3" t="n"/>
      <c r="AL90" s="7" t="n">
        <v>0</v>
      </c>
      <c r="AM90" s="3" t="n"/>
      <c r="AN90" s="3" t="n"/>
      <c r="AO90" s="3" t="n"/>
      <c r="AP90" s="4">
        <f>IF(COUNT(AM90,AN90,AO90)=0,"",ROUND(AVERAGE(AM90,AN90,AO90),3))</f>
        <v/>
      </c>
      <c r="AQ90" s="3">
        <f>IF(AC90="","",ROUND(AC90*IF(M90="",0,M90)*(1+IF(AF90="",0,AF90)),5))</f>
        <v/>
      </c>
      <c r="AR90" s="3" t="inlineStr">
        <is>
          <t>kgCO2e/component</t>
        </is>
      </c>
      <c r="AS90" s="5" t="n"/>
      <c r="AT90" s="9">
        <f>IF(AND($A90&lt;&gt;"",G90=""),"Supplier code empty (High);","")&amp;IF(AND(U90&lt;&gt;"",OR(U90&gt;1,U90&lt;0)),"Incorrect PDS value (High);",IF(AND(U90&lt;&gt;"",U90&gt;0.5),"High PDS value (Medium);",""))&amp;IF(AND(V90&lt;&gt;"",OR(V90&gt;5,V90&lt;1)),"Incorrect DQR value (High);","")&amp;IF(AND(S90&lt;&gt;"",OR(S90&lt;=0,S90&gt;100)),"Unusual PCF value might be wrong (High);","")&amp;IF(AND(AL90&lt;&gt;"",OR(AL90&gt;1,AL90&lt;0)),"Incorrect PDS value (High);",IF(AND(AL90&lt;&gt;"",AL90&gt;0.5),"High PDS value (Medium);",""))&amp;IF(AND(AP90&lt;&gt;"",OR(AP90&gt;5,AP90&lt;1)),"Incorrect DQR value (High);","")&amp;IF(AND($A90&lt;&gt;"",AF90&gt;1),"Incorrect scrap rate (High);",IF(AND($A90&lt;&gt;"",AF90=0),"No scrap rate (No impact);",""))&amp;IF(AND($A90&lt;&gt;"",I90="",J90="",K90=""),"No raw material available (High);","")&amp;""</f>
        <v/>
      </c>
      <c r="AU90" s="9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4" t="n"/>
      <c r="M91" s="4" t="n"/>
      <c r="N91" s="3" t="inlineStr">
        <is>
          <t>kg</t>
        </is>
      </c>
      <c r="O91" s="4" t="n"/>
      <c r="P91" s="3" t="inlineStr">
        <is>
          <t>kg</t>
        </is>
      </c>
      <c r="Q91" s="3" t="n"/>
      <c r="R91" s="5" t="n"/>
      <c r="S91" s="6" t="n"/>
      <c r="T91" s="3" t="inlineStr">
        <is>
          <t>kgCO2e/component</t>
        </is>
      </c>
      <c r="U91" s="7" t="n"/>
      <c r="V91" s="4" t="n"/>
      <c r="W91" s="8" t="n"/>
      <c r="X91" s="3" t="inlineStr">
        <is>
          <t>Supplier</t>
        </is>
      </c>
      <c r="Y91" s="3" t="inlineStr">
        <is>
          <t>No</t>
        </is>
      </c>
      <c r="Z91" s="5" t="n"/>
      <c r="AA91" s="3" t="n"/>
      <c r="AB91" s="3" t="n"/>
      <c r="AC91" s="6" t="n"/>
      <c r="AD91" s="3" t="inlineStr">
        <is>
          <t>kgCO2e/component</t>
        </is>
      </c>
      <c r="AE91" s="3" t="n"/>
      <c r="AF91" s="7" t="n"/>
      <c r="AG91" s="3" t="n"/>
      <c r="AH91" s="3" t="n"/>
      <c r="AI91" s="6" t="n"/>
      <c r="AJ91" s="3" t="inlineStr">
        <is>
          <t>kgCO2e/component</t>
        </is>
      </c>
      <c r="AK91" s="3" t="n"/>
      <c r="AL91" s="7" t="n">
        <v>0</v>
      </c>
      <c r="AM91" s="3" t="n"/>
      <c r="AN91" s="3" t="n"/>
      <c r="AO91" s="3" t="n"/>
      <c r="AP91" s="4">
        <f>IF(COUNT(AM91,AN91,AO91)=0,"",ROUND(AVERAGE(AM91,AN91,AO91),3))</f>
        <v/>
      </c>
      <c r="AQ91" s="3">
        <f>IF(AC91="","",ROUND(AC91*IF(M91="",0,M91)*(1+IF(AF91="",0,AF91)),5))</f>
        <v/>
      </c>
      <c r="AR91" s="3" t="inlineStr">
        <is>
          <t>kgCO2e/component</t>
        </is>
      </c>
      <c r="AS91" s="5" t="n"/>
      <c r="AT91" s="9">
        <f>IF(AND($A91&lt;&gt;"",G91=""),"Supplier code empty (High);","")&amp;IF(AND(U91&lt;&gt;"",OR(U91&gt;1,U91&lt;0)),"Incorrect PDS value (High);",IF(AND(U91&lt;&gt;"",U91&gt;0.5),"High PDS value (Medium);",""))&amp;IF(AND(V91&lt;&gt;"",OR(V91&gt;5,V91&lt;1)),"Incorrect DQR value (High);","")&amp;IF(AND(S91&lt;&gt;"",OR(S91&lt;=0,S91&gt;100)),"Unusual PCF value might be wrong (High);","")&amp;IF(AND(AL91&lt;&gt;"",OR(AL91&gt;1,AL91&lt;0)),"Incorrect PDS value (High);",IF(AND(AL91&lt;&gt;"",AL91&gt;0.5),"High PDS value (Medium);",""))&amp;IF(AND(AP91&lt;&gt;"",OR(AP91&gt;5,AP91&lt;1)),"Incorrect DQR value (High);","")&amp;IF(AND($A91&lt;&gt;"",AF91&gt;1),"Incorrect scrap rate (High);",IF(AND($A91&lt;&gt;"",AF91=0),"No scrap rate (No impact);",""))&amp;IF(AND($A91&lt;&gt;"",I91="",J91="",K91=""),"No raw material available (High);","")&amp;""</f>
        <v/>
      </c>
      <c r="AU91" s="9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4" t="n"/>
      <c r="M92" s="4" t="n"/>
      <c r="N92" s="3" t="inlineStr">
        <is>
          <t>kg</t>
        </is>
      </c>
      <c r="O92" s="4" t="n"/>
      <c r="P92" s="3" t="inlineStr">
        <is>
          <t>kg</t>
        </is>
      </c>
      <c r="Q92" s="3" t="n"/>
      <c r="R92" s="5" t="n"/>
      <c r="S92" s="6" t="n"/>
      <c r="T92" s="3" t="inlineStr">
        <is>
          <t>kgCO2e/component</t>
        </is>
      </c>
      <c r="U92" s="7" t="n"/>
      <c r="V92" s="4" t="n"/>
      <c r="W92" s="8" t="n"/>
      <c r="X92" s="3" t="inlineStr">
        <is>
          <t>Supplier</t>
        </is>
      </c>
      <c r="Y92" s="3" t="inlineStr">
        <is>
          <t>No</t>
        </is>
      </c>
      <c r="Z92" s="5" t="n"/>
      <c r="AA92" s="3" t="n"/>
      <c r="AB92" s="3" t="n"/>
      <c r="AC92" s="6" t="n"/>
      <c r="AD92" s="3" t="inlineStr">
        <is>
          <t>kgCO2e/component</t>
        </is>
      </c>
      <c r="AE92" s="3" t="n"/>
      <c r="AF92" s="7" t="n"/>
      <c r="AG92" s="3" t="n"/>
      <c r="AH92" s="3" t="n"/>
      <c r="AI92" s="6" t="n"/>
      <c r="AJ92" s="3" t="inlineStr">
        <is>
          <t>kgCO2e/component</t>
        </is>
      </c>
      <c r="AK92" s="3" t="n"/>
      <c r="AL92" s="7" t="n">
        <v>0</v>
      </c>
      <c r="AM92" s="3" t="n"/>
      <c r="AN92" s="3" t="n"/>
      <c r="AO92" s="3" t="n"/>
      <c r="AP92" s="4">
        <f>IF(COUNT(AM92,AN92,AO92)=0,"",ROUND(AVERAGE(AM92,AN92,AO92),3))</f>
        <v/>
      </c>
      <c r="AQ92" s="3">
        <f>IF(AC92="","",ROUND(AC92*IF(M92="",0,M92)*(1+IF(AF92="",0,AF92)),5))</f>
        <v/>
      </c>
      <c r="AR92" s="3" t="inlineStr">
        <is>
          <t>kgCO2e/component</t>
        </is>
      </c>
      <c r="AS92" s="5" t="n"/>
      <c r="AT92" s="9">
        <f>IF(AND($A92&lt;&gt;"",G92=""),"Supplier code empty (High);","")&amp;IF(AND(U92&lt;&gt;"",OR(U92&gt;1,U92&lt;0)),"Incorrect PDS value (High);",IF(AND(U92&lt;&gt;"",U92&gt;0.5),"High PDS value (Medium);",""))&amp;IF(AND(V92&lt;&gt;"",OR(V92&gt;5,V92&lt;1)),"Incorrect DQR value (High);","")&amp;IF(AND(S92&lt;&gt;"",OR(S92&lt;=0,S92&gt;100)),"Unusual PCF value might be wrong (High);","")&amp;IF(AND(AL92&lt;&gt;"",OR(AL92&gt;1,AL92&lt;0)),"Incorrect PDS value (High);",IF(AND(AL92&lt;&gt;"",AL92&gt;0.5),"High PDS value (Medium);",""))&amp;IF(AND(AP92&lt;&gt;"",OR(AP92&gt;5,AP92&lt;1)),"Incorrect DQR value (High);","")&amp;IF(AND($A92&lt;&gt;"",AF92&gt;1),"Incorrect scrap rate (High);",IF(AND($A92&lt;&gt;"",AF92=0),"No scrap rate (No impact);",""))&amp;IF(AND($A92&lt;&gt;"",I92="",J92="",K92=""),"No raw material available (High);","")&amp;""</f>
        <v/>
      </c>
      <c r="AU92" s="9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4" t="n"/>
      <c r="M93" s="4" t="n"/>
      <c r="N93" s="3" t="inlineStr">
        <is>
          <t>kg</t>
        </is>
      </c>
      <c r="O93" s="4" t="n"/>
      <c r="P93" s="3" t="inlineStr">
        <is>
          <t>kg</t>
        </is>
      </c>
      <c r="Q93" s="3" t="n"/>
      <c r="R93" s="5" t="n"/>
      <c r="S93" s="6" t="n"/>
      <c r="T93" s="3" t="inlineStr">
        <is>
          <t>kgCO2e/component</t>
        </is>
      </c>
      <c r="U93" s="7" t="n"/>
      <c r="V93" s="4" t="n"/>
      <c r="W93" s="8" t="n"/>
      <c r="X93" s="3" t="inlineStr">
        <is>
          <t>Supplier</t>
        </is>
      </c>
      <c r="Y93" s="3" t="inlineStr">
        <is>
          <t>No</t>
        </is>
      </c>
      <c r="Z93" s="5" t="n"/>
      <c r="AA93" s="3" t="n"/>
      <c r="AB93" s="3" t="n"/>
      <c r="AC93" s="6" t="n"/>
      <c r="AD93" s="3" t="inlineStr">
        <is>
          <t>kgCO2e/component</t>
        </is>
      </c>
      <c r="AE93" s="3" t="n"/>
      <c r="AF93" s="7" t="n"/>
      <c r="AG93" s="3" t="n"/>
      <c r="AH93" s="3" t="n"/>
      <c r="AI93" s="6" t="n"/>
      <c r="AJ93" s="3" t="inlineStr">
        <is>
          <t>kgCO2e/component</t>
        </is>
      </c>
      <c r="AK93" s="3" t="n"/>
      <c r="AL93" s="7" t="n">
        <v>0</v>
      </c>
      <c r="AM93" s="3" t="n"/>
      <c r="AN93" s="3" t="n"/>
      <c r="AO93" s="3" t="n"/>
      <c r="AP93" s="4">
        <f>IF(COUNT(AM93,AN93,AO93)=0,"",ROUND(AVERAGE(AM93,AN93,AO93),3))</f>
        <v/>
      </c>
      <c r="AQ93" s="3">
        <f>IF(AC93="","",ROUND(AC93*IF(M93="",0,M93)*(1+IF(AF93="",0,AF93)),5))</f>
        <v/>
      </c>
      <c r="AR93" s="3" t="inlineStr">
        <is>
          <t>kgCO2e/component</t>
        </is>
      </c>
      <c r="AS93" s="5" t="n"/>
      <c r="AT93" s="9">
        <f>IF(AND($A93&lt;&gt;"",G93=""),"Supplier code empty (High);","")&amp;IF(AND(U93&lt;&gt;"",OR(U93&gt;1,U93&lt;0)),"Incorrect PDS value (High);",IF(AND(U93&lt;&gt;"",U93&gt;0.5),"High PDS value (Medium);",""))&amp;IF(AND(V93&lt;&gt;"",OR(V93&gt;5,V93&lt;1)),"Incorrect DQR value (High);","")&amp;IF(AND(S93&lt;&gt;"",OR(S93&lt;=0,S93&gt;100)),"Unusual PCF value might be wrong (High);","")&amp;IF(AND(AL93&lt;&gt;"",OR(AL93&gt;1,AL93&lt;0)),"Incorrect PDS value (High);",IF(AND(AL93&lt;&gt;"",AL93&gt;0.5),"High PDS value (Medium);",""))&amp;IF(AND(AP93&lt;&gt;"",OR(AP93&gt;5,AP93&lt;1)),"Incorrect DQR value (High);","")&amp;IF(AND($A93&lt;&gt;"",AF93&gt;1),"Incorrect scrap rate (High);",IF(AND($A93&lt;&gt;"",AF93=0),"No scrap rate (No impact);",""))&amp;IF(AND($A93&lt;&gt;"",I93="",J93="",K93=""),"No raw material available (High);","")&amp;""</f>
        <v/>
      </c>
      <c r="AU93" s="9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4" t="n"/>
      <c r="M94" s="4" t="n"/>
      <c r="N94" s="3" t="inlineStr">
        <is>
          <t>kg</t>
        </is>
      </c>
      <c r="O94" s="4" t="n"/>
      <c r="P94" s="3" t="inlineStr">
        <is>
          <t>kg</t>
        </is>
      </c>
      <c r="Q94" s="3" t="n"/>
      <c r="R94" s="5" t="n"/>
      <c r="S94" s="6" t="n"/>
      <c r="T94" s="3" t="inlineStr">
        <is>
          <t>kgCO2e/component</t>
        </is>
      </c>
      <c r="U94" s="7" t="n"/>
      <c r="V94" s="4" t="n"/>
      <c r="W94" s="8" t="n"/>
      <c r="X94" s="3" t="inlineStr">
        <is>
          <t>Supplier</t>
        </is>
      </c>
      <c r="Y94" s="3" t="inlineStr">
        <is>
          <t>No</t>
        </is>
      </c>
      <c r="Z94" s="5" t="n"/>
      <c r="AA94" s="3" t="n"/>
      <c r="AB94" s="3" t="n"/>
      <c r="AC94" s="6" t="n"/>
      <c r="AD94" s="3" t="inlineStr">
        <is>
          <t>kgCO2e/component</t>
        </is>
      </c>
      <c r="AE94" s="3" t="n"/>
      <c r="AF94" s="7" t="n"/>
      <c r="AG94" s="3" t="n"/>
      <c r="AH94" s="3" t="n"/>
      <c r="AI94" s="6" t="n"/>
      <c r="AJ94" s="3" t="inlineStr">
        <is>
          <t>kgCO2e/component</t>
        </is>
      </c>
      <c r="AK94" s="3" t="n"/>
      <c r="AL94" s="7" t="n">
        <v>0</v>
      </c>
      <c r="AM94" s="3" t="n"/>
      <c r="AN94" s="3" t="n"/>
      <c r="AO94" s="3" t="n"/>
      <c r="AP94" s="4">
        <f>IF(COUNT(AM94,AN94,AO94)=0,"",ROUND(AVERAGE(AM94,AN94,AO94),3))</f>
        <v/>
      </c>
      <c r="AQ94" s="3">
        <f>IF(AC94="","",ROUND(AC94*IF(M94="",0,M94)*(1+IF(AF94="",0,AF94)),5))</f>
        <v/>
      </c>
      <c r="AR94" s="3" t="inlineStr">
        <is>
          <t>kgCO2e/component</t>
        </is>
      </c>
      <c r="AS94" s="5" t="n"/>
      <c r="AT94" s="9">
        <f>IF(AND($A94&lt;&gt;"",G94=""),"Supplier code empty (High);","")&amp;IF(AND(U94&lt;&gt;"",OR(U94&gt;1,U94&lt;0)),"Incorrect PDS value (High);",IF(AND(U94&lt;&gt;"",U94&gt;0.5),"High PDS value (Medium);",""))&amp;IF(AND(V94&lt;&gt;"",OR(V94&gt;5,V94&lt;1)),"Incorrect DQR value (High);","")&amp;IF(AND(S94&lt;&gt;"",OR(S94&lt;=0,S94&gt;100)),"Unusual PCF value might be wrong (High);","")&amp;IF(AND(AL94&lt;&gt;"",OR(AL94&gt;1,AL94&lt;0)),"Incorrect PDS value (High);",IF(AND(AL94&lt;&gt;"",AL94&gt;0.5),"High PDS value (Medium);",""))&amp;IF(AND(AP94&lt;&gt;"",OR(AP94&gt;5,AP94&lt;1)),"Incorrect DQR value (High);","")&amp;IF(AND($A94&lt;&gt;"",AF94&gt;1),"Incorrect scrap rate (High);",IF(AND($A94&lt;&gt;"",AF94=0),"No scrap rate (No impact);",""))&amp;IF(AND($A94&lt;&gt;"",I94="",J94="",K94=""),"No raw material available (High);","")&amp;""</f>
        <v/>
      </c>
      <c r="AU94" s="9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4" t="n"/>
      <c r="M95" s="4" t="n"/>
      <c r="N95" s="3" t="inlineStr">
        <is>
          <t>kg</t>
        </is>
      </c>
      <c r="O95" s="4" t="n"/>
      <c r="P95" s="3" t="inlineStr">
        <is>
          <t>kg</t>
        </is>
      </c>
      <c r="Q95" s="3" t="n"/>
      <c r="R95" s="5" t="n"/>
      <c r="S95" s="6" t="n"/>
      <c r="T95" s="3" t="inlineStr">
        <is>
          <t>kgCO2e/component</t>
        </is>
      </c>
      <c r="U95" s="7" t="n"/>
      <c r="V95" s="4" t="n"/>
      <c r="W95" s="8" t="n"/>
      <c r="X95" s="3" t="inlineStr">
        <is>
          <t>Supplier</t>
        </is>
      </c>
      <c r="Y95" s="3" t="inlineStr">
        <is>
          <t>No</t>
        </is>
      </c>
      <c r="Z95" s="5" t="n"/>
      <c r="AA95" s="3" t="n"/>
      <c r="AB95" s="3" t="n"/>
      <c r="AC95" s="6" t="n"/>
      <c r="AD95" s="3" t="inlineStr">
        <is>
          <t>kgCO2e/component</t>
        </is>
      </c>
      <c r="AE95" s="3" t="n"/>
      <c r="AF95" s="7" t="n"/>
      <c r="AG95" s="3" t="n"/>
      <c r="AH95" s="3" t="n"/>
      <c r="AI95" s="6" t="n"/>
      <c r="AJ95" s="3" t="inlineStr">
        <is>
          <t>kgCO2e/component</t>
        </is>
      </c>
      <c r="AK95" s="3" t="n"/>
      <c r="AL95" s="7" t="n">
        <v>0</v>
      </c>
      <c r="AM95" s="3" t="n"/>
      <c r="AN95" s="3" t="n"/>
      <c r="AO95" s="3" t="n"/>
      <c r="AP95" s="4">
        <f>IF(COUNT(AM95,AN95,AO95)=0,"",ROUND(AVERAGE(AM95,AN95,AO95),3))</f>
        <v/>
      </c>
      <c r="AQ95" s="3">
        <f>IF(AC95="","",ROUND(AC95*IF(M95="",0,M95)*(1+IF(AF95="",0,AF95)),5))</f>
        <v/>
      </c>
      <c r="AR95" s="3" t="inlineStr">
        <is>
          <t>kgCO2e/component</t>
        </is>
      </c>
      <c r="AS95" s="5" t="n"/>
      <c r="AT95" s="9">
        <f>IF(AND($A95&lt;&gt;"",G95=""),"Supplier code empty (High);","")&amp;IF(AND(U95&lt;&gt;"",OR(U95&gt;1,U95&lt;0)),"Incorrect PDS value (High);",IF(AND(U95&lt;&gt;"",U95&gt;0.5),"High PDS value (Medium);",""))&amp;IF(AND(V95&lt;&gt;"",OR(V95&gt;5,V95&lt;1)),"Incorrect DQR value (High);","")&amp;IF(AND(S95&lt;&gt;"",OR(S95&lt;=0,S95&gt;100)),"Unusual PCF value might be wrong (High);","")&amp;IF(AND(AL95&lt;&gt;"",OR(AL95&gt;1,AL95&lt;0)),"Incorrect PDS value (High);",IF(AND(AL95&lt;&gt;"",AL95&gt;0.5),"High PDS value (Medium);",""))&amp;IF(AND(AP95&lt;&gt;"",OR(AP95&gt;5,AP95&lt;1)),"Incorrect DQR value (High);","")&amp;IF(AND($A95&lt;&gt;"",AF95&gt;1),"Incorrect scrap rate (High);",IF(AND($A95&lt;&gt;"",AF95=0),"No scrap rate (No impact);",""))&amp;IF(AND($A95&lt;&gt;"",I95="",J95="",K95=""),"No raw material available (High);","")&amp;""</f>
        <v/>
      </c>
      <c r="AU95" s="9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4" t="n"/>
      <c r="M96" s="4" t="n"/>
      <c r="N96" s="3" t="inlineStr">
        <is>
          <t>kg</t>
        </is>
      </c>
      <c r="O96" s="4" t="n"/>
      <c r="P96" s="3" t="inlineStr">
        <is>
          <t>kg</t>
        </is>
      </c>
      <c r="Q96" s="3" t="n"/>
      <c r="R96" s="5" t="n"/>
      <c r="S96" s="6" t="n"/>
      <c r="T96" s="3" t="inlineStr">
        <is>
          <t>kgCO2e/component</t>
        </is>
      </c>
      <c r="U96" s="7" t="n"/>
      <c r="V96" s="4" t="n"/>
      <c r="W96" s="8" t="n"/>
      <c r="X96" s="3" t="inlineStr">
        <is>
          <t>Supplier</t>
        </is>
      </c>
      <c r="Y96" s="3" t="inlineStr">
        <is>
          <t>No</t>
        </is>
      </c>
      <c r="Z96" s="5" t="n"/>
      <c r="AA96" s="3" t="n"/>
      <c r="AB96" s="3" t="n"/>
      <c r="AC96" s="6" t="n"/>
      <c r="AD96" s="3" t="inlineStr">
        <is>
          <t>kgCO2e/component</t>
        </is>
      </c>
      <c r="AE96" s="3" t="n"/>
      <c r="AF96" s="7" t="n"/>
      <c r="AG96" s="3" t="n"/>
      <c r="AH96" s="3" t="n"/>
      <c r="AI96" s="6" t="n"/>
      <c r="AJ96" s="3" t="inlineStr">
        <is>
          <t>kgCO2e/component</t>
        </is>
      </c>
      <c r="AK96" s="3" t="n"/>
      <c r="AL96" s="7" t="n">
        <v>0</v>
      </c>
      <c r="AM96" s="3" t="n"/>
      <c r="AN96" s="3" t="n"/>
      <c r="AO96" s="3" t="n"/>
      <c r="AP96" s="4">
        <f>IF(COUNT(AM96,AN96,AO96)=0,"",ROUND(AVERAGE(AM96,AN96,AO96),3))</f>
        <v/>
      </c>
      <c r="AQ96" s="3">
        <f>IF(AC96="","",ROUND(AC96*IF(M96="",0,M96)*(1+IF(AF96="",0,AF96)),5))</f>
        <v/>
      </c>
      <c r="AR96" s="3" t="inlineStr">
        <is>
          <t>kgCO2e/component</t>
        </is>
      </c>
      <c r="AS96" s="5" t="n"/>
      <c r="AT96" s="9">
        <f>IF(AND($A96&lt;&gt;"",G96=""),"Supplier code empty (High);","")&amp;IF(AND(U96&lt;&gt;"",OR(U96&gt;1,U96&lt;0)),"Incorrect PDS value (High);",IF(AND(U96&lt;&gt;"",U96&gt;0.5),"High PDS value (Medium);",""))&amp;IF(AND(V96&lt;&gt;"",OR(V96&gt;5,V96&lt;1)),"Incorrect DQR value (High);","")&amp;IF(AND(S96&lt;&gt;"",OR(S96&lt;=0,S96&gt;100)),"Unusual PCF value might be wrong (High);","")&amp;IF(AND(AL96&lt;&gt;"",OR(AL96&gt;1,AL96&lt;0)),"Incorrect PDS value (High);",IF(AND(AL96&lt;&gt;"",AL96&gt;0.5),"High PDS value (Medium);",""))&amp;IF(AND(AP96&lt;&gt;"",OR(AP96&gt;5,AP96&lt;1)),"Incorrect DQR value (High);","")&amp;IF(AND($A96&lt;&gt;"",AF96&gt;1),"Incorrect scrap rate (High);",IF(AND($A96&lt;&gt;"",AF96=0),"No scrap rate (No impact);",""))&amp;IF(AND($A96&lt;&gt;"",I96="",J96="",K96=""),"No raw material available (High);","")&amp;""</f>
        <v/>
      </c>
      <c r="AU96" s="9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4" t="n"/>
      <c r="M97" s="4" t="n"/>
      <c r="N97" s="3" t="inlineStr">
        <is>
          <t>kg</t>
        </is>
      </c>
      <c r="O97" s="4" t="n"/>
      <c r="P97" s="3" t="inlineStr">
        <is>
          <t>kg</t>
        </is>
      </c>
      <c r="Q97" s="3" t="n"/>
      <c r="R97" s="5" t="n"/>
      <c r="S97" s="6" t="n"/>
      <c r="T97" s="3" t="inlineStr">
        <is>
          <t>kgCO2e/component</t>
        </is>
      </c>
      <c r="U97" s="7" t="n"/>
      <c r="V97" s="4" t="n"/>
      <c r="W97" s="8" t="n"/>
      <c r="X97" s="3" t="inlineStr">
        <is>
          <t>Supplier</t>
        </is>
      </c>
      <c r="Y97" s="3" t="inlineStr">
        <is>
          <t>No</t>
        </is>
      </c>
      <c r="Z97" s="5" t="n"/>
      <c r="AA97" s="3" t="n"/>
      <c r="AB97" s="3" t="n"/>
      <c r="AC97" s="6" t="n"/>
      <c r="AD97" s="3" t="inlineStr">
        <is>
          <t>kgCO2e/component</t>
        </is>
      </c>
      <c r="AE97" s="3" t="n"/>
      <c r="AF97" s="7" t="n"/>
      <c r="AG97" s="3" t="n"/>
      <c r="AH97" s="3" t="n"/>
      <c r="AI97" s="6" t="n"/>
      <c r="AJ97" s="3" t="inlineStr">
        <is>
          <t>kgCO2e/component</t>
        </is>
      </c>
      <c r="AK97" s="3" t="n"/>
      <c r="AL97" s="7" t="n">
        <v>0</v>
      </c>
      <c r="AM97" s="3" t="n"/>
      <c r="AN97" s="3" t="n"/>
      <c r="AO97" s="3" t="n"/>
      <c r="AP97" s="4">
        <f>IF(COUNT(AM97,AN97,AO97)=0,"",ROUND(AVERAGE(AM97,AN97,AO97),3))</f>
        <v/>
      </c>
      <c r="AQ97" s="3">
        <f>IF(AC97="","",ROUND(AC97*IF(M97="",0,M97)*(1+IF(AF97="",0,AF97)),5))</f>
        <v/>
      </c>
      <c r="AR97" s="3" t="inlineStr">
        <is>
          <t>kgCO2e/component</t>
        </is>
      </c>
      <c r="AS97" s="5" t="n"/>
      <c r="AT97" s="9">
        <f>IF(AND($A97&lt;&gt;"",G97=""),"Supplier code empty (High);","")&amp;IF(AND(U97&lt;&gt;"",OR(U97&gt;1,U97&lt;0)),"Incorrect PDS value (High);",IF(AND(U97&lt;&gt;"",U97&gt;0.5),"High PDS value (Medium);",""))&amp;IF(AND(V97&lt;&gt;"",OR(V97&gt;5,V97&lt;1)),"Incorrect DQR value (High);","")&amp;IF(AND(S97&lt;&gt;"",OR(S97&lt;=0,S97&gt;100)),"Unusual PCF value might be wrong (High);","")&amp;IF(AND(AL97&lt;&gt;"",OR(AL97&gt;1,AL97&lt;0)),"Incorrect PDS value (High);",IF(AND(AL97&lt;&gt;"",AL97&gt;0.5),"High PDS value (Medium);",""))&amp;IF(AND(AP97&lt;&gt;"",OR(AP97&gt;5,AP97&lt;1)),"Incorrect DQR value (High);","")&amp;IF(AND($A97&lt;&gt;"",AF97&gt;1),"Incorrect scrap rate (High);",IF(AND($A97&lt;&gt;"",AF97=0),"No scrap rate (No impact);",""))&amp;IF(AND($A97&lt;&gt;"",I97="",J97="",K97=""),"No raw material available (High);","")&amp;""</f>
        <v/>
      </c>
      <c r="AU97" s="9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4" t="n"/>
      <c r="M98" s="4" t="n"/>
      <c r="N98" s="3" t="inlineStr">
        <is>
          <t>kg</t>
        </is>
      </c>
      <c r="O98" s="4" t="n"/>
      <c r="P98" s="3" t="inlineStr">
        <is>
          <t>kg</t>
        </is>
      </c>
      <c r="Q98" s="3" t="n"/>
      <c r="R98" s="5" t="n"/>
      <c r="S98" s="6" t="n"/>
      <c r="T98" s="3" t="inlineStr">
        <is>
          <t>kgCO2e/component</t>
        </is>
      </c>
      <c r="U98" s="7" t="n"/>
      <c r="V98" s="4" t="n"/>
      <c r="W98" s="8" t="n"/>
      <c r="X98" s="3" t="inlineStr">
        <is>
          <t>Supplier</t>
        </is>
      </c>
      <c r="Y98" s="3" t="inlineStr">
        <is>
          <t>No</t>
        </is>
      </c>
      <c r="Z98" s="5" t="n"/>
      <c r="AA98" s="3" t="n"/>
      <c r="AB98" s="3" t="n"/>
      <c r="AC98" s="6" t="n"/>
      <c r="AD98" s="3" t="inlineStr">
        <is>
          <t>kgCO2e/component</t>
        </is>
      </c>
      <c r="AE98" s="3" t="n"/>
      <c r="AF98" s="7" t="n"/>
      <c r="AG98" s="3" t="n"/>
      <c r="AH98" s="3" t="n"/>
      <c r="AI98" s="6" t="n"/>
      <c r="AJ98" s="3" t="inlineStr">
        <is>
          <t>kgCO2e/component</t>
        </is>
      </c>
      <c r="AK98" s="3" t="n"/>
      <c r="AL98" s="7" t="n">
        <v>0</v>
      </c>
      <c r="AM98" s="3" t="n"/>
      <c r="AN98" s="3" t="n"/>
      <c r="AO98" s="3" t="n"/>
      <c r="AP98" s="4">
        <f>IF(COUNT(AM98,AN98,AO98)=0,"",ROUND(AVERAGE(AM98,AN98,AO98),3))</f>
        <v/>
      </c>
      <c r="AQ98" s="3">
        <f>IF(AC98="","",ROUND(AC98*IF(M98="",0,M98)*(1+IF(AF98="",0,AF98)),5))</f>
        <v/>
      </c>
      <c r="AR98" s="3" t="inlineStr">
        <is>
          <t>kgCO2e/component</t>
        </is>
      </c>
      <c r="AS98" s="5" t="n"/>
      <c r="AT98" s="9">
        <f>IF(AND($A98&lt;&gt;"",G98=""),"Supplier code empty (High);","")&amp;IF(AND(U98&lt;&gt;"",OR(U98&gt;1,U98&lt;0)),"Incorrect PDS value (High);",IF(AND(U98&lt;&gt;"",U98&gt;0.5),"High PDS value (Medium);",""))&amp;IF(AND(V98&lt;&gt;"",OR(V98&gt;5,V98&lt;1)),"Incorrect DQR value (High);","")&amp;IF(AND(S98&lt;&gt;"",OR(S98&lt;=0,S98&gt;100)),"Unusual PCF value might be wrong (High);","")&amp;IF(AND(AL98&lt;&gt;"",OR(AL98&gt;1,AL98&lt;0)),"Incorrect PDS value (High);",IF(AND(AL98&lt;&gt;"",AL98&gt;0.5),"High PDS value (Medium);",""))&amp;IF(AND(AP98&lt;&gt;"",OR(AP98&gt;5,AP98&lt;1)),"Incorrect DQR value (High);","")&amp;IF(AND($A98&lt;&gt;"",AF98&gt;1),"Incorrect scrap rate (High);",IF(AND($A98&lt;&gt;"",AF98=0),"No scrap rate (No impact);",""))&amp;IF(AND($A98&lt;&gt;"",I98="",J98="",K98=""),"No raw material available (High);","")&amp;""</f>
        <v/>
      </c>
      <c r="AU98" s="9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4" t="n"/>
      <c r="M99" s="4" t="n"/>
      <c r="N99" s="3" t="inlineStr">
        <is>
          <t>kg</t>
        </is>
      </c>
      <c r="O99" s="4" t="n"/>
      <c r="P99" s="3" t="inlineStr">
        <is>
          <t>kg</t>
        </is>
      </c>
      <c r="Q99" s="3" t="n"/>
      <c r="R99" s="5" t="n"/>
      <c r="S99" s="6" t="n"/>
      <c r="T99" s="3" t="inlineStr">
        <is>
          <t>kgCO2e/component</t>
        </is>
      </c>
      <c r="U99" s="7" t="n"/>
      <c r="V99" s="4" t="n"/>
      <c r="W99" s="8" t="n"/>
      <c r="X99" s="3" t="inlineStr">
        <is>
          <t>Supplier</t>
        </is>
      </c>
      <c r="Y99" s="3" t="inlineStr">
        <is>
          <t>No</t>
        </is>
      </c>
      <c r="Z99" s="5" t="n"/>
      <c r="AA99" s="3" t="n"/>
      <c r="AB99" s="3" t="n"/>
      <c r="AC99" s="6" t="n"/>
      <c r="AD99" s="3" t="inlineStr">
        <is>
          <t>kgCO2e/component</t>
        </is>
      </c>
      <c r="AE99" s="3" t="n"/>
      <c r="AF99" s="7" t="n"/>
      <c r="AG99" s="3" t="n"/>
      <c r="AH99" s="3" t="n"/>
      <c r="AI99" s="6" t="n"/>
      <c r="AJ99" s="3" t="inlineStr">
        <is>
          <t>kgCO2e/component</t>
        </is>
      </c>
      <c r="AK99" s="3" t="n"/>
      <c r="AL99" s="7" t="n">
        <v>0</v>
      </c>
      <c r="AM99" s="3" t="n"/>
      <c r="AN99" s="3" t="n"/>
      <c r="AO99" s="3" t="n"/>
      <c r="AP99" s="4">
        <f>IF(COUNT(AM99,AN99,AO99)=0,"",ROUND(AVERAGE(AM99,AN99,AO99),3))</f>
        <v/>
      </c>
      <c r="AQ99" s="3">
        <f>IF(AC99="","",ROUND(AC99*IF(M99="",0,M99)*(1+IF(AF99="",0,AF99)),5))</f>
        <v/>
      </c>
      <c r="AR99" s="3" t="inlineStr">
        <is>
          <t>kgCO2e/component</t>
        </is>
      </c>
      <c r="AS99" s="5" t="n"/>
      <c r="AT99" s="9">
        <f>IF(AND($A99&lt;&gt;"",G99=""),"Supplier code empty (High);","")&amp;IF(AND(U99&lt;&gt;"",OR(U99&gt;1,U99&lt;0)),"Incorrect PDS value (High);",IF(AND(U99&lt;&gt;"",U99&gt;0.5),"High PDS value (Medium);",""))&amp;IF(AND(V99&lt;&gt;"",OR(V99&gt;5,V99&lt;1)),"Incorrect DQR value (High);","")&amp;IF(AND(S99&lt;&gt;"",OR(S99&lt;=0,S99&gt;100)),"Unusual PCF value might be wrong (High);","")&amp;IF(AND(AL99&lt;&gt;"",OR(AL99&gt;1,AL99&lt;0)),"Incorrect PDS value (High);",IF(AND(AL99&lt;&gt;"",AL99&gt;0.5),"High PDS value (Medium);",""))&amp;IF(AND(AP99&lt;&gt;"",OR(AP99&gt;5,AP99&lt;1)),"Incorrect DQR value (High);","")&amp;IF(AND($A99&lt;&gt;"",AF99&gt;1),"Incorrect scrap rate (High);",IF(AND($A99&lt;&gt;"",AF99=0),"No scrap rate (No impact);",""))&amp;IF(AND($A99&lt;&gt;"",I99="",J99="",K99=""),"No raw material available (High);","")&amp;""</f>
        <v/>
      </c>
      <c r="AU99" s="9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4" t="n"/>
      <c r="M100" s="4" t="n"/>
      <c r="N100" s="3" t="inlineStr">
        <is>
          <t>kg</t>
        </is>
      </c>
      <c r="O100" s="4" t="n"/>
      <c r="P100" s="3" t="inlineStr">
        <is>
          <t>kg</t>
        </is>
      </c>
      <c r="Q100" s="3" t="n"/>
      <c r="R100" s="5" t="n"/>
      <c r="S100" s="6" t="n"/>
      <c r="T100" s="3" t="inlineStr">
        <is>
          <t>kgCO2e/component</t>
        </is>
      </c>
      <c r="U100" s="7" t="n"/>
      <c r="V100" s="4" t="n"/>
      <c r="W100" s="8" t="n"/>
      <c r="X100" s="3" t="inlineStr">
        <is>
          <t>Supplier</t>
        </is>
      </c>
      <c r="Y100" s="3" t="inlineStr">
        <is>
          <t>No</t>
        </is>
      </c>
      <c r="Z100" s="5" t="n"/>
      <c r="AA100" s="3" t="n"/>
      <c r="AB100" s="3" t="n"/>
      <c r="AC100" s="6" t="n"/>
      <c r="AD100" s="3" t="inlineStr">
        <is>
          <t>kgCO2e/component</t>
        </is>
      </c>
      <c r="AE100" s="3" t="n"/>
      <c r="AF100" s="7" t="n"/>
      <c r="AG100" s="3" t="n"/>
      <c r="AH100" s="3" t="n"/>
      <c r="AI100" s="6" t="n"/>
      <c r="AJ100" s="3" t="inlineStr">
        <is>
          <t>kgCO2e/component</t>
        </is>
      </c>
      <c r="AK100" s="3" t="n"/>
      <c r="AL100" s="7" t="n">
        <v>0</v>
      </c>
      <c r="AM100" s="3" t="n"/>
      <c r="AN100" s="3" t="n"/>
      <c r="AO100" s="3" t="n"/>
      <c r="AP100" s="4">
        <f>IF(COUNT(AM100,AN100,AO100)=0,"",ROUND(AVERAGE(AM100,AN100,AO100),3))</f>
        <v/>
      </c>
      <c r="AQ100" s="3">
        <f>IF(AC100="","",ROUND(AC100*IF(M100="",0,M100)*(1+IF(AF100="",0,AF100)),5))</f>
        <v/>
      </c>
      <c r="AR100" s="3" t="inlineStr">
        <is>
          <t>kgCO2e/component</t>
        </is>
      </c>
      <c r="AS100" s="5" t="n"/>
      <c r="AT100" s="9">
        <f>IF(AND($A100&lt;&gt;"",G100=""),"Supplier code empty (High);","")&amp;IF(AND(U100&lt;&gt;"",OR(U100&gt;1,U100&lt;0)),"Incorrect PDS value (High);",IF(AND(U100&lt;&gt;"",U100&gt;0.5),"High PDS value (Medium);",""))&amp;IF(AND(V100&lt;&gt;"",OR(V100&gt;5,V100&lt;1)),"Incorrect DQR value (High);","")&amp;IF(AND(S100&lt;&gt;"",OR(S100&lt;=0,S100&gt;100)),"Unusual PCF value might be wrong (High);","")&amp;IF(AND(AL100&lt;&gt;"",OR(AL100&gt;1,AL100&lt;0)),"Incorrect PDS value (High);",IF(AND(AL100&lt;&gt;"",AL100&gt;0.5),"High PDS value (Medium);",""))&amp;IF(AND(AP100&lt;&gt;"",OR(AP100&gt;5,AP100&lt;1)),"Incorrect DQR value (High);","")&amp;IF(AND($A100&lt;&gt;"",AF100&gt;1),"Incorrect scrap rate (High);",IF(AND($A100&lt;&gt;"",AF100=0),"No scrap rate (No impact);",""))&amp;IF(AND($A100&lt;&gt;"",I100="",J100="",K100=""),"No raw material available (High);","")&amp;""</f>
        <v/>
      </c>
      <c r="AU100" s="9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4" t="n"/>
      <c r="M101" s="4" t="n"/>
      <c r="N101" s="3" t="inlineStr">
        <is>
          <t>kg</t>
        </is>
      </c>
      <c r="O101" s="4" t="n"/>
      <c r="P101" s="3" t="inlineStr">
        <is>
          <t>kg</t>
        </is>
      </c>
      <c r="Q101" s="3" t="n"/>
      <c r="R101" s="5" t="n"/>
      <c r="S101" s="6" t="n"/>
      <c r="T101" s="3" t="inlineStr">
        <is>
          <t>kgCO2e/component</t>
        </is>
      </c>
      <c r="U101" s="7" t="n"/>
      <c r="V101" s="4" t="n"/>
      <c r="W101" s="8" t="n"/>
      <c r="X101" s="3" t="inlineStr">
        <is>
          <t>Supplier</t>
        </is>
      </c>
      <c r="Y101" s="3" t="inlineStr">
        <is>
          <t>No</t>
        </is>
      </c>
      <c r="Z101" s="5" t="n"/>
      <c r="AA101" s="3" t="n"/>
      <c r="AB101" s="3" t="n"/>
      <c r="AC101" s="6" t="n"/>
      <c r="AD101" s="3" t="inlineStr">
        <is>
          <t>kgCO2e/component</t>
        </is>
      </c>
      <c r="AE101" s="3" t="n"/>
      <c r="AF101" s="7" t="n"/>
      <c r="AG101" s="3" t="n"/>
      <c r="AH101" s="3" t="n"/>
      <c r="AI101" s="6" t="n"/>
      <c r="AJ101" s="3" t="inlineStr">
        <is>
          <t>kgCO2e/component</t>
        </is>
      </c>
      <c r="AK101" s="3" t="n"/>
      <c r="AL101" s="7" t="n">
        <v>0</v>
      </c>
      <c r="AM101" s="3" t="n"/>
      <c r="AN101" s="3" t="n"/>
      <c r="AO101" s="3" t="n"/>
      <c r="AP101" s="4">
        <f>IF(COUNT(AM101,AN101,AO101)=0,"",ROUND(AVERAGE(AM101,AN101,AO101),3))</f>
        <v/>
      </c>
      <c r="AQ101" s="3">
        <f>IF(AC101="","",ROUND(AC101*IF(M101="",0,M101)*(1+IF(AF101="",0,AF101)),5))</f>
        <v/>
      </c>
      <c r="AR101" s="3" t="inlineStr">
        <is>
          <t>kgCO2e/component</t>
        </is>
      </c>
      <c r="AS101" s="5" t="n"/>
      <c r="AT101" s="9">
        <f>IF(AND($A101&lt;&gt;"",G101=""),"Supplier code empty (High);","")&amp;IF(AND(U101&lt;&gt;"",OR(U101&gt;1,U101&lt;0)),"Incorrect PDS value (High);",IF(AND(U101&lt;&gt;"",U101&gt;0.5),"High PDS value (Medium);",""))&amp;IF(AND(V101&lt;&gt;"",OR(V101&gt;5,V101&lt;1)),"Incorrect DQR value (High);","")&amp;IF(AND(S101&lt;&gt;"",OR(S101&lt;=0,S101&gt;100)),"Unusual PCF value might be wrong (High);","")&amp;IF(AND(AL101&lt;&gt;"",OR(AL101&gt;1,AL101&lt;0)),"Incorrect PDS value (High);",IF(AND(AL101&lt;&gt;"",AL101&gt;0.5),"High PDS value (Medium);",""))&amp;IF(AND(AP101&lt;&gt;"",OR(AP101&gt;5,AP101&lt;1)),"Incorrect DQR value (High);","")&amp;IF(AND($A101&lt;&gt;"",AF101&gt;1),"Incorrect scrap rate (High);",IF(AND($A101&lt;&gt;"",AF101=0),"No scrap rate (No impact);",""))&amp;IF(AND($A101&lt;&gt;"",I101="",J101="",K101=""),"No raw material available (High);","")&amp;""</f>
        <v/>
      </c>
      <c r="AU101" s="9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4" t="n"/>
      <c r="M102" s="4" t="n"/>
      <c r="N102" s="3" t="inlineStr">
        <is>
          <t>kg</t>
        </is>
      </c>
      <c r="O102" s="4" t="n"/>
      <c r="P102" s="3" t="inlineStr">
        <is>
          <t>kg</t>
        </is>
      </c>
      <c r="Q102" s="3" t="n"/>
      <c r="R102" s="5" t="n"/>
      <c r="S102" s="6" t="n"/>
      <c r="T102" s="3" t="inlineStr">
        <is>
          <t>kgCO2e/component</t>
        </is>
      </c>
      <c r="U102" s="7" t="n"/>
      <c r="V102" s="4" t="n"/>
      <c r="W102" s="8" t="n"/>
      <c r="X102" s="3" t="inlineStr">
        <is>
          <t>Supplier</t>
        </is>
      </c>
      <c r="Y102" s="3" t="inlineStr">
        <is>
          <t>No</t>
        </is>
      </c>
      <c r="Z102" s="5" t="n"/>
      <c r="AA102" s="3" t="n"/>
      <c r="AB102" s="3" t="n"/>
      <c r="AC102" s="6" t="n"/>
      <c r="AD102" s="3" t="inlineStr">
        <is>
          <t>kgCO2e/component</t>
        </is>
      </c>
      <c r="AE102" s="3" t="n"/>
      <c r="AF102" s="7" t="n"/>
      <c r="AG102" s="3" t="n"/>
      <c r="AH102" s="3" t="n"/>
      <c r="AI102" s="6" t="n"/>
      <c r="AJ102" s="3" t="inlineStr">
        <is>
          <t>kgCO2e/component</t>
        </is>
      </c>
      <c r="AK102" s="3" t="n"/>
      <c r="AL102" s="7" t="n">
        <v>0</v>
      </c>
      <c r="AM102" s="3" t="n"/>
      <c r="AN102" s="3" t="n"/>
      <c r="AO102" s="3" t="n"/>
      <c r="AP102" s="4">
        <f>IF(COUNT(AM102,AN102,AO102)=0,"",ROUND(AVERAGE(AM102,AN102,AO102),3))</f>
        <v/>
      </c>
      <c r="AQ102" s="3">
        <f>IF(AC102="","",ROUND(AC102*IF(M102="",0,M102)*(1+IF(AF102="",0,AF102)),5))</f>
        <v/>
      </c>
      <c r="AR102" s="3" t="inlineStr">
        <is>
          <t>kgCO2e/component</t>
        </is>
      </c>
      <c r="AS102" s="5" t="n"/>
      <c r="AT102" s="9">
        <f>IF(AND($A102&lt;&gt;"",G102=""),"Supplier code empty (High);","")&amp;IF(AND(U102&lt;&gt;"",OR(U102&gt;1,U102&lt;0)),"Incorrect PDS value (High);",IF(AND(U102&lt;&gt;"",U102&gt;0.5),"High PDS value (Medium);",""))&amp;IF(AND(V102&lt;&gt;"",OR(V102&gt;5,V102&lt;1)),"Incorrect DQR value (High);","")&amp;IF(AND(S102&lt;&gt;"",OR(S102&lt;=0,S102&gt;100)),"Unusual PCF value might be wrong (High);","")&amp;IF(AND(AL102&lt;&gt;"",OR(AL102&gt;1,AL102&lt;0)),"Incorrect PDS value (High);",IF(AND(AL102&lt;&gt;"",AL102&gt;0.5),"High PDS value (Medium);",""))&amp;IF(AND(AP102&lt;&gt;"",OR(AP102&gt;5,AP102&lt;1)),"Incorrect DQR value (High);","")&amp;IF(AND($A102&lt;&gt;"",AF102&gt;1),"Incorrect scrap rate (High);",IF(AND($A102&lt;&gt;"",AF102=0),"No scrap rate (No impact);",""))&amp;IF(AND($A102&lt;&gt;"",I102="",J102="",K102=""),"No raw material available (High);","")&amp;""</f>
        <v/>
      </c>
      <c r="AU102" s="9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4" t="n"/>
      <c r="M103" s="4" t="n"/>
      <c r="N103" s="3" t="inlineStr">
        <is>
          <t>kg</t>
        </is>
      </c>
      <c r="O103" s="4" t="n"/>
      <c r="P103" s="3" t="inlineStr">
        <is>
          <t>kg</t>
        </is>
      </c>
      <c r="Q103" s="3" t="n"/>
      <c r="R103" s="5" t="n"/>
      <c r="S103" s="6" t="n"/>
      <c r="T103" s="3" t="inlineStr">
        <is>
          <t>kgCO2e/component</t>
        </is>
      </c>
      <c r="U103" s="7" t="n"/>
      <c r="V103" s="4" t="n"/>
      <c r="W103" s="8" t="n"/>
      <c r="X103" s="3" t="inlineStr">
        <is>
          <t>Supplier</t>
        </is>
      </c>
      <c r="Y103" s="3" t="inlineStr">
        <is>
          <t>No</t>
        </is>
      </c>
      <c r="Z103" s="5" t="n"/>
      <c r="AA103" s="3" t="n"/>
      <c r="AB103" s="3" t="n"/>
      <c r="AC103" s="6" t="n"/>
      <c r="AD103" s="3" t="inlineStr">
        <is>
          <t>kgCO2e/component</t>
        </is>
      </c>
      <c r="AE103" s="3" t="n"/>
      <c r="AF103" s="7" t="n"/>
      <c r="AG103" s="3" t="n"/>
      <c r="AH103" s="3" t="n"/>
      <c r="AI103" s="6" t="n"/>
      <c r="AJ103" s="3" t="inlineStr">
        <is>
          <t>kgCO2e/component</t>
        </is>
      </c>
      <c r="AK103" s="3" t="n"/>
      <c r="AL103" s="7" t="n">
        <v>0</v>
      </c>
      <c r="AM103" s="3" t="n"/>
      <c r="AN103" s="3" t="n"/>
      <c r="AO103" s="3" t="n"/>
      <c r="AP103" s="4">
        <f>IF(COUNT(AM103,AN103,AO103)=0,"",ROUND(AVERAGE(AM103,AN103,AO103),3))</f>
        <v/>
      </c>
      <c r="AQ103" s="3">
        <f>IF(AC103="","",ROUND(AC103*IF(M103="",0,M103)*(1+IF(AF103="",0,AF103)),5))</f>
        <v/>
      </c>
      <c r="AR103" s="3" t="inlineStr">
        <is>
          <t>kgCO2e/component</t>
        </is>
      </c>
      <c r="AS103" s="5" t="n"/>
      <c r="AT103" s="9">
        <f>IF(AND($A103&lt;&gt;"",G103=""),"Supplier code empty (High);","")&amp;IF(AND(U103&lt;&gt;"",OR(U103&gt;1,U103&lt;0)),"Incorrect PDS value (High);",IF(AND(U103&lt;&gt;"",U103&gt;0.5),"High PDS value (Medium);",""))&amp;IF(AND(V103&lt;&gt;"",OR(V103&gt;5,V103&lt;1)),"Incorrect DQR value (High);","")&amp;IF(AND(S103&lt;&gt;"",OR(S103&lt;=0,S103&gt;100)),"Unusual PCF value might be wrong (High);","")&amp;IF(AND(AL103&lt;&gt;"",OR(AL103&gt;1,AL103&lt;0)),"Incorrect PDS value (High);",IF(AND(AL103&lt;&gt;"",AL103&gt;0.5),"High PDS value (Medium);",""))&amp;IF(AND(AP103&lt;&gt;"",OR(AP103&gt;5,AP103&lt;1)),"Incorrect DQR value (High);","")&amp;IF(AND($A103&lt;&gt;"",AF103&gt;1),"Incorrect scrap rate (High);",IF(AND($A103&lt;&gt;"",AF103=0),"No scrap rate (No impact);",""))&amp;IF(AND($A103&lt;&gt;"",I103="",J103="",K103=""),"No raw material available (High);","")&amp;""</f>
        <v/>
      </c>
      <c r="AU103" s="9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4" t="n"/>
      <c r="M104" s="4" t="n"/>
      <c r="N104" s="3" t="inlineStr">
        <is>
          <t>kg</t>
        </is>
      </c>
      <c r="O104" s="4" t="n"/>
      <c r="P104" s="3" t="inlineStr">
        <is>
          <t>kg</t>
        </is>
      </c>
      <c r="Q104" s="3" t="n"/>
      <c r="R104" s="5" t="n"/>
      <c r="S104" s="6" t="n"/>
      <c r="T104" s="3" t="inlineStr">
        <is>
          <t>kgCO2e/component</t>
        </is>
      </c>
      <c r="U104" s="7" t="n"/>
      <c r="V104" s="4" t="n"/>
      <c r="W104" s="8" t="n"/>
      <c r="X104" s="3" t="inlineStr">
        <is>
          <t>Supplier</t>
        </is>
      </c>
      <c r="Y104" s="3" t="inlineStr">
        <is>
          <t>No</t>
        </is>
      </c>
      <c r="Z104" s="5" t="n"/>
      <c r="AA104" s="3" t="n"/>
      <c r="AB104" s="3" t="n"/>
      <c r="AC104" s="6" t="n"/>
      <c r="AD104" s="3" t="inlineStr">
        <is>
          <t>kgCO2e/component</t>
        </is>
      </c>
      <c r="AE104" s="3" t="n"/>
      <c r="AF104" s="7" t="n"/>
      <c r="AG104" s="3" t="n"/>
      <c r="AH104" s="3" t="n"/>
      <c r="AI104" s="6" t="n"/>
      <c r="AJ104" s="3" t="inlineStr">
        <is>
          <t>kgCO2e/component</t>
        </is>
      </c>
      <c r="AK104" s="3" t="n"/>
      <c r="AL104" s="7" t="n">
        <v>0</v>
      </c>
      <c r="AM104" s="3" t="n"/>
      <c r="AN104" s="3" t="n"/>
      <c r="AO104" s="3" t="n"/>
      <c r="AP104" s="4">
        <f>IF(COUNT(AM104,AN104,AO104)=0,"",ROUND(AVERAGE(AM104,AN104,AO104),3))</f>
        <v/>
      </c>
      <c r="AQ104" s="3">
        <f>IF(AC104="","",ROUND(AC104*IF(M104="",0,M104)*(1+IF(AF104="",0,AF104)),5))</f>
        <v/>
      </c>
      <c r="AR104" s="3" t="inlineStr">
        <is>
          <t>kgCO2e/component</t>
        </is>
      </c>
      <c r="AS104" s="5" t="n"/>
      <c r="AT104" s="9">
        <f>IF(AND($A104&lt;&gt;"",G104=""),"Supplier code empty (High);","")&amp;IF(AND(U104&lt;&gt;"",OR(U104&gt;1,U104&lt;0)),"Incorrect PDS value (High);",IF(AND(U104&lt;&gt;"",U104&gt;0.5),"High PDS value (Medium);",""))&amp;IF(AND(V104&lt;&gt;"",OR(V104&gt;5,V104&lt;1)),"Incorrect DQR value (High);","")&amp;IF(AND(S104&lt;&gt;"",OR(S104&lt;=0,S104&gt;100)),"Unusual PCF value might be wrong (High);","")&amp;IF(AND(AL104&lt;&gt;"",OR(AL104&gt;1,AL104&lt;0)),"Incorrect PDS value (High);",IF(AND(AL104&lt;&gt;"",AL104&gt;0.5),"High PDS value (Medium);",""))&amp;IF(AND(AP104&lt;&gt;"",OR(AP104&gt;5,AP104&lt;1)),"Incorrect DQR value (High);","")&amp;IF(AND($A104&lt;&gt;"",AF104&gt;1),"Incorrect scrap rate (High);",IF(AND($A104&lt;&gt;"",AF104=0),"No scrap rate (No impact);",""))&amp;IF(AND($A104&lt;&gt;"",I104="",J104="",K104=""),"No raw material available (High);","")&amp;""</f>
        <v/>
      </c>
      <c r="AU104" s="9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4" t="n"/>
      <c r="M105" s="4" t="n"/>
      <c r="N105" s="3" t="inlineStr">
        <is>
          <t>kg</t>
        </is>
      </c>
      <c r="O105" s="4" t="n"/>
      <c r="P105" s="3" t="inlineStr">
        <is>
          <t>kg</t>
        </is>
      </c>
      <c r="Q105" s="3" t="n"/>
      <c r="R105" s="5" t="n"/>
      <c r="S105" s="6" t="n"/>
      <c r="T105" s="3" t="inlineStr">
        <is>
          <t>kgCO2e/component</t>
        </is>
      </c>
      <c r="U105" s="7" t="n"/>
      <c r="V105" s="4" t="n"/>
      <c r="W105" s="8" t="n"/>
      <c r="X105" s="3" t="inlineStr">
        <is>
          <t>Supplier</t>
        </is>
      </c>
      <c r="Y105" s="3" t="inlineStr">
        <is>
          <t>No</t>
        </is>
      </c>
      <c r="Z105" s="5" t="n"/>
      <c r="AA105" s="3" t="n"/>
      <c r="AB105" s="3" t="n"/>
      <c r="AC105" s="6" t="n"/>
      <c r="AD105" s="3" t="inlineStr">
        <is>
          <t>kgCO2e/component</t>
        </is>
      </c>
      <c r="AE105" s="3" t="n"/>
      <c r="AF105" s="7" t="n"/>
      <c r="AG105" s="3" t="n"/>
      <c r="AH105" s="3" t="n"/>
      <c r="AI105" s="6" t="n"/>
      <c r="AJ105" s="3" t="inlineStr">
        <is>
          <t>kgCO2e/component</t>
        </is>
      </c>
      <c r="AK105" s="3" t="n"/>
      <c r="AL105" s="7" t="n">
        <v>0</v>
      </c>
      <c r="AM105" s="3" t="n"/>
      <c r="AN105" s="3" t="n"/>
      <c r="AO105" s="3" t="n"/>
      <c r="AP105" s="4">
        <f>IF(COUNT(AM105,AN105,AO105)=0,"",ROUND(AVERAGE(AM105,AN105,AO105),3))</f>
        <v/>
      </c>
      <c r="AQ105" s="3">
        <f>IF(AC105="","",ROUND(AC105*IF(M105="",0,M105)*(1+IF(AF105="",0,AF105)),5))</f>
        <v/>
      </c>
      <c r="AR105" s="3" t="inlineStr">
        <is>
          <t>kgCO2e/component</t>
        </is>
      </c>
      <c r="AS105" s="5" t="n"/>
      <c r="AT105" s="9">
        <f>IF(AND($A105&lt;&gt;"",G105=""),"Supplier code empty (High);","")&amp;IF(AND(U105&lt;&gt;"",OR(U105&gt;1,U105&lt;0)),"Incorrect PDS value (High);",IF(AND(U105&lt;&gt;"",U105&gt;0.5),"High PDS value (Medium);",""))&amp;IF(AND(V105&lt;&gt;"",OR(V105&gt;5,V105&lt;1)),"Incorrect DQR value (High);","")&amp;IF(AND(S105&lt;&gt;"",OR(S105&lt;=0,S105&gt;100)),"Unusual PCF value might be wrong (High);","")&amp;IF(AND(AL105&lt;&gt;"",OR(AL105&gt;1,AL105&lt;0)),"Incorrect PDS value (High);",IF(AND(AL105&lt;&gt;"",AL105&gt;0.5),"High PDS value (Medium);",""))&amp;IF(AND(AP105&lt;&gt;"",OR(AP105&gt;5,AP105&lt;1)),"Incorrect DQR value (High);","")&amp;IF(AND($A105&lt;&gt;"",AF105&gt;1),"Incorrect scrap rate (High);",IF(AND($A105&lt;&gt;"",AF105=0),"No scrap rate (No impact);",""))&amp;IF(AND($A105&lt;&gt;"",I105="",J105="",K105=""),"No raw material available (High);","")&amp;""</f>
        <v/>
      </c>
      <c r="AU105" s="9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4" t="n"/>
      <c r="M106" s="4" t="n"/>
      <c r="N106" s="3" t="inlineStr">
        <is>
          <t>kg</t>
        </is>
      </c>
      <c r="O106" s="4" t="n"/>
      <c r="P106" s="3" t="inlineStr">
        <is>
          <t>kg</t>
        </is>
      </c>
      <c r="Q106" s="3" t="n"/>
      <c r="R106" s="5" t="n"/>
      <c r="S106" s="6" t="n"/>
      <c r="T106" s="3" t="inlineStr">
        <is>
          <t>kgCO2e/component</t>
        </is>
      </c>
      <c r="U106" s="7" t="n"/>
      <c r="V106" s="4" t="n"/>
      <c r="W106" s="8" t="n"/>
      <c r="X106" s="3" t="inlineStr">
        <is>
          <t>Supplier</t>
        </is>
      </c>
      <c r="Y106" s="3" t="inlineStr">
        <is>
          <t>No</t>
        </is>
      </c>
      <c r="Z106" s="5" t="n"/>
      <c r="AA106" s="3" t="n"/>
      <c r="AB106" s="3" t="n"/>
      <c r="AC106" s="6" t="n"/>
      <c r="AD106" s="3" t="inlineStr">
        <is>
          <t>kgCO2e/component</t>
        </is>
      </c>
      <c r="AE106" s="3" t="n"/>
      <c r="AF106" s="7" t="n"/>
      <c r="AG106" s="3" t="n"/>
      <c r="AH106" s="3" t="n"/>
      <c r="AI106" s="6" t="n"/>
      <c r="AJ106" s="3" t="inlineStr">
        <is>
          <t>kgCO2e/component</t>
        </is>
      </c>
      <c r="AK106" s="3" t="n"/>
      <c r="AL106" s="7" t="n">
        <v>0</v>
      </c>
      <c r="AM106" s="3" t="n"/>
      <c r="AN106" s="3" t="n"/>
      <c r="AO106" s="3" t="n"/>
      <c r="AP106" s="4">
        <f>IF(COUNT(AM106,AN106,AO106)=0,"",ROUND(AVERAGE(AM106,AN106,AO106),3))</f>
        <v/>
      </c>
      <c r="AQ106" s="3">
        <f>IF(AC106="","",ROUND(AC106*IF(M106="",0,M106)*(1+IF(AF106="",0,AF106)),5))</f>
        <v/>
      </c>
      <c r="AR106" s="3" t="inlineStr">
        <is>
          <t>kgCO2e/component</t>
        </is>
      </c>
      <c r="AS106" s="5" t="n"/>
      <c r="AT106" s="9">
        <f>IF(AND($A106&lt;&gt;"",G106=""),"Supplier code empty (High);","")&amp;IF(AND(U106&lt;&gt;"",OR(U106&gt;1,U106&lt;0)),"Incorrect PDS value (High);",IF(AND(U106&lt;&gt;"",U106&gt;0.5),"High PDS value (Medium);",""))&amp;IF(AND(V106&lt;&gt;"",OR(V106&gt;5,V106&lt;1)),"Incorrect DQR value (High);","")&amp;IF(AND(S106&lt;&gt;"",OR(S106&lt;=0,S106&gt;100)),"Unusual PCF value might be wrong (High);","")&amp;IF(AND(AL106&lt;&gt;"",OR(AL106&gt;1,AL106&lt;0)),"Incorrect PDS value (High);",IF(AND(AL106&lt;&gt;"",AL106&gt;0.5),"High PDS value (Medium);",""))&amp;IF(AND(AP106&lt;&gt;"",OR(AP106&gt;5,AP106&lt;1)),"Incorrect DQR value (High);","")&amp;IF(AND($A106&lt;&gt;"",AF106&gt;1),"Incorrect scrap rate (High);",IF(AND($A106&lt;&gt;"",AF106=0),"No scrap rate (No impact);",""))&amp;IF(AND($A106&lt;&gt;"",I106="",J106="",K106=""),"No raw material available (High);","")&amp;""</f>
        <v/>
      </c>
      <c r="AU106" s="9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4" t="n"/>
      <c r="M107" s="4" t="n"/>
      <c r="N107" s="3" t="inlineStr">
        <is>
          <t>kg</t>
        </is>
      </c>
      <c r="O107" s="4" t="n"/>
      <c r="P107" s="3" t="inlineStr">
        <is>
          <t>kg</t>
        </is>
      </c>
      <c r="Q107" s="3" t="n"/>
      <c r="R107" s="5" t="n"/>
      <c r="S107" s="6" t="n"/>
      <c r="T107" s="3" t="inlineStr">
        <is>
          <t>kgCO2e/component</t>
        </is>
      </c>
      <c r="U107" s="7" t="n"/>
      <c r="V107" s="4" t="n"/>
      <c r="W107" s="8" t="n"/>
      <c r="X107" s="3" t="inlineStr">
        <is>
          <t>Supplier</t>
        </is>
      </c>
      <c r="Y107" s="3" t="inlineStr">
        <is>
          <t>No</t>
        </is>
      </c>
      <c r="Z107" s="5" t="n"/>
      <c r="AA107" s="3" t="n"/>
      <c r="AB107" s="3" t="n"/>
      <c r="AC107" s="6" t="n"/>
      <c r="AD107" s="3" t="inlineStr">
        <is>
          <t>kgCO2e/component</t>
        </is>
      </c>
      <c r="AE107" s="3" t="n"/>
      <c r="AF107" s="7" t="n"/>
      <c r="AG107" s="3" t="n"/>
      <c r="AH107" s="3" t="n"/>
      <c r="AI107" s="6" t="n"/>
      <c r="AJ107" s="3" t="inlineStr">
        <is>
          <t>kgCO2e/component</t>
        </is>
      </c>
      <c r="AK107" s="3" t="n"/>
      <c r="AL107" s="7" t="n">
        <v>0</v>
      </c>
      <c r="AM107" s="3" t="n"/>
      <c r="AN107" s="3" t="n"/>
      <c r="AO107" s="3" t="n"/>
      <c r="AP107" s="4">
        <f>IF(COUNT(AM107,AN107,AO107)=0,"",ROUND(AVERAGE(AM107,AN107,AO107),3))</f>
        <v/>
      </c>
      <c r="AQ107" s="3">
        <f>IF(AC107="","",ROUND(AC107*IF(M107="",0,M107)*(1+IF(AF107="",0,AF107)),5))</f>
        <v/>
      </c>
      <c r="AR107" s="3" t="inlineStr">
        <is>
          <t>kgCO2e/component</t>
        </is>
      </c>
      <c r="AS107" s="5" t="n"/>
      <c r="AT107" s="9">
        <f>IF(AND($A107&lt;&gt;"",G107=""),"Supplier code empty (High);","")&amp;IF(AND(U107&lt;&gt;"",OR(U107&gt;1,U107&lt;0)),"Incorrect PDS value (High);",IF(AND(U107&lt;&gt;"",U107&gt;0.5),"High PDS value (Medium);",""))&amp;IF(AND(V107&lt;&gt;"",OR(V107&gt;5,V107&lt;1)),"Incorrect DQR value (High);","")&amp;IF(AND(S107&lt;&gt;"",OR(S107&lt;=0,S107&gt;100)),"Unusual PCF value might be wrong (High);","")&amp;IF(AND(AL107&lt;&gt;"",OR(AL107&gt;1,AL107&lt;0)),"Incorrect PDS value (High);",IF(AND(AL107&lt;&gt;"",AL107&gt;0.5),"High PDS value (Medium);",""))&amp;IF(AND(AP107&lt;&gt;"",OR(AP107&gt;5,AP107&lt;1)),"Incorrect DQR value (High);","")&amp;IF(AND($A107&lt;&gt;"",AF107&gt;1),"Incorrect scrap rate (High);",IF(AND($A107&lt;&gt;"",AF107=0),"No scrap rate (No impact);",""))&amp;IF(AND($A107&lt;&gt;"",I107="",J107="",K107=""),"No raw material available (High);","")&amp;""</f>
        <v/>
      </c>
      <c r="AU107" s="9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4" t="n"/>
      <c r="M108" s="4" t="n"/>
      <c r="N108" s="3" t="inlineStr">
        <is>
          <t>kg</t>
        </is>
      </c>
      <c r="O108" s="4" t="n"/>
      <c r="P108" s="3" t="inlineStr">
        <is>
          <t>kg</t>
        </is>
      </c>
      <c r="Q108" s="3" t="n"/>
      <c r="R108" s="5" t="n"/>
      <c r="S108" s="6" t="n"/>
      <c r="T108" s="3" t="inlineStr">
        <is>
          <t>kgCO2e/component</t>
        </is>
      </c>
      <c r="U108" s="7" t="n"/>
      <c r="V108" s="4" t="n"/>
      <c r="W108" s="8" t="n"/>
      <c r="X108" s="3" t="inlineStr">
        <is>
          <t>Supplier</t>
        </is>
      </c>
      <c r="Y108" s="3" t="inlineStr">
        <is>
          <t>No</t>
        </is>
      </c>
      <c r="Z108" s="5" t="n"/>
      <c r="AA108" s="3" t="n"/>
      <c r="AB108" s="3" t="n"/>
      <c r="AC108" s="6" t="n"/>
      <c r="AD108" s="3" t="inlineStr">
        <is>
          <t>kgCO2e/component</t>
        </is>
      </c>
      <c r="AE108" s="3" t="n"/>
      <c r="AF108" s="7" t="n"/>
      <c r="AG108" s="3" t="n"/>
      <c r="AH108" s="3" t="n"/>
      <c r="AI108" s="6" t="n"/>
      <c r="AJ108" s="3" t="inlineStr">
        <is>
          <t>kgCO2e/component</t>
        </is>
      </c>
      <c r="AK108" s="3" t="n"/>
      <c r="AL108" s="7" t="n">
        <v>0</v>
      </c>
      <c r="AM108" s="3" t="n"/>
      <c r="AN108" s="3" t="n"/>
      <c r="AO108" s="3" t="n"/>
      <c r="AP108" s="4">
        <f>IF(COUNT(AM108,AN108,AO108)=0,"",ROUND(AVERAGE(AM108,AN108,AO108),3))</f>
        <v/>
      </c>
      <c r="AQ108" s="3">
        <f>IF(AC108="","",ROUND(AC108*IF(M108="",0,M108)*(1+IF(AF108="",0,AF108)),5))</f>
        <v/>
      </c>
      <c r="AR108" s="3" t="inlineStr">
        <is>
          <t>kgCO2e/component</t>
        </is>
      </c>
      <c r="AS108" s="5" t="n"/>
      <c r="AT108" s="9">
        <f>IF(AND($A108&lt;&gt;"",G108=""),"Supplier code empty (High);","")&amp;IF(AND(U108&lt;&gt;"",OR(U108&gt;1,U108&lt;0)),"Incorrect PDS value (High);",IF(AND(U108&lt;&gt;"",U108&gt;0.5),"High PDS value (Medium);",""))&amp;IF(AND(V108&lt;&gt;"",OR(V108&gt;5,V108&lt;1)),"Incorrect DQR value (High);","")&amp;IF(AND(S108&lt;&gt;"",OR(S108&lt;=0,S108&gt;100)),"Unusual PCF value might be wrong (High);","")&amp;IF(AND(AL108&lt;&gt;"",OR(AL108&gt;1,AL108&lt;0)),"Incorrect PDS value (High);",IF(AND(AL108&lt;&gt;"",AL108&gt;0.5),"High PDS value (Medium);",""))&amp;IF(AND(AP108&lt;&gt;"",OR(AP108&gt;5,AP108&lt;1)),"Incorrect DQR value (High);","")&amp;IF(AND($A108&lt;&gt;"",AF108&gt;1),"Incorrect scrap rate (High);",IF(AND($A108&lt;&gt;"",AF108=0),"No scrap rate (No impact);",""))&amp;IF(AND($A108&lt;&gt;"",I108="",J108="",K108=""),"No raw material available (High);","")&amp;""</f>
        <v/>
      </c>
      <c r="AU108" s="9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4" t="n"/>
      <c r="M109" s="4" t="n"/>
      <c r="N109" s="3" t="inlineStr">
        <is>
          <t>kg</t>
        </is>
      </c>
      <c r="O109" s="4" t="n"/>
      <c r="P109" s="3" t="inlineStr">
        <is>
          <t>kg</t>
        </is>
      </c>
      <c r="Q109" s="3" t="n"/>
      <c r="R109" s="5" t="n"/>
      <c r="S109" s="6" t="n"/>
      <c r="T109" s="3" t="inlineStr">
        <is>
          <t>kgCO2e/component</t>
        </is>
      </c>
      <c r="U109" s="7" t="n"/>
      <c r="V109" s="4" t="n"/>
      <c r="W109" s="8" t="n"/>
      <c r="X109" s="3" t="inlineStr">
        <is>
          <t>Supplier</t>
        </is>
      </c>
      <c r="Y109" s="3" t="inlineStr">
        <is>
          <t>No</t>
        </is>
      </c>
      <c r="Z109" s="5" t="n"/>
      <c r="AA109" s="3" t="n"/>
      <c r="AB109" s="3" t="n"/>
      <c r="AC109" s="6" t="n"/>
      <c r="AD109" s="3" t="inlineStr">
        <is>
          <t>kgCO2e/component</t>
        </is>
      </c>
      <c r="AE109" s="3" t="n"/>
      <c r="AF109" s="7" t="n"/>
      <c r="AG109" s="3" t="n"/>
      <c r="AH109" s="3" t="n"/>
      <c r="AI109" s="6" t="n"/>
      <c r="AJ109" s="3" t="inlineStr">
        <is>
          <t>kgCO2e/component</t>
        </is>
      </c>
      <c r="AK109" s="3" t="n"/>
      <c r="AL109" s="7" t="n">
        <v>0</v>
      </c>
      <c r="AM109" s="3" t="n"/>
      <c r="AN109" s="3" t="n"/>
      <c r="AO109" s="3" t="n"/>
      <c r="AP109" s="4">
        <f>IF(COUNT(AM109,AN109,AO109)=0,"",ROUND(AVERAGE(AM109,AN109,AO109),3))</f>
        <v/>
      </c>
      <c r="AQ109" s="3">
        <f>IF(AC109="","",ROUND(AC109*IF(M109="",0,M109)*(1+IF(AF109="",0,AF109)),5))</f>
        <v/>
      </c>
      <c r="AR109" s="3" t="inlineStr">
        <is>
          <t>kgCO2e/component</t>
        </is>
      </c>
      <c r="AS109" s="5" t="n"/>
      <c r="AT109" s="9">
        <f>IF(AND($A109&lt;&gt;"",G109=""),"Supplier code empty (High);","")&amp;IF(AND(U109&lt;&gt;"",OR(U109&gt;1,U109&lt;0)),"Incorrect PDS value (High);",IF(AND(U109&lt;&gt;"",U109&gt;0.5),"High PDS value (Medium);",""))&amp;IF(AND(V109&lt;&gt;"",OR(V109&gt;5,V109&lt;1)),"Incorrect DQR value (High);","")&amp;IF(AND(S109&lt;&gt;"",OR(S109&lt;=0,S109&gt;100)),"Unusual PCF value might be wrong (High);","")&amp;IF(AND(AL109&lt;&gt;"",OR(AL109&gt;1,AL109&lt;0)),"Incorrect PDS value (High);",IF(AND(AL109&lt;&gt;"",AL109&gt;0.5),"High PDS value (Medium);",""))&amp;IF(AND(AP109&lt;&gt;"",OR(AP109&gt;5,AP109&lt;1)),"Incorrect DQR value (High);","")&amp;IF(AND($A109&lt;&gt;"",AF109&gt;1),"Incorrect scrap rate (High);",IF(AND($A109&lt;&gt;"",AF109=0),"No scrap rate (No impact);",""))&amp;IF(AND($A109&lt;&gt;"",I109="",J109="",K109=""),"No raw material available (High);","")&amp;""</f>
        <v/>
      </c>
      <c r="AU109" s="9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4" t="n"/>
      <c r="M110" s="4" t="n"/>
      <c r="N110" s="3" t="inlineStr">
        <is>
          <t>kg</t>
        </is>
      </c>
      <c r="O110" s="4" t="n"/>
      <c r="P110" s="3" t="inlineStr">
        <is>
          <t>kg</t>
        </is>
      </c>
      <c r="Q110" s="3" t="n"/>
      <c r="R110" s="5" t="n"/>
      <c r="S110" s="6" t="n"/>
      <c r="T110" s="3" t="inlineStr">
        <is>
          <t>kgCO2e/component</t>
        </is>
      </c>
      <c r="U110" s="7" t="n"/>
      <c r="V110" s="4" t="n"/>
      <c r="W110" s="8" t="n"/>
      <c r="X110" s="3" t="inlineStr">
        <is>
          <t>Supplier</t>
        </is>
      </c>
      <c r="Y110" s="3" t="inlineStr">
        <is>
          <t>No</t>
        </is>
      </c>
      <c r="Z110" s="5" t="n"/>
      <c r="AA110" s="3" t="n"/>
      <c r="AB110" s="3" t="n"/>
      <c r="AC110" s="6" t="n"/>
      <c r="AD110" s="3" t="inlineStr">
        <is>
          <t>kgCO2e/component</t>
        </is>
      </c>
      <c r="AE110" s="3" t="n"/>
      <c r="AF110" s="7" t="n"/>
      <c r="AG110" s="3" t="n"/>
      <c r="AH110" s="3" t="n"/>
      <c r="AI110" s="6" t="n"/>
      <c r="AJ110" s="3" t="inlineStr">
        <is>
          <t>kgCO2e/component</t>
        </is>
      </c>
      <c r="AK110" s="3" t="n"/>
      <c r="AL110" s="7" t="n">
        <v>0</v>
      </c>
      <c r="AM110" s="3" t="n"/>
      <c r="AN110" s="3" t="n"/>
      <c r="AO110" s="3" t="n"/>
      <c r="AP110" s="4">
        <f>IF(COUNT(AM110,AN110,AO110)=0,"",ROUND(AVERAGE(AM110,AN110,AO110),3))</f>
        <v/>
      </c>
      <c r="AQ110" s="3">
        <f>IF(AC110="","",ROUND(AC110*IF(M110="",0,M110)*(1+IF(AF110="",0,AF110)),5))</f>
        <v/>
      </c>
      <c r="AR110" s="3" t="inlineStr">
        <is>
          <t>kgCO2e/component</t>
        </is>
      </c>
      <c r="AS110" s="5" t="n"/>
      <c r="AT110" s="9">
        <f>IF(AND($A110&lt;&gt;"",G110=""),"Supplier code empty (High);","")&amp;IF(AND(U110&lt;&gt;"",OR(U110&gt;1,U110&lt;0)),"Incorrect PDS value (High);",IF(AND(U110&lt;&gt;"",U110&gt;0.5),"High PDS value (Medium);",""))&amp;IF(AND(V110&lt;&gt;"",OR(V110&gt;5,V110&lt;1)),"Incorrect DQR value (High);","")&amp;IF(AND(S110&lt;&gt;"",OR(S110&lt;=0,S110&gt;100)),"Unusual PCF value might be wrong (High);","")&amp;IF(AND(AL110&lt;&gt;"",OR(AL110&gt;1,AL110&lt;0)),"Incorrect PDS value (High);",IF(AND(AL110&lt;&gt;"",AL110&gt;0.5),"High PDS value (Medium);",""))&amp;IF(AND(AP110&lt;&gt;"",OR(AP110&gt;5,AP110&lt;1)),"Incorrect DQR value (High);","")&amp;IF(AND($A110&lt;&gt;"",AF110&gt;1),"Incorrect scrap rate (High);",IF(AND($A110&lt;&gt;"",AF110=0),"No scrap rate (No impact);",""))&amp;IF(AND($A110&lt;&gt;"",I110="",J110="",K110=""),"No raw material available (High);","")&amp;""</f>
        <v/>
      </c>
      <c r="AU110" s="9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4" t="n"/>
      <c r="M111" s="4" t="n"/>
      <c r="N111" s="3" t="inlineStr">
        <is>
          <t>kg</t>
        </is>
      </c>
      <c r="O111" s="4" t="n"/>
      <c r="P111" s="3" t="inlineStr">
        <is>
          <t>kg</t>
        </is>
      </c>
      <c r="Q111" s="3" t="n"/>
      <c r="R111" s="5" t="n"/>
      <c r="S111" s="6" t="n"/>
      <c r="T111" s="3" t="inlineStr">
        <is>
          <t>kgCO2e/component</t>
        </is>
      </c>
      <c r="U111" s="7" t="n"/>
      <c r="V111" s="4" t="n"/>
      <c r="W111" s="8" t="n"/>
      <c r="X111" s="3" t="inlineStr">
        <is>
          <t>Supplier</t>
        </is>
      </c>
      <c r="Y111" s="3" t="inlineStr">
        <is>
          <t>No</t>
        </is>
      </c>
      <c r="Z111" s="5" t="n"/>
      <c r="AA111" s="3" t="n"/>
      <c r="AB111" s="3" t="n"/>
      <c r="AC111" s="6" t="n"/>
      <c r="AD111" s="3" t="inlineStr">
        <is>
          <t>kgCO2e/component</t>
        </is>
      </c>
      <c r="AE111" s="3" t="n"/>
      <c r="AF111" s="7" t="n"/>
      <c r="AG111" s="3" t="n"/>
      <c r="AH111" s="3" t="n"/>
      <c r="AI111" s="6" t="n"/>
      <c r="AJ111" s="3" t="inlineStr">
        <is>
          <t>kgCO2e/component</t>
        </is>
      </c>
      <c r="AK111" s="3" t="n"/>
      <c r="AL111" s="7" t="n">
        <v>0</v>
      </c>
      <c r="AM111" s="3" t="n"/>
      <c r="AN111" s="3" t="n"/>
      <c r="AO111" s="3" t="n"/>
      <c r="AP111" s="4">
        <f>IF(COUNT(AM111,AN111,AO111)=0,"",ROUND(AVERAGE(AM111,AN111,AO111),3))</f>
        <v/>
      </c>
      <c r="AQ111" s="3">
        <f>IF(AC111="","",ROUND(AC111*IF(M111="",0,M111)*(1+IF(AF111="",0,AF111)),5))</f>
        <v/>
      </c>
      <c r="AR111" s="3" t="inlineStr">
        <is>
          <t>kgCO2e/component</t>
        </is>
      </c>
      <c r="AS111" s="5" t="n"/>
      <c r="AT111" s="9">
        <f>IF(AND($A111&lt;&gt;"",G111=""),"Supplier code empty (High);","")&amp;IF(AND(U111&lt;&gt;"",OR(U111&gt;1,U111&lt;0)),"Incorrect PDS value (High);",IF(AND(U111&lt;&gt;"",U111&gt;0.5),"High PDS value (Medium);",""))&amp;IF(AND(V111&lt;&gt;"",OR(V111&gt;5,V111&lt;1)),"Incorrect DQR value (High);","")&amp;IF(AND(S111&lt;&gt;"",OR(S111&lt;=0,S111&gt;100)),"Unusual PCF value might be wrong (High);","")&amp;IF(AND(AL111&lt;&gt;"",OR(AL111&gt;1,AL111&lt;0)),"Incorrect PDS value (High);",IF(AND(AL111&lt;&gt;"",AL111&gt;0.5),"High PDS value (Medium);",""))&amp;IF(AND(AP111&lt;&gt;"",OR(AP111&gt;5,AP111&lt;1)),"Incorrect DQR value (High);","")&amp;IF(AND($A111&lt;&gt;"",AF111&gt;1),"Incorrect scrap rate (High);",IF(AND($A111&lt;&gt;"",AF111=0),"No scrap rate (No impact);",""))&amp;IF(AND($A111&lt;&gt;"",I111="",J111="",K111=""),"No raw material available (High);","")&amp;""</f>
        <v/>
      </c>
      <c r="AU111" s="9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4" t="n"/>
      <c r="M112" s="4" t="n"/>
      <c r="N112" s="3" t="inlineStr">
        <is>
          <t>kg</t>
        </is>
      </c>
      <c r="O112" s="4" t="n"/>
      <c r="P112" s="3" t="inlineStr">
        <is>
          <t>kg</t>
        </is>
      </c>
      <c r="Q112" s="3" t="n"/>
      <c r="R112" s="5" t="n"/>
      <c r="S112" s="6" t="n"/>
      <c r="T112" s="3" t="inlineStr">
        <is>
          <t>kgCO2e/component</t>
        </is>
      </c>
      <c r="U112" s="7" t="n"/>
      <c r="V112" s="4" t="n"/>
      <c r="W112" s="8" t="n"/>
      <c r="X112" s="3" t="inlineStr">
        <is>
          <t>Supplier</t>
        </is>
      </c>
      <c r="Y112" s="3" t="inlineStr">
        <is>
          <t>No</t>
        </is>
      </c>
      <c r="Z112" s="5" t="n"/>
      <c r="AA112" s="3" t="n"/>
      <c r="AB112" s="3" t="n"/>
      <c r="AC112" s="6" t="n"/>
      <c r="AD112" s="3" t="inlineStr">
        <is>
          <t>kgCO2e/component</t>
        </is>
      </c>
      <c r="AE112" s="3" t="n"/>
      <c r="AF112" s="7" t="n"/>
      <c r="AG112" s="3" t="n"/>
      <c r="AH112" s="3" t="n"/>
      <c r="AI112" s="6" t="n"/>
      <c r="AJ112" s="3" t="inlineStr">
        <is>
          <t>kgCO2e/component</t>
        </is>
      </c>
      <c r="AK112" s="3" t="n"/>
      <c r="AL112" s="7" t="n">
        <v>0</v>
      </c>
      <c r="AM112" s="3" t="n"/>
      <c r="AN112" s="3" t="n"/>
      <c r="AO112" s="3" t="n"/>
      <c r="AP112" s="4">
        <f>IF(COUNT(AM112,AN112,AO112)=0,"",ROUND(AVERAGE(AM112,AN112,AO112),3))</f>
        <v/>
      </c>
      <c r="AQ112" s="3">
        <f>IF(AC112="","",ROUND(AC112*IF(M112="",0,M112)*(1+IF(AF112="",0,AF112)),5))</f>
        <v/>
      </c>
      <c r="AR112" s="3" t="inlineStr">
        <is>
          <t>kgCO2e/component</t>
        </is>
      </c>
      <c r="AS112" s="5" t="n"/>
      <c r="AT112" s="9">
        <f>IF(AND($A112&lt;&gt;"",G112=""),"Supplier code empty (High);","")&amp;IF(AND(U112&lt;&gt;"",OR(U112&gt;1,U112&lt;0)),"Incorrect PDS value (High);",IF(AND(U112&lt;&gt;"",U112&gt;0.5),"High PDS value (Medium);",""))&amp;IF(AND(V112&lt;&gt;"",OR(V112&gt;5,V112&lt;1)),"Incorrect DQR value (High);","")&amp;IF(AND(S112&lt;&gt;"",OR(S112&lt;=0,S112&gt;100)),"Unusual PCF value might be wrong (High);","")&amp;IF(AND(AL112&lt;&gt;"",OR(AL112&gt;1,AL112&lt;0)),"Incorrect PDS value (High);",IF(AND(AL112&lt;&gt;"",AL112&gt;0.5),"High PDS value (Medium);",""))&amp;IF(AND(AP112&lt;&gt;"",OR(AP112&gt;5,AP112&lt;1)),"Incorrect DQR value (High);","")&amp;IF(AND($A112&lt;&gt;"",AF112&gt;1),"Incorrect scrap rate (High);",IF(AND($A112&lt;&gt;"",AF112=0),"No scrap rate (No impact);",""))&amp;IF(AND($A112&lt;&gt;"",I112="",J112="",K112=""),"No raw material available (High);","")&amp;""</f>
        <v/>
      </c>
      <c r="AU112" s="9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4" t="n"/>
      <c r="M113" s="4" t="n"/>
      <c r="N113" s="3" t="inlineStr">
        <is>
          <t>kg</t>
        </is>
      </c>
      <c r="O113" s="4" t="n"/>
      <c r="P113" s="3" t="inlineStr">
        <is>
          <t>kg</t>
        </is>
      </c>
      <c r="Q113" s="3" t="n"/>
      <c r="R113" s="5" t="n"/>
      <c r="S113" s="6" t="n"/>
      <c r="T113" s="3" t="inlineStr">
        <is>
          <t>kgCO2e/component</t>
        </is>
      </c>
      <c r="U113" s="7" t="n"/>
      <c r="V113" s="4" t="n"/>
      <c r="W113" s="8" t="n"/>
      <c r="X113" s="3" t="inlineStr">
        <is>
          <t>Supplier</t>
        </is>
      </c>
      <c r="Y113" s="3" t="inlineStr">
        <is>
          <t>No</t>
        </is>
      </c>
      <c r="Z113" s="5" t="n"/>
      <c r="AA113" s="3" t="n"/>
      <c r="AB113" s="3" t="n"/>
      <c r="AC113" s="6" t="n"/>
      <c r="AD113" s="3" t="inlineStr">
        <is>
          <t>kgCO2e/component</t>
        </is>
      </c>
      <c r="AE113" s="3" t="n"/>
      <c r="AF113" s="7" t="n"/>
      <c r="AG113" s="3" t="n"/>
      <c r="AH113" s="3" t="n"/>
      <c r="AI113" s="6" t="n"/>
      <c r="AJ113" s="3" t="inlineStr">
        <is>
          <t>kgCO2e/component</t>
        </is>
      </c>
      <c r="AK113" s="3" t="n"/>
      <c r="AL113" s="7" t="n">
        <v>0</v>
      </c>
      <c r="AM113" s="3" t="n"/>
      <c r="AN113" s="3" t="n"/>
      <c r="AO113" s="3" t="n"/>
      <c r="AP113" s="4">
        <f>IF(COUNT(AM113,AN113,AO113)=0,"",ROUND(AVERAGE(AM113,AN113,AO113),3))</f>
        <v/>
      </c>
      <c r="AQ113" s="3">
        <f>IF(AC113="","",ROUND(AC113*IF(M113="",0,M113)*(1+IF(AF113="",0,AF113)),5))</f>
        <v/>
      </c>
      <c r="AR113" s="3" t="inlineStr">
        <is>
          <t>kgCO2e/component</t>
        </is>
      </c>
      <c r="AS113" s="5" t="n"/>
      <c r="AT113" s="9">
        <f>IF(AND($A113&lt;&gt;"",G113=""),"Supplier code empty (High);","")&amp;IF(AND(U113&lt;&gt;"",OR(U113&gt;1,U113&lt;0)),"Incorrect PDS value (High);",IF(AND(U113&lt;&gt;"",U113&gt;0.5),"High PDS value (Medium);",""))&amp;IF(AND(V113&lt;&gt;"",OR(V113&gt;5,V113&lt;1)),"Incorrect DQR value (High);","")&amp;IF(AND(S113&lt;&gt;"",OR(S113&lt;=0,S113&gt;100)),"Unusual PCF value might be wrong (High);","")&amp;IF(AND(AL113&lt;&gt;"",OR(AL113&gt;1,AL113&lt;0)),"Incorrect PDS value (High);",IF(AND(AL113&lt;&gt;"",AL113&gt;0.5),"High PDS value (Medium);",""))&amp;IF(AND(AP113&lt;&gt;"",OR(AP113&gt;5,AP113&lt;1)),"Incorrect DQR value (High);","")&amp;IF(AND($A113&lt;&gt;"",AF113&gt;1),"Incorrect scrap rate (High);",IF(AND($A113&lt;&gt;"",AF113=0),"No scrap rate (No impact);",""))&amp;IF(AND($A113&lt;&gt;"",I113="",J113="",K113=""),"No raw material available (High);","")&amp;""</f>
        <v/>
      </c>
      <c r="AU113" s="9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4" t="n"/>
      <c r="M114" s="4" t="n"/>
      <c r="N114" s="3" t="inlineStr">
        <is>
          <t>kg</t>
        </is>
      </c>
      <c r="O114" s="4" t="n"/>
      <c r="P114" s="3" t="inlineStr">
        <is>
          <t>kg</t>
        </is>
      </c>
      <c r="Q114" s="3" t="n"/>
      <c r="R114" s="5" t="n"/>
      <c r="S114" s="6" t="n"/>
      <c r="T114" s="3" t="inlineStr">
        <is>
          <t>kgCO2e/component</t>
        </is>
      </c>
      <c r="U114" s="7" t="n"/>
      <c r="V114" s="4" t="n"/>
      <c r="W114" s="8" t="n"/>
      <c r="X114" s="3" t="inlineStr">
        <is>
          <t>Supplier</t>
        </is>
      </c>
      <c r="Y114" s="3" t="inlineStr">
        <is>
          <t>No</t>
        </is>
      </c>
      <c r="Z114" s="5" t="n"/>
      <c r="AA114" s="3" t="n"/>
      <c r="AB114" s="3" t="n"/>
      <c r="AC114" s="6" t="n"/>
      <c r="AD114" s="3" t="inlineStr">
        <is>
          <t>kgCO2e/component</t>
        </is>
      </c>
      <c r="AE114" s="3" t="n"/>
      <c r="AF114" s="7" t="n"/>
      <c r="AG114" s="3" t="n"/>
      <c r="AH114" s="3" t="n"/>
      <c r="AI114" s="6" t="n"/>
      <c r="AJ114" s="3" t="inlineStr">
        <is>
          <t>kgCO2e/component</t>
        </is>
      </c>
      <c r="AK114" s="3" t="n"/>
      <c r="AL114" s="7" t="n">
        <v>0</v>
      </c>
      <c r="AM114" s="3" t="n"/>
      <c r="AN114" s="3" t="n"/>
      <c r="AO114" s="3" t="n"/>
      <c r="AP114" s="4">
        <f>IF(COUNT(AM114,AN114,AO114)=0,"",ROUND(AVERAGE(AM114,AN114,AO114),3))</f>
        <v/>
      </c>
      <c r="AQ114" s="3">
        <f>IF(AC114="","",ROUND(AC114*IF(M114="",0,M114)*(1+IF(AF114="",0,AF114)),5))</f>
        <v/>
      </c>
      <c r="AR114" s="3" t="inlineStr">
        <is>
          <t>kgCO2e/component</t>
        </is>
      </c>
      <c r="AS114" s="5" t="n"/>
      <c r="AT114" s="9">
        <f>IF(AND($A114&lt;&gt;"",G114=""),"Supplier code empty (High);","")&amp;IF(AND(U114&lt;&gt;"",OR(U114&gt;1,U114&lt;0)),"Incorrect PDS value (High);",IF(AND(U114&lt;&gt;"",U114&gt;0.5),"High PDS value (Medium);",""))&amp;IF(AND(V114&lt;&gt;"",OR(V114&gt;5,V114&lt;1)),"Incorrect DQR value (High);","")&amp;IF(AND(S114&lt;&gt;"",OR(S114&lt;=0,S114&gt;100)),"Unusual PCF value might be wrong (High);","")&amp;IF(AND(AL114&lt;&gt;"",OR(AL114&gt;1,AL114&lt;0)),"Incorrect PDS value (High);",IF(AND(AL114&lt;&gt;"",AL114&gt;0.5),"High PDS value (Medium);",""))&amp;IF(AND(AP114&lt;&gt;"",OR(AP114&gt;5,AP114&lt;1)),"Incorrect DQR value (High);","")&amp;IF(AND($A114&lt;&gt;"",AF114&gt;1),"Incorrect scrap rate (High);",IF(AND($A114&lt;&gt;"",AF114=0),"No scrap rate (No impact);",""))&amp;IF(AND($A114&lt;&gt;"",I114="",J114="",K114=""),"No raw material available (High);","")&amp;""</f>
        <v/>
      </c>
      <c r="AU114" s="9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4" t="n"/>
      <c r="M115" s="4" t="n"/>
      <c r="N115" s="3" t="inlineStr">
        <is>
          <t>kg</t>
        </is>
      </c>
      <c r="O115" s="4" t="n"/>
      <c r="P115" s="3" t="inlineStr">
        <is>
          <t>kg</t>
        </is>
      </c>
      <c r="Q115" s="3" t="n"/>
      <c r="R115" s="5" t="n"/>
      <c r="S115" s="6" t="n"/>
      <c r="T115" s="3" t="inlineStr">
        <is>
          <t>kgCO2e/component</t>
        </is>
      </c>
      <c r="U115" s="7" t="n"/>
      <c r="V115" s="4" t="n"/>
      <c r="W115" s="8" t="n"/>
      <c r="X115" s="3" t="inlineStr">
        <is>
          <t>Supplier</t>
        </is>
      </c>
      <c r="Y115" s="3" t="inlineStr">
        <is>
          <t>No</t>
        </is>
      </c>
      <c r="Z115" s="5" t="n"/>
      <c r="AA115" s="3" t="n"/>
      <c r="AB115" s="3" t="n"/>
      <c r="AC115" s="6" t="n"/>
      <c r="AD115" s="3" t="inlineStr">
        <is>
          <t>kgCO2e/component</t>
        </is>
      </c>
      <c r="AE115" s="3" t="n"/>
      <c r="AF115" s="7" t="n"/>
      <c r="AG115" s="3" t="n"/>
      <c r="AH115" s="3" t="n"/>
      <c r="AI115" s="6" t="n"/>
      <c r="AJ115" s="3" t="inlineStr">
        <is>
          <t>kgCO2e/component</t>
        </is>
      </c>
      <c r="AK115" s="3" t="n"/>
      <c r="AL115" s="7" t="n">
        <v>0</v>
      </c>
      <c r="AM115" s="3" t="n"/>
      <c r="AN115" s="3" t="n"/>
      <c r="AO115" s="3" t="n"/>
      <c r="AP115" s="4">
        <f>IF(COUNT(AM115,AN115,AO115)=0,"",ROUND(AVERAGE(AM115,AN115,AO115),3))</f>
        <v/>
      </c>
      <c r="AQ115" s="3">
        <f>IF(AC115="","",ROUND(AC115*IF(M115="",0,M115)*(1+IF(AF115="",0,AF115)),5))</f>
        <v/>
      </c>
      <c r="AR115" s="3" t="inlineStr">
        <is>
          <t>kgCO2e/component</t>
        </is>
      </c>
      <c r="AS115" s="5" t="n"/>
      <c r="AT115" s="9">
        <f>IF(AND($A115&lt;&gt;"",G115=""),"Supplier code empty (High);","")&amp;IF(AND(U115&lt;&gt;"",OR(U115&gt;1,U115&lt;0)),"Incorrect PDS value (High);",IF(AND(U115&lt;&gt;"",U115&gt;0.5),"High PDS value (Medium);",""))&amp;IF(AND(V115&lt;&gt;"",OR(V115&gt;5,V115&lt;1)),"Incorrect DQR value (High);","")&amp;IF(AND(S115&lt;&gt;"",OR(S115&lt;=0,S115&gt;100)),"Unusual PCF value might be wrong (High);","")&amp;IF(AND(AL115&lt;&gt;"",OR(AL115&gt;1,AL115&lt;0)),"Incorrect PDS value (High);",IF(AND(AL115&lt;&gt;"",AL115&gt;0.5),"High PDS value (Medium);",""))&amp;IF(AND(AP115&lt;&gt;"",OR(AP115&gt;5,AP115&lt;1)),"Incorrect DQR value (High);","")&amp;IF(AND($A115&lt;&gt;"",AF115&gt;1),"Incorrect scrap rate (High);",IF(AND($A115&lt;&gt;"",AF115=0),"No scrap rate (No impact);",""))&amp;IF(AND($A115&lt;&gt;"",I115="",J115="",K115=""),"No raw material available (High);","")&amp;""</f>
        <v/>
      </c>
      <c r="AU115" s="9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4" t="n"/>
      <c r="M116" s="4" t="n"/>
      <c r="N116" s="3" t="inlineStr">
        <is>
          <t>kg</t>
        </is>
      </c>
      <c r="O116" s="4" t="n"/>
      <c r="P116" s="3" t="inlineStr">
        <is>
          <t>kg</t>
        </is>
      </c>
      <c r="Q116" s="3" t="n"/>
      <c r="R116" s="5" t="n"/>
      <c r="S116" s="6" t="n"/>
      <c r="T116" s="3" t="inlineStr">
        <is>
          <t>kgCO2e/component</t>
        </is>
      </c>
      <c r="U116" s="7" t="n"/>
      <c r="V116" s="4" t="n"/>
      <c r="W116" s="8" t="n"/>
      <c r="X116" s="3" t="inlineStr">
        <is>
          <t>Supplier</t>
        </is>
      </c>
      <c r="Y116" s="3" t="inlineStr">
        <is>
          <t>No</t>
        </is>
      </c>
      <c r="Z116" s="5" t="n"/>
      <c r="AA116" s="3" t="n"/>
      <c r="AB116" s="3" t="n"/>
      <c r="AC116" s="6" t="n"/>
      <c r="AD116" s="3" t="inlineStr">
        <is>
          <t>kgCO2e/component</t>
        </is>
      </c>
      <c r="AE116" s="3" t="n"/>
      <c r="AF116" s="7" t="n"/>
      <c r="AG116" s="3" t="n"/>
      <c r="AH116" s="3" t="n"/>
      <c r="AI116" s="6" t="n"/>
      <c r="AJ116" s="3" t="inlineStr">
        <is>
          <t>kgCO2e/component</t>
        </is>
      </c>
      <c r="AK116" s="3" t="n"/>
      <c r="AL116" s="7" t="n">
        <v>0</v>
      </c>
      <c r="AM116" s="3" t="n"/>
      <c r="AN116" s="3" t="n"/>
      <c r="AO116" s="3" t="n"/>
      <c r="AP116" s="4">
        <f>IF(COUNT(AM116,AN116,AO116)=0,"",ROUND(AVERAGE(AM116,AN116,AO116),3))</f>
        <v/>
      </c>
      <c r="AQ116" s="3">
        <f>IF(AC116="","",ROUND(AC116*IF(M116="",0,M116)*(1+IF(AF116="",0,AF116)),5))</f>
        <v/>
      </c>
      <c r="AR116" s="3" t="inlineStr">
        <is>
          <t>kgCO2e/component</t>
        </is>
      </c>
      <c r="AS116" s="5" t="n"/>
      <c r="AT116" s="9">
        <f>IF(AND($A116&lt;&gt;"",G116=""),"Supplier code empty (High);","")&amp;IF(AND(U116&lt;&gt;"",OR(U116&gt;1,U116&lt;0)),"Incorrect PDS value (High);",IF(AND(U116&lt;&gt;"",U116&gt;0.5),"High PDS value (Medium);",""))&amp;IF(AND(V116&lt;&gt;"",OR(V116&gt;5,V116&lt;1)),"Incorrect DQR value (High);","")&amp;IF(AND(S116&lt;&gt;"",OR(S116&lt;=0,S116&gt;100)),"Unusual PCF value might be wrong (High);","")&amp;IF(AND(AL116&lt;&gt;"",OR(AL116&gt;1,AL116&lt;0)),"Incorrect PDS value (High);",IF(AND(AL116&lt;&gt;"",AL116&gt;0.5),"High PDS value (Medium);",""))&amp;IF(AND(AP116&lt;&gt;"",OR(AP116&gt;5,AP116&lt;1)),"Incorrect DQR value (High);","")&amp;IF(AND($A116&lt;&gt;"",AF116&gt;1),"Incorrect scrap rate (High);",IF(AND($A116&lt;&gt;"",AF116=0),"No scrap rate (No impact);",""))&amp;IF(AND($A116&lt;&gt;"",I116="",J116="",K116=""),"No raw material available (High);","")&amp;""</f>
        <v/>
      </c>
      <c r="AU116" s="9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4" t="n"/>
      <c r="M117" s="4" t="n"/>
      <c r="N117" s="3" t="inlineStr">
        <is>
          <t>kg</t>
        </is>
      </c>
      <c r="O117" s="4" t="n"/>
      <c r="P117" s="3" t="inlineStr">
        <is>
          <t>kg</t>
        </is>
      </c>
      <c r="Q117" s="3" t="n"/>
      <c r="R117" s="5" t="n"/>
      <c r="S117" s="6" t="n"/>
      <c r="T117" s="3" t="inlineStr">
        <is>
          <t>kgCO2e/component</t>
        </is>
      </c>
      <c r="U117" s="7" t="n"/>
      <c r="V117" s="4" t="n"/>
      <c r="W117" s="8" t="n"/>
      <c r="X117" s="3" t="inlineStr">
        <is>
          <t>Supplier</t>
        </is>
      </c>
      <c r="Y117" s="3" t="inlineStr">
        <is>
          <t>No</t>
        </is>
      </c>
      <c r="Z117" s="5" t="n"/>
      <c r="AA117" s="3" t="n"/>
      <c r="AB117" s="3" t="n"/>
      <c r="AC117" s="6" t="n"/>
      <c r="AD117" s="3" t="inlineStr">
        <is>
          <t>kgCO2e/component</t>
        </is>
      </c>
      <c r="AE117" s="3" t="n"/>
      <c r="AF117" s="7" t="n"/>
      <c r="AG117" s="3" t="n"/>
      <c r="AH117" s="3" t="n"/>
      <c r="AI117" s="6" t="n"/>
      <c r="AJ117" s="3" t="inlineStr">
        <is>
          <t>kgCO2e/component</t>
        </is>
      </c>
      <c r="AK117" s="3" t="n"/>
      <c r="AL117" s="7" t="n">
        <v>0</v>
      </c>
      <c r="AM117" s="3" t="n"/>
      <c r="AN117" s="3" t="n"/>
      <c r="AO117" s="3" t="n"/>
      <c r="AP117" s="4">
        <f>IF(COUNT(AM117,AN117,AO117)=0,"",ROUND(AVERAGE(AM117,AN117,AO117),3))</f>
        <v/>
      </c>
      <c r="AQ117" s="3">
        <f>IF(AC117="","",ROUND(AC117*IF(M117="",0,M117)*(1+IF(AF117="",0,AF117)),5))</f>
        <v/>
      </c>
      <c r="AR117" s="3" t="inlineStr">
        <is>
          <t>kgCO2e/component</t>
        </is>
      </c>
      <c r="AS117" s="5" t="n"/>
      <c r="AT117" s="9">
        <f>IF(AND($A117&lt;&gt;"",G117=""),"Supplier code empty (High);","")&amp;IF(AND(U117&lt;&gt;"",OR(U117&gt;1,U117&lt;0)),"Incorrect PDS value (High);",IF(AND(U117&lt;&gt;"",U117&gt;0.5),"High PDS value (Medium);",""))&amp;IF(AND(V117&lt;&gt;"",OR(V117&gt;5,V117&lt;1)),"Incorrect DQR value (High);","")&amp;IF(AND(S117&lt;&gt;"",OR(S117&lt;=0,S117&gt;100)),"Unusual PCF value might be wrong (High);","")&amp;IF(AND(AL117&lt;&gt;"",OR(AL117&gt;1,AL117&lt;0)),"Incorrect PDS value (High);",IF(AND(AL117&lt;&gt;"",AL117&gt;0.5),"High PDS value (Medium);",""))&amp;IF(AND(AP117&lt;&gt;"",OR(AP117&gt;5,AP117&lt;1)),"Incorrect DQR value (High);","")&amp;IF(AND($A117&lt;&gt;"",AF117&gt;1),"Incorrect scrap rate (High);",IF(AND($A117&lt;&gt;"",AF117=0),"No scrap rate (No impact);",""))&amp;IF(AND($A117&lt;&gt;"",I117="",J117="",K117=""),"No raw material available (High);","")&amp;""</f>
        <v/>
      </c>
      <c r="AU117" s="9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4" t="n"/>
      <c r="M118" s="4" t="n"/>
      <c r="N118" s="3" t="inlineStr">
        <is>
          <t>kg</t>
        </is>
      </c>
      <c r="O118" s="4" t="n"/>
      <c r="P118" s="3" t="inlineStr">
        <is>
          <t>kg</t>
        </is>
      </c>
      <c r="Q118" s="3" t="n"/>
      <c r="R118" s="5" t="n"/>
      <c r="S118" s="6" t="n"/>
      <c r="T118" s="3" t="inlineStr">
        <is>
          <t>kgCO2e/component</t>
        </is>
      </c>
      <c r="U118" s="7" t="n"/>
      <c r="V118" s="4" t="n"/>
      <c r="W118" s="8" t="n"/>
      <c r="X118" s="3" t="inlineStr">
        <is>
          <t>Supplier</t>
        </is>
      </c>
      <c r="Y118" s="3" t="inlineStr">
        <is>
          <t>No</t>
        </is>
      </c>
      <c r="Z118" s="5" t="n"/>
      <c r="AA118" s="3" t="n"/>
      <c r="AB118" s="3" t="n"/>
      <c r="AC118" s="6" t="n"/>
      <c r="AD118" s="3" t="inlineStr">
        <is>
          <t>kgCO2e/component</t>
        </is>
      </c>
      <c r="AE118" s="3" t="n"/>
      <c r="AF118" s="7" t="n"/>
      <c r="AG118" s="3" t="n"/>
      <c r="AH118" s="3" t="n"/>
      <c r="AI118" s="6" t="n"/>
      <c r="AJ118" s="3" t="inlineStr">
        <is>
          <t>kgCO2e/component</t>
        </is>
      </c>
      <c r="AK118" s="3" t="n"/>
      <c r="AL118" s="7" t="n">
        <v>0</v>
      </c>
      <c r="AM118" s="3" t="n"/>
      <c r="AN118" s="3" t="n"/>
      <c r="AO118" s="3" t="n"/>
      <c r="AP118" s="4">
        <f>IF(COUNT(AM118,AN118,AO118)=0,"",ROUND(AVERAGE(AM118,AN118,AO118),3))</f>
        <v/>
      </c>
      <c r="AQ118" s="3">
        <f>IF(AC118="","",ROUND(AC118*IF(M118="",0,M118)*(1+IF(AF118="",0,AF118)),5))</f>
        <v/>
      </c>
      <c r="AR118" s="3" t="inlineStr">
        <is>
          <t>kgCO2e/component</t>
        </is>
      </c>
      <c r="AS118" s="5" t="n"/>
      <c r="AT118" s="9">
        <f>IF(AND($A118&lt;&gt;"",G118=""),"Supplier code empty (High);","")&amp;IF(AND(U118&lt;&gt;"",OR(U118&gt;1,U118&lt;0)),"Incorrect PDS value (High);",IF(AND(U118&lt;&gt;"",U118&gt;0.5),"High PDS value (Medium);",""))&amp;IF(AND(V118&lt;&gt;"",OR(V118&gt;5,V118&lt;1)),"Incorrect DQR value (High);","")&amp;IF(AND(S118&lt;&gt;"",OR(S118&lt;=0,S118&gt;100)),"Unusual PCF value might be wrong (High);","")&amp;IF(AND(AL118&lt;&gt;"",OR(AL118&gt;1,AL118&lt;0)),"Incorrect PDS value (High);",IF(AND(AL118&lt;&gt;"",AL118&gt;0.5),"High PDS value (Medium);",""))&amp;IF(AND(AP118&lt;&gt;"",OR(AP118&gt;5,AP118&lt;1)),"Incorrect DQR value (High);","")&amp;IF(AND($A118&lt;&gt;"",AF118&gt;1),"Incorrect scrap rate (High);",IF(AND($A118&lt;&gt;"",AF118=0),"No scrap rate (No impact);",""))&amp;IF(AND($A118&lt;&gt;"",I118="",J118="",K118=""),"No raw material available (High);","")&amp;""</f>
        <v/>
      </c>
      <c r="AU118" s="9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4" t="n"/>
      <c r="M119" s="4" t="n"/>
      <c r="N119" s="3" t="inlineStr">
        <is>
          <t>kg</t>
        </is>
      </c>
      <c r="O119" s="4" t="n"/>
      <c r="P119" s="3" t="inlineStr">
        <is>
          <t>kg</t>
        </is>
      </c>
      <c r="Q119" s="3" t="n"/>
      <c r="R119" s="5" t="n"/>
      <c r="S119" s="6" t="n"/>
      <c r="T119" s="3" t="inlineStr">
        <is>
          <t>kgCO2e/component</t>
        </is>
      </c>
      <c r="U119" s="7" t="n"/>
      <c r="V119" s="4" t="n"/>
      <c r="W119" s="8" t="n"/>
      <c r="X119" s="3" t="inlineStr">
        <is>
          <t>Supplier</t>
        </is>
      </c>
      <c r="Y119" s="3" t="inlineStr">
        <is>
          <t>No</t>
        </is>
      </c>
      <c r="Z119" s="5" t="n"/>
      <c r="AA119" s="3" t="n"/>
      <c r="AB119" s="3" t="n"/>
      <c r="AC119" s="6" t="n"/>
      <c r="AD119" s="3" t="inlineStr">
        <is>
          <t>kgCO2e/component</t>
        </is>
      </c>
      <c r="AE119" s="3" t="n"/>
      <c r="AF119" s="7" t="n"/>
      <c r="AG119" s="3" t="n"/>
      <c r="AH119" s="3" t="n"/>
      <c r="AI119" s="6" t="n"/>
      <c r="AJ119" s="3" t="inlineStr">
        <is>
          <t>kgCO2e/component</t>
        </is>
      </c>
      <c r="AK119" s="3" t="n"/>
      <c r="AL119" s="7" t="n">
        <v>0</v>
      </c>
      <c r="AM119" s="3" t="n"/>
      <c r="AN119" s="3" t="n"/>
      <c r="AO119" s="3" t="n"/>
      <c r="AP119" s="4">
        <f>IF(COUNT(AM119,AN119,AO119)=0,"",ROUND(AVERAGE(AM119,AN119,AO119),3))</f>
        <v/>
      </c>
      <c r="AQ119" s="3">
        <f>IF(AC119="","",ROUND(AC119*IF(M119="",0,M119)*(1+IF(AF119="",0,AF119)),5))</f>
        <v/>
      </c>
      <c r="AR119" s="3" t="inlineStr">
        <is>
          <t>kgCO2e/component</t>
        </is>
      </c>
      <c r="AS119" s="5" t="n"/>
      <c r="AT119" s="9">
        <f>IF(AND($A119&lt;&gt;"",G119=""),"Supplier code empty (High);","")&amp;IF(AND(U119&lt;&gt;"",OR(U119&gt;1,U119&lt;0)),"Incorrect PDS value (High);",IF(AND(U119&lt;&gt;"",U119&gt;0.5),"High PDS value (Medium);",""))&amp;IF(AND(V119&lt;&gt;"",OR(V119&gt;5,V119&lt;1)),"Incorrect DQR value (High);","")&amp;IF(AND(S119&lt;&gt;"",OR(S119&lt;=0,S119&gt;100)),"Unusual PCF value might be wrong (High);","")&amp;IF(AND(AL119&lt;&gt;"",OR(AL119&gt;1,AL119&lt;0)),"Incorrect PDS value (High);",IF(AND(AL119&lt;&gt;"",AL119&gt;0.5),"High PDS value (Medium);",""))&amp;IF(AND(AP119&lt;&gt;"",OR(AP119&gt;5,AP119&lt;1)),"Incorrect DQR value (High);","")&amp;IF(AND($A119&lt;&gt;"",AF119&gt;1),"Incorrect scrap rate (High);",IF(AND($A119&lt;&gt;"",AF119=0),"No scrap rate (No impact);",""))&amp;IF(AND($A119&lt;&gt;"",I119="",J119="",K119=""),"No raw material available (High);","")&amp;""</f>
        <v/>
      </c>
      <c r="AU119" s="9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4" t="n"/>
      <c r="M120" s="4" t="n"/>
      <c r="N120" s="3" t="inlineStr">
        <is>
          <t>kg</t>
        </is>
      </c>
      <c r="O120" s="4" t="n"/>
      <c r="P120" s="3" t="inlineStr">
        <is>
          <t>kg</t>
        </is>
      </c>
      <c r="Q120" s="3" t="n"/>
      <c r="R120" s="5" t="n"/>
      <c r="S120" s="6" t="n"/>
      <c r="T120" s="3" t="inlineStr">
        <is>
          <t>kgCO2e/component</t>
        </is>
      </c>
      <c r="U120" s="7" t="n"/>
      <c r="V120" s="4" t="n"/>
      <c r="W120" s="8" t="n"/>
      <c r="X120" s="3" t="inlineStr">
        <is>
          <t>Supplier</t>
        </is>
      </c>
      <c r="Y120" s="3" t="inlineStr">
        <is>
          <t>No</t>
        </is>
      </c>
      <c r="Z120" s="5" t="n"/>
      <c r="AA120" s="3" t="n"/>
      <c r="AB120" s="3" t="n"/>
      <c r="AC120" s="6" t="n"/>
      <c r="AD120" s="3" t="inlineStr">
        <is>
          <t>kgCO2e/component</t>
        </is>
      </c>
      <c r="AE120" s="3" t="n"/>
      <c r="AF120" s="7" t="n"/>
      <c r="AG120" s="3" t="n"/>
      <c r="AH120" s="3" t="n"/>
      <c r="AI120" s="6" t="n"/>
      <c r="AJ120" s="3" t="inlineStr">
        <is>
          <t>kgCO2e/component</t>
        </is>
      </c>
      <c r="AK120" s="3" t="n"/>
      <c r="AL120" s="7" t="n">
        <v>0</v>
      </c>
      <c r="AM120" s="3" t="n"/>
      <c r="AN120" s="3" t="n"/>
      <c r="AO120" s="3" t="n"/>
      <c r="AP120" s="4">
        <f>IF(COUNT(AM120,AN120,AO120)=0,"",ROUND(AVERAGE(AM120,AN120,AO120),3))</f>
        <v/>
      </c>
      <c r="AQ120" s="3">
        <f>IF(AC120="","",ROUND(AC120*IF(M120="",0,M120)*(1+IF(AF120="",0,AF120)),5))</f>
        <v/>
      </c>
      <c r="AR120" s="3" t="inlineStr">
        <is>
          <t>kgCO2e/component</t>
        </is>
      </c>
      <c r="AS120" s="5" t="n"/>
      <c r="AT120" s="9">
        <f>IF(AND($A120&lt;&gt;"",G120=""),"Supplier code empty (High);","")&amp;IF(AND(U120&lt;&gt;"",OR(U120&gt;1,U120&lt;0)),"Incorrect PDS value (High);",IF(AND(U120&lt;&gt;"",U120&gt;0.5),"High PDS value (Medium);",""))&amp;IF(AND(V120&lt;&gt;"",OR(V120&gt;5,V120&lt;1)),"Incorrect DQR value (High);","")&amp;IF(AND(S120&lt;&gt;"",OR(S120&lt;=0,S120&gt;100)),"Unusual PCF value might be wrong (High);","")&amp;IF(AND(AL120&lt;&gt;"",OR(AL120&gt;1,AL120&lt;0)),"Incorrect PDS value (High);",IF(AND(AL120&lt;&gt;"",AL120&gt;0.5),"High PDS value (Medium);",""))&amp;IF(AND(AP120&lt;&gt;"",OR(AP120&gt;5,AP120&lt;1)),"Incorrect DQR value (High);","")&amp;IF(AND($A120&lt;&gt;"",AF120&gt;1),"Incorrect scrap rate (High);",IF(AND($A120&lt;&gt;"",AF120=0),"No scrap rate (No impact);",""))&amp;IF(AND($A120&lt;&gt;"",I120="",J120="",K120=""),"No raw material available (High);","")&amp;""</f>
        <v/>
      </c>
      <c r="AU120" s="9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4" t="n"/>
      <c r="M121" s="4" t="n"/>
      <c r="N121" s="3" t="inlineStr">
        <is>
          <t>kg</t>
        </is>
      </c>
      <c r="O121" s="4" t="n"/>
      <c r="P121" s="3" t="inlineStr">
        <is>
          <t>kg</t>
        </is>
      </c>
      <c r="Q121" s="3" t="n"/>
      <c r="R121" s="5" t="n"/>
      <c r="S121" s="6" t="n"/>
      <c r="T121" s="3" t="inlineStr">
        <is>
          <t>kgCO2e/component</t>
        </is>
      </c>
      <c r="U121" s="7" t="n"/>
      <c r="V121" s="4" t="n"/>
      <c r="W121" s="8" t="n"/>
      <c r="X121" s="3" t="inlineStr">
        <is>
          <t>Supplier</t>
        </is>
      </c>
      <c r="Y121" s="3" t="inlineStr">
        <is>
          <t>No</t>
        </is>
      </c>
      <c r="Z121" s="5" t="n"/>
      <c r="AA121" s="3" t="n"/>
      <c r="AB121" s="3" t="n"/>
      <c r="AC121" s="6" t="n"/>
      <c r="AD121" s="3" t="inlineStr">
        <is>
          <t>kgCO2e/component</t>
        </is>
      </c>
      <c r="AE121" s="3" t="n"/>
      <c r="AF121" s="7" t="n"/>
      <c r="AG121" s="3" t="n"/>
      <c r="AH121" s="3" t="n"/>
      <c r="AI121" s="6" t="n"/>
      <c r="AJ121" s="3" t="inlineStr">
        <is>
          <t>kgCO2e/component</t>
        </is>
      </c>
      <c r="AK121" s="3" t="n"/>
      <c r="AL121" s="7" t="n">
        <v>0</v>
      </c>
      <c r="AM121" s="3" t="n"/>
      <c r="AN121" s="3" t="n"/>
      <c r="AO121" s="3" t="n"/>
      <c r="AP121" s="4">
        <f>IF(COUNT(AM121,AN121,AO121)=0,"",ROUND(AVERAGE(AM121,AN121,AO121),3))</f>
        <v/>
      </c>
      <c r="AQ121" s="3">
        <f>IF(AC121="","",ROUND(AC121*IF(M121="",0,M121)*(1+IF(AF121="",0,AF121)),5))</f>
        <v/>
      </c>
      <c r="AR121" s="3" t="inlineStr">
        <is>
          <t>kgCO2e/component</t>
        </is>
      </c>
      <c r="AS121" s="5" t="n"/>
      <c r="AT121" s="9">
        <f>IF(AND($A121&lt;&gt;"",G121=""),"Supplier code empty (High);","")&amp;IF(AND(U121&lt;&gt;"",OR(U121&gt;1,U121&lt;0)),"Incorrect PDS value (High);",IF(AND(U121&lt;&gt;"",U121&gt;0.5),"High PDS value (Medium);",""))&amp;IF(AND(V121&lt;&gt;"",OR(V121&gt;5,V121&lt;1)),"Incorrect DQR value (High);","")&amp;IF(AND(S121&lt;&gt;"",OR(S121&lt;=0,S121&gt;100)),"Unusual PCF value might be wrong (High);","")&amp;IF(AND(AL121&lt;&gt;"",OR(AL121&gt;1,AL121&lt;0)),"Incorrect PDS value (High);",IF(AND(AL121&lt;&gt;"",AL121&gt;0.5),"High PDS value (Medium);",""))&amp;IF(AND(AP121&lt;&gt;"",OR(AP121&gt;5,AP121&lt;1)),"Incorrect DQR value (High);","")&amp;IF(AND($A121&lt;&gt;"",AF121&gt;1),"Incorrect scrap rate (High);",IF(AND($A121&lt;&gt;"",AF121=0),"No scrap rate (No impact);",""))&amp;IF(AND($A121&lt;&gt;"",I121="",J121="",K121=""),"No raw material available (High);","")&amp;""</f>
        <v/>
      </c>
      <c r="AU121" s="9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4" t="n"/>
      <c r="M122" s="4" t="n"/>
      <c r="N122" s="3" t="inlineStr">
        <is>
          <t>kg</t>
        </is>
      </c>
      <c r="O122" s="4" t="n"/>
      <c r="P122" s="3" t="inlineStr">
        <is>
          <t>kg</t>
        </is>
      </c>
      <c r="Q122" s="3" t="n"/>
      <c r="R122" s="5" t="n"/>
      <c r="S122" s="6" t="n"/>
      <c r="T122" s="3" t="inlineStr">
        <is>
          <t>kgCO2e/component</t>
        </is>
      </c>
      <c r="U122" s="7" t="n"/>
      <c r="V122" s="4" t="n"/>
      <c r="W122" s="8" t="n"/>
      <c r="X122" s="3" t="inlineStr">
        <is>
          <t>Supplier</t>
        </is>
      </c>
      <c r="Y122" s="3" t="inlineStr">
        <is>
          <t>No</t>
        </is>
      </c>
      <c r="Z122" s="5" t="n"/>
      <c r="AA122" s="3" t="n"/>
      <c r="AB122" s="3" t="n"/>
      <c r="AC122" s="6" t="n"/>
      <c r="AD122" s="3" t="inlineStr">
        <is>
          <t>kgCO2e/component</t>
        </is>
      </c>
      <c r="AE122" s="3" t="n"/>
      <c r="AF122" s="7" t="n"/>
      <c r="AG122" s="3" t="n"/>
      <c r="AH122" s="3" t="n"/>
      <c r="AI122" s="6" t="n"/>
      <c r="AJ122" s="3" t="inlineStr">
        <is>
          <t>kgCO2e/component</t>
        </is>
      </c>
      <c r="AK122" s="3" t="n"/>
      <c r="AL122" s="7" t="n">
        <v>0</v>
      </c>
      <c r="AM122" s="3" t="n"/>
      <c r="AN122" s="3" t="n"/>
      <c r="AO122" s="3" t="n"/>
      <c r="AP122" s="4">
        <f>IF(COUNT(AM122,AN122,AO122)=0,"",ROUND(AVERAGE(AM122,AN122,AO122),3))</f>
        <v/>
      </c>
      <c r="AQ122" s="3">
        <f>IF(AC122="","",ROUND(AC122*IF(M122="",0,M122)*(1+IF(AF122="",0,AF122)),5))</f>
        <v/>
      </c>
      <c r="AR122" s="3" t="inlineStr">
        <is>
          <t>kgCO2e/component</t>
        </is>
      </c>
      <c r="AS122" s="5" t="n"/>
      <c r="AT122" s="9">
        <f>IF(AND($A122&lt;&gt;"",G122=""),"Supplier code empty (High);","")&amp;IF(AND(U122&lt;&gt;"",OR(U122&gt;1,U122&lt;0)),"Incorrect PDS value (High);",IF(AND(U122&lt;&gt;"",U122&gt;0.5),"High PDS value (Medium);",""))&amp;IF(AND(V122&lt;&gt;"",OR(V122&gt;5,V122&lt;1)),"Incorrect DQR value (High);","")&amp;IF(AND(S122&lt;&gt;"",OR(S122&lt;=0,S122&gt;100)),"Unusual PCF value might be wrong (High);","")&amp;IF(AND(AL122&lt;&gt;"",OR(AL122&gt;1,AL122&lt;0)),"Incorrect PDS value (High);",IF(AND(AL122&lt;&gt;"",AL122&gt;0.5),"High PDS value (Medium);",""))&amp;IF(AND(AP122&lt;&gt;"",OR(AP122&gt;5,AP122&lt;1)),"Incorrect DQR value (High);","")&amp;IF(AND($A122&lt;&gt;"",AF122&gt;1),"Incorrect scrap rate (High);",IF(AND($A122&lt;&gt;"",AF122=0),"No scrap rate (No impact);",""))&amp;IF(AND($A122&lt;&gt;"",I122="",J122="",K122=""),"No raw material available (High);","")&amp;""</f>
        <v/>
      </c>
      <c r="AU122" s="9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4" t="n"/>
      <c r="M123" s="4" t="n"/>
      <c r="N123" s="3" t="inlineStr">
        <is>
          <t>kg</t>
        </is>
      </c>
      <c r="O123" s="4" t="n"/>
      <c r="P123" s="3" t="inlineStr">
        <is>
          <t>kg</t>
        </is>
      </c>
      <c r="Q123" s="3" t="n"/>
      <c r="R123" s="5" t="n"/>
      <c r="S123" s="6" t="n"/>
      <c r="T123" s="3" t="inlineStr">
        <is>
          <t>kgCO2e/component</t>
        </is>
      </c>
      <c r="U123" s="7" t="n"/>
      <c r="V123" s="4" t="n"/>
      <c r="W123" s="8" t="n"/>
      <c r="X123" s="3" t="inlineStr">
        <is>
          <t>Supplier</t>
        </is>
      </c>
      <c r="Y123" s="3" t="inlineStr">
        <is>
          <t>No</t>
        </is>
      </c>
      <c r="Z123" s="5" t="n"/>
      <c r="AA123" s="3" t="n"/>
      <c r="AB123" s="3" t="n"/>
      <c r="AC123" s="6" t="n"/>
      <c r="AD123" s="3" t="inlineStr">
        <is>
          <t>kgCO2e/component</t>
        </is>
      </c>
      <c r="AE123" s="3" t="n"/>
      <c r="AF123" s="7" t="n"/>
      <c r="AG123" s="3" t="n"/>
      <c r="AH123" s="3" t="n"/>
      <c r="AI123" s="6" t="n"/>
      <c r="AJ123" s="3" t="inlineStr">
        <is>
          <t>kgCO2e/component</t>
        </is>
      </c>
      <c r="AK123" s="3" t="n"/>
      <c r="AL123" s="7" t="n">
        <v>0</v>
      </c>
      <c r="AM123" s="3" t="n"/>
      <c r="AN123" s="3" t="n"/>
      <c r="AO123" s="3" t="n"/>
      <c r="AP123" s="4">
        <f>IF(COUNT(AM123,AN123,AO123)=0,"",ROUND(AVERAGE(AM123,AN123,AO123),3))</f>
        <v/>
      </c>
      <c r="AQ123" s="3">
        <f>IF(AC123="","",ROUND(AC123*IF(M123="",0,M123)*(1+IF(AF123="",0,AF123)),5))</f>
        <v/>
      </c>
      <c r="AR123" s="3" t="inlineStr">
        <is>
          <t>kgCO2e/component</t>
        </is>
      </c>
      <c r="AS123" s="5" t="n"/>
      <c r="AT123" s="9">
        <f>IF(AND($A123&lt;&gt;"",G123=""),"Supplier code empty (High);","")&amp;IF(AND(U123&lt;&gt;"",OR(U123&gt;1,U123&lt;0)),"Incorrect PDS value (High);",IF(AND(U123&lt;&gt;"",U123&gt;0.5),"High PDS value (Medium);",""))&amp;IF(AND(V123&lt;&gt;"",OR(V123&gt;5,V123&lt;1)),"Incorrect DQR value (High);","")&amp;IF(AND(S123&lt;&gt;"",OR(S123&lt;=0,S123&gt;100)),"Unusual PCF value might be wrong (High);","")&amp;IF(AND(AL123&lt;&gt;"",OR(AL123&gt;1,AL123&lt;0)),"Incorrect PDS value (High);",IF(AND(AL123&lt;&gt;"",AL123&gt;0.5),"High PDS value (Medium);",""))&amp;IF(AND(AP123&lt;&gt;"",OR(AP123&gt;5,AP123&lt;1)),"Incorrect DQR value (High);","")&amp;IF(AND($A123&lt;&gt;"",AF123&gt;1),"Incorrect scrap rate (High);",IF(AND($A123&lt;&gt;"",AF123=0),"No scrap rate (No impact);",""))&amp;IF(AND($A123&lt;&gt;"",I123="",J123="",K123=""),"No raw material available (High);","")&amp;""</f>
        <v/>
      </c>
      <c r="AU123" s="9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4" t="n"/>
      <c r="M124" s="4" t="n"/>
      <c r="N124" s="3" t="inlineStr">
        <is>
          <t>kg</t>
        </is>
      </c>
      <c r="O124" s="4" t="n"/>
      <c r="P124" s="3" t="inlineStr">
        <is>
          <t>kg</t>
        </is>
      </c>
      <c r="Q124" s="3" t="n"/>
      <c r="R124" s="5" t="n"/>
      <c r="S124" s="6" t="n"/>
      <c r="T124" s="3" t="inlineStr">
        <is>
          <t>kgCO2e/component</t>
        </is>
      </c>
      <c r="U124" s="7" t="n"/>
      <c r="V124" s="4" t="n"/>
      <c r="W124" s="8" t="n"/>
      <c r="X124" s="3" t="inlineStr">
        <is>
          <t>Supplier</t>
        </is>
      </c>
      <c r="Y124" s="3" t="inlineStr">
        <is>
          <t>No</t>
        </is>
      </c>
      <c r="Z124" s="5" t="n"/>
      <c r="AA124" s="3" t="n"/>
      <c r="AB124" s="3" t="n"/>
      <c r="AC124" s="6" t="n"/>
      <c r="AD124" s="3" t="inlineStr">
        <is>
          <t>kgCO2e/component</t>
        </is>
      </c>
      <c r="AE124" s="3" t="n"/>
      <c r="AF124" s="7" t="n"/>
      <c r="AG124" s="3" t="n"/>
      <c r="AH124" s="3" t="n"/>
      <c r="AI124" s="6" t="n"/>
      <c r="AJ124" s="3" t="inlineStr">
        <is>
          <t>kgCO2e/component</t>
        </is>
      </c>
      <c r="AK124" s="3" t="n"/>
      <c r="AL124" s="7" t="n">
        <v>0</v>
      </c>
      <c r="AM124" s="3" t="n"/>
      <c r="AN124" s="3" t="n"/>
      <c r="AO124" s="3" t="n"/>
      <c r="AP124" s="4">
        <f>IF(COUNT(AM124,AN124,AO124)=0,"",ROUND(AVERAGE(AM124,AN124,AO124),3))</f>
        <v/>
      </c>
      <c r="AQ124" s="3">
        <f>IF(AC124="","",ROUND(AC124*IF(M124="",0,M124)*(1+IF(AF124="",0,AF124)),5))</f>
        <v/>
      </c>
      <c r="AR124" s="3" t="inlineStr">
        <is>
          <t>kgCO2e/component</t>
        </is>
      </c>
      <c r="AS124" s="5" t="n"/>
      <c r="AT124" s="9">
        <f>IF(AND($A124&lt;&gt;"",G124=""),"Supplier code empty (High);","")&amp;IF(AND(U124&lt;&gt;"",OR(U124&gt;1,U124&lt;0)),"Incorrect PDS value (High);",IF(AND(U124&lt;&gt;"",U124&gt;0.5),"High PDS value (Medium);",""))&amp;IF(AND(V124&lt;&gt;"",OR(V124&gt;5,V124&lt;1)),"Incorrect DQR value (High);","")&amp;IF(AND(S124&lt;&gt;"",OR(S124&lt;=0,S124&gt;100)),"Unusual PCF value might be wrong (High);","")&amp;IF(AND(AL124&lt;&gt;"",OR(AL124&gt;1,AL124&lt;0)),"Incorrect PDS value (High);",IF(AND(AL124&lt;&gt;"",AL124&gt;0.5),"High PDS value (Medium);",""))&amp;IF(AND(AP124&lt;&gt;"",OR(AP124&gt;5,AP124&lt;1)),"Incorrect DQR value (High);","")&amp;IF(AND($A124&lt;&gt;"",AF124&gt;1),"Incorrect scrap rate (High);",IF(AND($A124&lt;&gt;"",AF124=0),"No scrap rate (No impact);",""))&amp;IF(AND($A124&lt;&gt;"",I124="",J124="",K124=""),"No raw material available (High);","")&amp;""</f>
        <v/>
      </c>
      <c r="AU124" s="9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4" t="n"/>
      <c r="M125" s="4" t="n"/>
      <c r="N125" s="3" t="inlineStr">
        <is>
          <t>kg</t>
        </is>
      </c>
      <c r="O125" s="4" t="n"/>
      <c r="P125" s="3" t="inlineStr">
        <is>
          <t>kg</t>
        </is>
      </c>
      <c r="Q125" s="3" t="n"/>
      <c r="R125" s="5" t="n"/>
      <c r="S125" s="6" t="n"/>
      <c r="T125" s="3" t="inlineStr">
        <is>
          <t>kgCO2e/component</t>
        </is>
      </c>
      <c r="U125" s="7" t="n"/>
      <c r="V125" s="4" t="n"/>
      <c r="W125" s="8" t="n"/>
      <c r="X125" s="3" t="inlineStr">
        <is>
          <t>Supplier</t>
        </is>
      </c>
      <c r="Y125" s="3" t="inlineStr">
        <is>
          <t>No</t>
        </is>
      </c>
      <c r="Z125" s="5" t="n"/>
      <c r="AA125" s="3" t="n"/>
      <c r="AB125" s="3" t="n"/>
      <c r="AC125" s="6" t="n"/>
      <c r="AD125" s="3" t="inlineStr">
        <is>
          <t>kgCO2e/component</t>
        </is>
      </c>
      <c r="AE125" s="3" t="n"/>
      <c r="AF125" s="7" t="n"/>
      <c r="AG125" s="3" t="n"/>
      <c r="AH125" s="3" t="n"/>
      <c r="AI125" s="6" t="n"/>
      <c r="AJ125" s="3" t="inlineStr">
        <is>
          <t>kgCO2e/component</t>
        </is>
      </c>
      <c r="AK125" s="3" t="n"/>
      <c r="AL125" s="7" t="n">
        <v>0</v>
      </c>
      <c r="AM125" s="3" t="n"/>
      <c r="AN125" s="3" t="n"/>
      <c r="AO125" s="3" t="n"/>
      <c r="AP125" s="4">
        <f>IF(COUNT(AM125,AN125,AO125)=0,"",ROUND(AVERAGE(AM125,AN125,AO125),3))</f>
        <v/>
      </c>
      <c r="AQ125" s="3">
        <f>IF(AC125="","",ROUND(AC125*IF(M125="",0,M125)*(1+IF(AF125="",0,AF125)),5))</f>
        <v/>
      </c>
      <c r="AR125" s="3" t="inlineStr">
        <is>
          <t>kgCO2e/component</t>
        </is>
      </c>
      <c r="AS125" s="5" t="n"/>
      <c r="AT125" s="9">
        <f>IF(AND($A125&lt;&gt;"",G125=""),"Supplier code empty (High);","")&amp;IF(AND(U125&lt;&gt;"",OR(U125&gt;1,U125&lt;0)),"Incorrect PDS value (High);",IF(AND(U125&lt;&gt;"",U125&gt;0.5),"High PDS value (Medium);",""))&amp;IF(AND(V125&lt;&gt;"",OR(V125&gt;5,V125&lt;1)),"Incorrect DQR value (High);","")&amp;IF(AND(S125&lt;&gt;"",OR(S125&lt;=0,S125&gt;100)),"Unusual PCF value might be wrong (High);","")&amp;IF(AND(AL125&lt;&gt;"",OR(AL125&gt;1,AL125&lt;0)),"Incorrect PDS value (High);",IF(AND(AL125&lt;&gt;"",AL125&gt;0.5),"High PDS value (Medium);",""))&amp;IF(AND(AP125&lt;&gt;"",OR(AP125&gt;5,AP125&lt;1)),"Incorrect DQR value (High);","")&amp;IF(AND($A125&lt;&gt;"",AF125&gt;1),"Incorrect scrap rate (High);",IF(AND($A125&lt;&gt;"",AF125=0),"No scrap rate (No impact);",""))&amp;IF(AND($A125&lt;&gt;"",I125="",J125="",K125=""),"No raw material available (High);","")&amp;""</f>
        <v/>
      </c>
      <c r="AU125" s="9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4" t="n"/>
      <c r="M126" s="4" t="n"/>
      <c r="N126" s="3" t="inlineStr">
        <is>
          <t>kg</t>
        </is>
      </c>
      <c r="O126" s="4" t="n"/>
      <c r="P126" s="3" t="inlineStr">
        <is>
          <t>kg</t>
        </is>
      </c>
      <c r="Q126" s="3" t="n"/>
      <c r="R126" s="5" t="n"/>
      <c r="S126" s="6" t="n"/>
      <c r="T126" s="3" t="inlineStr">
        <is>
          <t>kgCO2e/component</t>
        </is>
      </c>
      <c r="U126" s="7" t="n"/>
      <c r="V126" s="4" t="n"/>
      <c r="W126" s="8" t="n"/>
      <c r="X126" s="3" t="inlineStr">
        <is>
          <t>Supplier</t>
        </is>
      </c>
      <c r="Y126" s="3" t="inlineStr">
        <is>
          <t>No</t>
        </is>
      </c>
      <c r="Z126" s="5" t="n"/>
      <c r="AA126" s="3" t="n"/>
      <c r="AB126" s="3" t="n"/>
      <c r="AC126" s="6" t="n"/>
      <c r="AD126" s="3" t="inlineStr">
        <is>
          <t>kgCO2e/component</t>
        </is>
      </c>
      <c r="AE126" s="3" t="n"/>
      <c r="AF126" s="7" t="n"/>
      <c r="AG126" s="3" t="n"/>
      <c r="AH126" s="3" t="n"/>
      <c r="AI126" s="6" t="n"/>
      <c r="AJ126" s="3" t="inlineStr">
        <is>
          <t>kgCO2e/component</t>
        </is>
      </c>
      <c r="AK126" s="3" t="n"/>
      <c r="AL126" s="7" t="n">
        <v>0</v>
      </c>
      <c r="AM126" s="3" t="n"/>
      <c r="AN126" s="3" t="n"/>
      <c r="AO126" s="3" t="n"/>
      <c r="AP126" s="4">
        <f>IF(COUNT(AM126,AN126,AO126)=0,"",ROUND(AVERAGE(AM126,AN126,AO126),3))</f>
        <v/>
      </c>
      <c r="AQ126" s="3">
        <f>IF(AC126="","",ROUND(AC126*IF(M126="",0,M126)*(1+IF(AF126="",0,AF126)),5))</f>
        <v/>
      </c>
      <c r="AR126" s="3" t="inlineStr">
        <is>
          <t>kgCO2e/component</t>
        </is>
      </c>
      <c r="AS126" s="5" t="n"/>
      <c r="AT126" s="9">
        <f>IF(AND($A126&lt;&gt;"",G126=""),"Supplier code empty (High);","")&amp;IF(AND(U126&lt;&gt;"",OR(U126&gt;1,U126&lt;0)),"Incorrect PDS value (High);",IF(AND(U126&lt;&gt;"",U126&gt;0.5),"High PDS value (Medium);",""))&amp;IF(AND(V126&lt;&gt;"",OR(V126&gt;5,V126&lt;1)),"Incorrect DQR value (High);","")&amp;IF(AND(S126&lt;&gt;"",OR(S126&lt;=0,S126&gt;100)),"Unusual PCF value might be wrong (High);","")&amp;IF(AND(AL126&lt;&gt;"",OR(AL126&gt;1,AL126&lt;0)),"Incorrect PDS value (High);",IF(AND(AL126&lt;&gt;"",AL126&gt;0.5),"High PDS value (Medium);",""))&amp;IF(AND(AP126&lt;&gt;"",OR(AP126&gt;5,AP126&lt;1)),"Incorrect DQR value (High);","")&amp;IF(AND($A126&lt;&gt;"",AF126&gt;1),"Incorrect scrap rate (High);",IF(AND($A126&lt;&gt;"",AF126=0),"No scrap rate (No impact);",""))&amp;IF(AND($A126&lt;&gt;"",I126="",J126="",K126=""),"No raw material available (High);","")&amp;""</f>
        <v/>
      </c>
      <c r="AU126" s="9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4" t="n"/>
      <c r="M127" s="4" t="n"/>
      <c r="N127" s="3" t="inlineStr">
        <is>
          <t>kg</t>
        </is>
      </c>
      <c r="O127" s="4" t="n"/>
      <c r="P127" s="3" t="inlineStr">
        <is>
          <t>kg</t>
        </is>
      </c>
      <c r="Q127" s="3" t="n"/>
      <c r="R127" s="5" t="n"/>
      <c r="S127" s="6" t="n"/>
      <c r="T127" s="3" t="inlineStr">
        <is>
          <t>kgCO2e/component</t>
        </is>
      </c>
      <c r="U127" s="7" t="n"/>
      <c r="V127" s="4" t="n"/>
      <c r="W127" s="8" t="n"/>
      <c r="X127" s="3" t="inlineStr">
        <is>
          <t>Supplier</t>
        </is>
      </c>
      <c r="Y127" s="3" t="inlineStr">
        <is>
          <t>No</t>
        </is>
      </c>
      <c r="Z127" s="5" t="n"/>
      <c r="AA127" s="3" t="n"/>
      <c r="AB127" s="3" t="n"/>
      <c r="AC127" s="6" t="n"/>
      <c r="AD127" s="3" t="inlineStr">
        <is>
          <t>kgCO2e/component</t>
        </is>
      </c>
      <c r="AE127" s="3" t="n"/>
      <c r="AF127" s="7" t="n"/>
      <c r="AG127" s="3" t="n"/>
      <c r="AH127" s="3" t="n"/>
      <c r="AI127" s="6" t="n"/>
      <c r="AJ127" s="3" t="inlineStr">
        <is>
          <t>kgCO2e/component</t>
        </is>
      </c>
      <c r="AK127" s="3" t="n"/>
      <c r="AL127" s="7" t="n">
        <v>0</v>
      </c>
      <c r="AM127" s="3" t="n"/>
      <c r="AN127" s="3" t="n"/>
      <c r="AO127" s="3" t="n"/>
      <c r="AP127" s="4">
        <f>IF(COUNT(AM127,AN127,AO127)=0,"",ROUND(AVERAGE(AM127,AN127,AO127),3))</f>
        <v/>
      </c>
      <c r="AQ127" s="3">
        <f>IF(AC127="","",ROUND(AC127*IF(M127="",0,M127)*(1+IF(AF127="",0,AF127)),5))</f>
        <v/>
      </c>
      <c r="AR127" s="3" t="inlineStr">
        <is>
          <t>kgCO2e/component</t>
        </is>
      </c>
      <c r="AS127" s="5" t="n"/>
      <c r="AT127" s="9">
        <f>IF(AND($A127&lt;&gt;"",G127=""),"Supplier code empty (High);","")&amp;IF(AND(U127&lt;&gt;"",OR(U127&gt;1,U127&lt;0)),"Incorrect PDS value (High);",IF(AND(U127&lt;&gt;"",U127&gt;0.5),"High PDS value (Medium);",""))&amp;IF(AND(V127&lt;&gt;"",OR(V127&gt;5,V127&lt;1)),"Incorrect DQR value (High);","")&amp;IF(AND(S127&lt;&gt;"",OR(S127&lt;=0,S127&gt;100)),"Unusual PCF value might be wrong (High);","")&amp;IF(AND(AL127&lt;&gt;"",OR(AL127&gt;1,AL127&lt;0)),"Incorrect PDS value (High);",IF(AND(AL127&lt;&gt;"",AL127&gt;0.5),"High PDS value (Medium);",""))&amp;IF(AND(AP127&lt;&gt;"",OR(AP127&gt;5,AP127&lt;1)),"Incorrect DQR value (High);","")&amp;IF(AND($A127&lt;&gt;"",AF127&gt;1),"Incorrect scrap rate (High);",IF(AND($A127&lt;&gt;"",AF127=0),"No scrap rate (No impact);",""))&amp;IF(AND($A127&lt;&gt;"",I127="",J127="",K127=""),"No raw material available (High);","")&amp;""</f>
        <v/>
      </c>
      <c r="AU127" s="9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4" t="n"/>
      <c r="M128" s="4" t="n"/>
      <c r="N128" s="3" t="inlineStr">
        <is>
          <t>kg</t>
        </is>
      </c>
      <c r="O128" s="4" t="n"/>
      <c r="P128" s="3" t="inlineStr">
        <is>
          <t>kg</t>
        </is>
      </c>
      <c r="Q128" s="3" t="n"/>
      <c r="R128" s="5" t="n"/>
      <c r="S128" s="6" t="n"/>
      <c r="T128" s="3" t="inlineStr">
        <is>
          <t>kgCO2e/component</t>
        </is>
      </c>
      <c r="U128" s="7" t="n"/>
      <c r="V128" s="4" t="n"/>
      <c r="W128" s="8" t="n"/>
      <c r="X128" s="3" t="inlineStr">
        <is>
          <t>Supplier</t>
        </is>
      </c>
      <c r="Y128" s="3" t="inlineStr">
        <is>
          <t>No</t>
        </is>
      </c>
      <c r="Z128" s="5" t="n"/>
      <c r="AA128" s="3" t="n"/>
      <c r="AB128" s="3" t="n"/>
      <c r="AC128" s="6" t="n"/>
      <c r="AD128" s="3" t="inlineStr">
        <is>
          <t>kgCO2e/component</t>
        </is>
      </c>
      <c r="AE128" s="3" t="n"/>
      <c r="AF128" s="7" t="n"/>
      <c r="AG128" s="3" t="n"/>
      <c r="AH128" s="3" t="n"/>
      <c r="AI128" s="6" t="n"/>
      <c r="AJ128" s="3" t="inlineStr">
        <is>
          <t>kgCO2e/component</t>
        </is>
      </c>
      <c r="AK128" s="3" t="n"/>
      <c r="AL128" s="7" t="n">
        <v>0</v>
      </c>
      <c r="AM128" s="3" t="n"/>
      <c r="AN128" s="3" t="n"/>
      <c r="AO128" s="3" t="n"/>
      <c r="AP128" s="4">
        <f>IF(COUNT(AM128,AN128,AO128)=0,"",ROUND(AVERAGE(AM128,AN128,AO128),3))</f>
        <v/>
      </c>
      <c r="AQ128" s="3">
        <f>IF(AC128="","",ROUND(AC128*IF(M128="",0,M128)*(1+IF(AF128="",0,AF128)),5))</f>
        <v/>
      </c>
      <c r="AR128" s="3" t="inlineStr">
        <is>
          <t>kgCO2e/component</t>
        </is>
      </c>
      <c r="AS128" s="5" t="n"/>
      <c r="AT128" s="9">
        <f>IF(AND($A128&lt;&gt;"",G128=""),"Supplier code empty (High);","")&amp;IF(AND(U128&lt;&gt;"",OR(U128&gt;1,U128&lt;0)),"Incorrect PDS value (High);",IF(AND(U128&lt;&gt;"",U128&gt;0.5),"High PDS value (Medium);",""))&amp;IF(AND(V128&lt;&gt;"",OR(V128&gt;5,V128&lt;1)),"Incorrect DQR value (High);","")&amp;IF(AND(S128&lt;&gt;"",OR(S128&lt;=0,S128&gt;100)),"Unusual PCF value might be wrong (High);","")&amp;IF(AND(AL128&lt;&gt;"",OR(AL128&gt;1,AL128&lt;0)),"Incorrect PDS value (High);",IF(AND(AL128&lt;&gt;"",AL128&gt;0.5),"High PDS value (Medium);",""))&amp;IF(AND(AP128&lt;&gt;"",OR(AP128&gt;5,AP128&lt;1)),"Incorrect DQR value (High);","")&amp;IF(AND($A128&lt;&gt;"",AF128&gt;1),"Incorrect scrap rate (High);",IF(AND($A128&lt;&gt;"",AF128=0),"No scrap rate (No impact);",""))&amp;IF(AND($A128&lt;&gt;"",I128="",J128="",K128=""),"No raw material available (High);","")&amp;""</f>
        <v/>
      </c>
      <c r="AU128" s="9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4" t="n"/>
      <c r="M129" s="4" t="n"/>
      <c r="N129" s="3" t="inlineStr">
        <is>
          <t>kg</t>
        </is>
      </c>
      <c r="O129" s="4" t="n"/>
      <c r="P129" s="3" t="inlineStr">
        <is>
          <t>kg</t>
        </is>
      </c>
      <c r="Q129" s="3" t="n"/>
      <c r="R129" s="5" t="n"/>
      <c r="S129" s="6" t="n"/>
      <c r="T129" s="3" t="inlineStr">
        <is>
          <t>kgCO2e/component</t>
        </is>
      </c>
      <c r="U129" s="7" t="n"/>
      <c r="V129" s="4" t="n"/>
      <c r="W129" s="8" t="n"/>
      <c r="X129" s="3" t="inlineStr">
        <is>
          <t>Supplier</t>
        </is>
      </c>
      <c r="Y129" s="3" t="inlineStr">
        <is>
          <t>No</t>
        </is>
      </c>
      <c r="Z129" s="5" t="n"/>
      <c r="AA129" s="3" t="n"/>
      <c r="AB129" s="3" t="n"/>
      <c r="AC129" s="6" t="n"/>
      <c r="AD129" s="3" t="inlineStr">
        <is>
          <t>kgCO2e/component</t>
        </is>
      </c>
      <c r="AE129" s="3" t="n"/>
      <c r="AF129" s="7" t="n"/>
      <c r="AG129" s="3" t="n"/>
      <c r="AH129" s="3" t="n"/>
      <c r="AI129" s="6" t="n"/>
      <c r="AJ129" s="3" t="inlineStr">
        <is>
          <t>kgCO2e/component</t>
        </is>
      </c>
      <c r="AK129" s="3" t="n"/>
      <c r="AL129" s="7" t="n">
        <v>0</v>
      </c>
      <c r="AM129" s="3" t="n"/>
      <c r="AN129" s="3" t="n"/>
      <c r="AO129" s="3" t="n"/>
      <c r="AP129" s="4">
        <f>IF(COUNT(AM129,AN129,AO129)=0,"",ROUND(AVERAGE(AM129,AN129,AO129),3))</f>
        <v/>
      </c>
      <c r="AQ129" s="3">
        <f>IF(AC129="","",ROUND(AC129*IF(M129="",0,M129)*(1+IF(AF129="",0,AF129)),5))</f>
        <v/>
      </c>
      <c r="AR129" s="3" t="inlineStr">
        <is>
          <t>kgCO2e/component</t>
        </is>
      </c>
      <c r="AS129" s="5" t="n"/>
      <c r="AT129" s="9">
        <f>IF(AND($A129&lt;&gt;"",G129=""),"Supplier code empty (High);","")&amp;IF(AND(U129&lt;&gt;"",OR(U129&gt;1,U129&lt;0)),"Incorrect PDS value (High);",IF(AND(U129&lt;&gt;"",U129&gt;0.5),"High PDS value (Medium);",""))&amp;IF(AND(V129&lt;&gt;"",OR(V129&gt;5,V129&lt;1)),"Incorrect DQR value (High);","")&amp;IF(AND(S129&lt;&gt;"",OR(S129&lt;=0,S129&gt;100)),"Unusual PCF value might be wrong (High);","")&amp;IF(AND(AL129&lt;&gt;"",OR(AL129&gt;1,AL129&lt;0)),"Incorrect PDS value (High);",IF(AND(AL129&lt;&gt;"",AL129&gt;0.5),"High PDS value (Medium);",""))&amp;IF(AND(AP129&lt;&gt;"",OR(AP129&gt;5,AP129&lt;1)),"Incorrect DQR value (High);","")&amp;IF(AND($A129&lt;&gt;"",AF129&gt;1),"Incorrect scrap rate (High);",IF(AND($A129&lt;&gt;"",AF129=0),"No scrap rate (No impact);",""))&amp;IF(AND($A129&lt;&gt;"",I129="",J129="",K129=""),"No raw material available (High);","")&amp;""</f>
        <v/>
      </c>
      <c r="AU129" s="9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4" t="n"/>
      <c r="M130" s="4" t="n"/>
      <c r="N130" s="3" t="inlineStr">
        <is>
          <t>kg</t>
        </is>
      </c>
      <c r="O130" s="4" t="n"/>
      <c r="P130" s="3" t="inlineStr">
        <is>
          <t>kg</t>
        </is>
      </c>
      <c r="Q130" s="3" t="n"/>
      <c r="R130" s="5" t="n"/>
      <c r="S130" s="6" t="n"/>
      <c r="T130" s="3" t="inlineStr">
        <is>
          <t>kgCO2e/component</t>
        </is>
      </c>
      <c r="U130" s="7" t="n"/>
      <c r="V130" s="4" t="n"/>
      <c r="W130" s="8" t="n"/>
      <c r="X130" s="3" t="inlineStr">
        <is>
          <t>Supplier</t>
        </is>
      </c>
      <c r="Y130" s="3" t="inlineStr">
        <is>
          <t>No</t>
        </is>
      </c>
      <c r="Z130" s="5" t="n"/>
      <c r="AA130" s="3" t="n"/>
      <c r="AB130" s="3" t="n"/>
      <c r="AC130" s="6" t="n"/>
      <c r="AD130" s="3" t="inlineStr">
        <is>
          <t>kgCO2e/component</t>
        </is>
      </c>
      <c r="AE130" s="3" t="n"/>
      <c r="AF130" s="7" t="n"/>
      <c r="AG130" s="3" t="n"/>
      <c r="AH130" s="3" t="n"/>
      <c r="AI130" s="6" t="n"/>
      <c r="AJ130" s="3" t="inlineStr">
        <is>
          <t>kgCO2e/component</t>
        </is>
      </c>
      <c r="AK130" s="3" t="n"/>
      <c r="AL130" s="7" t="n">
        <v>0</v>
      </c>
      <c r="AM130" s="3" t="n"/>
      <c r="AN130" s="3" t="n"/>
      <c r="AO130" s="3" t="n"/>
      <c r="AP130" s="4">
        <f>IF(COUNT(AM130,AN130,AO130)=0,"",ROUND(AVERAGE(AM130,AN130,AO130),3))</f>
        <v/>
      </c>
      <c r="AQ130" s="3">
        <f>IF(AC130="","",ROUND(AC130*IF(M130="",0,M130)*(1+IF(AF130="",0,AF130)),5))</f>
        <v/>
      </c>
      <c r="AR130" s="3" t="inlineStr">
        <is>
          <t>kgCO2e/component</t>
        </is>
      </c>
      <c r="AS130" s="5" t="n"/>
      <c r="AT130" s="9">
        <f>IF(AND($A130&lt;&gt;"",G130=""),"Supplier code empty (High);","")&amp;IF(AND(U130&lt;&gt;"",OR(U130&gt;1,U130&lt;0)),"Incorrect PDS value (High);",IF(AND(U130&lt;&gt;"",U130&gt;0.5),"High PDS value (Medium);",""))&amp;IF(AND(V130&lt;&gt;"",OR(V130&gt;5,V130&lt;1)),"Incorrect DQR value (High);","")&amp;IF(AND(S130&lt;&gt;"",OR(S130&lt;=0,S130&gt;100)),"Unusual PCF value might be wrong (High);","")&amp;IF(AND(AL130&lt;&gt;"",OR(AL130&gt;1,AL130&lt;0)),"Incorrect PDS value (High);",IF(AND(AL130&lt;&gt;"",AL130&gt;0.5),"High PDS value (Medium);",""))&amp;IF(AND(AP130&lt;&gt;"",OR(AP130&gt;5,AP130&lt;1)),"Incorrect DQR value (High);","")&amp;IF(AND($A130&lt;&gt;"",AF130&gt;1),"Incorrect scrap rate (High);",IF(AND($A130&lt;&gt;"",AF130=0),"No scrap rate (No impact);",""))&amp;IF(AND($A130&lt;&gt;"",I130="",J130="",K130=""),"No raw material available (High);","")&amp;""</f>
        <v/>
      </c>
      <c r="AU130" s="9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4" t="n"/>
      <c r="M131" s="4" t="n"/>
      <c r="N131" s="3" t="inlineStr">
        <is>
          <t>kg</t>
        </is>
      </c>
      <c r="O131" s="4" t="n"/>
      <c r="P131" s="3" t="inlineStr">
        <is>
          <t>kg</t>
        </is>
      </c>
      <c r="Q131" s="3" t="n"/>
      <c r="R131" s="5" t="n"/>
      <c r="S131" s="6" t="n"/>
      <c r="T131" s="3" t="inlineStr">
        <is>
          <t>kgCO2e/component</t>
        </is>
      </c>
      <c r="U131" s="7" t="n"/>
      <c r="V131" s="4" t="n"/>
      <c r="W131" s="8" t="n"/>
      <c r="X131" s="3" t="inlineStr">
        <is>
          <t>Supplier</t>
        </is>
      </c>
      <c r="Y131" s="3" t="inlineStr">
        <is>
          <t>No</t>
        </is>
      </c>
      <c r="Z131" s="5" t="n"/>
      <c r="AA131" s="3" t="n"/>
      <c r="AB131" s="3" t="n"/>
      <c r="AC131" s="6" t="n"/>
      <c r="AD131" s="3" t="inlineStr">
        <is>
          <t>kgCO2e/component</t>
        </is>
      </c>
      <c r="AE131" s="3" t="n"/>
      <c r="AF131" s="7" t="n"/>
      <c r="AG131" s="3" t="n"/>
      <c r="AH131" s="3" t="n"/>
      <c r="AI131" s="6" t="n"/>
      <c r="AJ131" s="3" t="inlineStr">
        <is>
          <t>kgCO2e/component</t>
        </is>
      </c>
      <c r="AK131" s="3" t="n"/>
      <c r="AL131" s="7" t="n">
        <v>0</v>
      </c>
      <c r="AM131" s="3" t="n"/>
      <c r="AN131" s="3" t="n"/>
      <c r="AO131" s="3" t="n"/>
      <c r="AP131" s="4">
        <f>IF(COUNT(AM131,AN131,AO131)=0,"",ROUND(AVERAGE(AM131,AN131,AO131),3))</f>
        <v/>
      </c>
      <c r="AQ131" s="3">
        <f>IF(AC131="","",ROUND(AC131*IF(M131="",0,M131)*(1+IF(AF131="",0,AF131)),5))</f>
        <v/>
      </c>
      <c r="AR131" s="3" t="inlineStr">
        <is>
          <t>kgCO2e/component</t>
        </is>
      </c>
      <c r="AS131" s="5" t="n"/>
      <c r="AT131" s="9">
        <f>IF(AND($A131&lt;&gt;"",G131=""),"Supplier code empty (High);","")&amp;IF(AND(U131&lt;&gt;"",OR(U131&gt;1,U131&lt;0)),"Incorrect PDS value (High);",IF(AND(U131&lt;&gt;"",U131&gt;0.5),"High PDS value (Medium);",""))&amp;IF(AND(V131&lt;&gt;"",OR(V131&gt;5,V131&lt;1)),"Incorrect DQR value (High);","")&amp;IF(AND(S131&lt;&gt;"",OR(S131&lt;=0,S131&gt;100)),"Unusual PCF value might be wrong (High);","")&amp;IF(AND(AL131&lt;&gt;"",OR(AL131&gt;1,AL131&lt;0)),"Incorrect PDS value (High);",IF(AND(AL131&lt;&gt;"",AL131&gt;0.5),"High PDS value (Medium);",""))&amp;IF(AND(AP131&lt;&gt;"",OR(AP131&gt;5,AP131&lt;1)),"Incorrect DQR value (High);","")&amp;IF(AND($A131&lt;&gt;"",AF131&gt;1),"Incorrect scrap rate (High);",IF(AND($A131&lt;&gt;"",AF131=0),"No scrap rate (No impact);",""))&amp;IF(AND($A131&lt;&gt;"",I131="",J131="",K131=""),"No raw material available (High);","")&amp;""</f>
        <v/>
      </c>
      <c r="AU131" s="9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4" t="n"/>
      <c r="M132" s="4" t="n"/>
      <c r="N132" s="3" t="inlineStr">
        <is>
          <t>kg</t>
        </is>
      </c>
      <c r="O132" s="4" t="n"/>
      <c r="P132" s="3" t="inlineStr">
        <is>
          <t>kg</t>
        </is>
      </c>
      <c r="Q132" s="3" t="n"/>
      <c r="R132" s="5" t="n"/>
      <c r="S132" s="6" t="n"/>
      <c r="T132" s="3" t="inlineStr">
        <is>
          <t>kgCO2e/component</t>
        </is>
      </c>
      <c r="U132" s="7" t="n"/>
      <c r="V132" s="4" t="n"/>
      <c r="W132" s="8" t="n"/>
      <c r="X132" s="3" t="inlineStr">
        <is>
          <t>Supplier</t>
        </is>
      </c>
      <c r="Y132" s="3" t="inlineStr">
        <is>
          <t>No</t>
        </is>
      </c>
      <c r="Z132" s="5" t="n"/>
      <c r="AA132" s="3" t="n"/>
      <c r="AB132" s="3" t="n"/>
      <c r="AC132" s="6" t="n"/>
      <c r="AD132" s="3" t="inlineStr">
        <is>
          <t>kgCO2e/component</t>
        </is>
      </c>
      <c r="AE132" s="3" t="n"/>
      <c r="AF132" s="7" t="n"/>
      <c r="AG132" s="3" t="n"/>
      <c r="AH132" s="3" t="n"/>
      <c r="AI132" s="6" t="n"/>
      <c r="AJ132" s="3" t="inlineStr">
        <is>
          <t>kgCO2e/component</t>
        </is>
      </c>
      <c r="AK132" s="3" t="n"/>
      <c r="AL132" s="7" t="n">
        <v>0</v>
      </c>
      <c r="AM132" s="3" t="n"/>
      <c r="AN132" s="3" t="n"/>
      <c r="AO132" s="3" t="n"/>
      <c r="AP132" s="4">
        <f>IF(COUNT(AM132,AN132,AO132)=0,"",ROUND(AVERAGE(AM132,AN132,AO132),3))</f>
        <v/>
      </c>
      <c r="AQ132" s="3">
        <f>IF(AC132="","",ROUND(AC132*IF(M132="",0,M132)*(1+IF(AF132="",0,AF132)),5))</f>
        <v/>
      </c>
      <c r="AR132" s="3" t="inlineStr">
        <is>
          <t>kgCO2e/component</t>
        </is>
      </c>
      <c r="AS132" s="5" t="n"/>
      <c r="AT132" s="9">
        <f>IF(AND($A132&lt;&gt;"",G132=""),"Supplier code empty (High);","")&amp;IF(AND(U132&lt;&gt;"",OR(U132&gt;1,U132&lt;0)),"Incorrect PDS value (High);",IF(AND(U132&lt;&gt;"",U132&gt;0.5),"High PDS value (Medium);",""))&amp;IF(AND(V132&lt;&gt;"",OR(V132&gt;5,V132&lt;1)),"Incorrect DQR value (High);","")&amp;IF(AND(S132&lt;&gt;"",OR(S132&lt;=0,S132&gt;100)),"Unusual PCF value might be wrong (High);","")&amp;IF(AND(AL132&lt;&gt;"",OR(AL132&gt;1,AL132&lt;0)),"Incorrect PDS value (High);",IF(AND(AL132&lt;&gt;"",AL132&gt;0.5),"High PDS value (Medium);",""))&amp;IF(AND(AP132&lt;&gt;"",OR(AP132&gt;5,AP132&lt;1)),"Incorrect DQR value (High);","")&amp;IF(AND($A132&lt;&gt;"",AF132&gt;1),"Incorrect scrap rate (High);",IF(AND($A132&lt;&gt;"",AF132=0),"No scrap rate (No impact);",""))&amp;IF(AND($A132&lt;&gt;"",I132="",J132="",K132=""),"No raw material available (High);","")&amp;""</f>
        <v/>
      </c>
      <c r="AU132" s="9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4" t="n"/>
      <c r="M133" s="4" t="n"/>
      <c r="N133" s="3" t="inlineStr">
        <is>
          <t>kg</t>
        </is>
      </c>
      <c r="O133" s="4" t="n"/>
      <c r="P133" s="3" t="inlineStr">
        <is>
          <t>kg</t>
        </is>
      </c>
      <c r="Q133" s="3" t="n"/>
      <c r="R133" s="5" t="n"/>
      <c r="S133" s="6" t="n"/>
      <c r="T133" s="3" t="inlineStr">
        <is>
          <t>kgCO2e/component</t>
        </is>
      </c>
      <c r="U133" s="7" t="n"/>
      <c r="V133" s="4" t="n"/>
      <c r="W133" s="8" t="n"/>
      <c r="X133" s="3" t="inlineStr">
        <is>
          <t>Supplier</t>
        </is>
      </c>
      <c r="Y133" s="3" t="inlineStr">
        <is>
          <t>No</t>
        </is>
      </c>
      <c r="Z133" s="5" t="n"/>
      <c r="AA133" s="3" t="n"/>
      <c r="AB133" s="3" t="n"/>
      <c r="AC133" s="6" t="n"/>
      <c r="AD133" s="3" t="inlineStr">
        <is>
          <t>kgCO2e/component</t>
        </is>
      </c>
      <c r="AE133" s="3" t="n"/>
      <c r="AF133" s="7" t="n"/>
      <c r="AG133" s="3" t="n"/>
      <c r="AH133" s="3" t="n"/>
      <c r="AI133" s="6" t="n"/>
      <c r="AJ133" s="3" t="inlineStr">
        <is>
          <t>kgCO2e/component</t>
        </is>
      </c>
      <c r="AK133" s="3" t="n"/>
      <c r="AL133" s="7" t="n">
        <v>0</v>
      </c>
      <c r="AM133" s="3" t="n"/>
      <c r="AN133" s="3" t="n"/>
      <c r="AO133" s="3" t="n"/>
      <c r="AP133" s="4">
        <f>IF(COUNT(AM133,AN133,AO133)=0,"",ROUND(AVERAGE(AM133,AN133,AO133),3))</f>
        <v/>
      </c>
      <c r="AQ133" s="3">
        <f>IF(AC133="","",ROUND(AC133*IF(M133="",0,M133)*(1+IF(AF133="",0,AF133)),5))</f>
        <v/>
      </c>
      <c r="AR133" s="3" t="inlineStr">
        <is>
          <t>kgCO2e/component</t>
        </is>
      </c>
      <c r="AS133" s="5" t="n"/>
      <c r="AT133" s="9">
        <f>IF(AND($A133&lt;&gt;"",G133=""),"Supplier code empty (High);","")&amp;IF(AND(U133&lt;&gt;"",OR(U133&gt;1,U133&lt;0)),"Incorrect PDS value (High);",IF(AND(U133&lt;&gt;"",U133&gt;0.5),"High PDS value (Medium);",""))&amp;IF(AND(V133&lt;&gt;"",OR(V133&gt;5,V133&lt;1)),"Incorrect DQR value (High);","")&amp;IF(AND(S133&lt;&gt;"",OR(S133&lt;=0,S133&gt;100)),"Unusual PCF value might be wrong (High);","")&amp;IF(AND(AL133&lt;&gt;"",OR(AL133&gt;1,AL133&lt;0)),"Incorrect PDS value (High);",IF(AND(AL133&lt;&gt;"",AL133&gt;0.5),"High PDS value (Medium);",""))&amp;IF(AND(AP133&lt;&gt;"",OR(AP133&gt;5,AP133&lt;1)),"Incorrect DQR value (High);","")&amp;IF(AND($A133&lt;&gt;"",AF133&gt;1),"Incorrect scrap rate (High);",IF(AND($A133&lt;&gt;"",AF133=0),"No scrap rate (No impact);",""))&amp;IF(AND($A133&lt;&gt;"",I133="",J133="",K133=""),"No raw material available (High);","")&amp;""</f>
        <v/>
      </c>
      <c r="AU133" s="9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4" t="n"/>
      <c r="M134" s="4" t="n"/>
      <c r="N134" s="3" t="inlineStr">
        <is>
          <t>kg</t>
        </is>
      </c>
      <c r="O134" s="4" t="n"/>
      <c r="P134" s="3" t="inlineStr">
        <is>
          <t>kg</t>
        </is>
      </c>
      <c r="Q134" s="3" t="n"/>
      <c r="R134" s="5" t="n"/>
      <c r="S134" s="6" t="n"/>
      <c r="T134" s="3" t="inlineStr">
        <is>
          <t>kgCO2e/component</t>
        </is>
      </c>
      <c r="U134" s="7" t="n"/>
      <c r="V134" s="4" t="n"/>
      <c r="W134" s="8" t="n"/>
      <c r="X134" s="3" t="inlineStr">
        <is>
          <t>Supplier</t>
        </is>
      </c>
      <c r="Y134" s="3" t="inlineStr">
        <is>
          <t>No</t>
        </is>
      </c>
      <c r="Z134" s="5" t="n"/>
      <c r="AA134" s="3" t="n"/>
      <c r="AB134" s="3" t="n"/>
      <c r="AC134" s="6" t="n"/>
      <c r="AD134" s="3" t="inlineStr">
        <is>
          <t>kgCO2e/component</t>
        </is>
      </c>
      <c r="AE134" s="3" t="n"/>
      <c r="AF134" s="7" t="n"/>
      <c r="AG134" s="3" t="n"/>
      <c r="AH134" s="3" t="n"/>
      <c r="AI134" s="6" t="n"/>
      <c r="AJ134" s="3" t="inlineStr">
        <is>
          <t>kgCO2e/component</t>
        </is>
      </c>
      <c r="AK134" s="3" t="n"/>
      <c r="AL134" s="7" t="n">
        <v>0</v>
      </c>
      <c r="AM134" s="3" t="n"/>
      <c r="AN134" s="3" t="n"/>
      <c r="AO134" s="3" t="n"/>
      <c r="AP134" s="4">
        <f>IF(COUNT(AM134,AN134,AO134)=0,"",ROUND(AVERAGE(AM134,AN134,AO134),3))</f>
        <v/>
      </c>
      <c r="AQ134" s="3">
        <f>IF(AC134="","",ROUND(AC134*IF(M134="",0,M134)*(1+IF(AF134="",0,AF134)),5))</f>
        <v/>
      </c>
      <c r="AR134" s="3" t="inlineStr">
        <is>
          <t>kgCO2e/component</t>
        </is>
      </c>
      <c r="AS134" s="5" t="n"/>
      <c r="AT134" s="9">
        <f>IF(AND($A134&lt;&gt;"",G134=""),"Supplier code empty (High);","")&amp;IF(AND(U134&lt;&gt;"",OR(U134&gt;1,U134&lt;0)),"Incorrect PDS value (High);",IF(AND(U134&lt;&gt;"",U134&gt;0.5),"High PDS value (Medium);",""))&amp;IF(AND(V134&lt;&gt;"",OR(V134&gt;5,V134&lt;1)),"Incorrect DQR value (High);","")&amp;IF(AND(S134&lt;&gt;"",OR(S134&lt;=0,S134&gt;100)),"Unusual PCF value might be wrong (High);","")&amp;IF(AND(AL134&lt;&gt;"",OR(AL134&gt;1,AL134&lt;0)),"Incorrect PDS value (High);",IF(AND(AL134&lt;&gt;"",AL134&gt;0.5),"High PDS value (Medium);",""))&amp;IF(AND(AP134&lt;&gt;"",OR(AP134&gt;5,AP134&lt;1)),"Incorrect DQR value (High);","")&amp;IF(AND($A134&lt;&gt;"",AF134&gt;1),"Incorrect scrap rate (High);",IF(AND($A134&lt;&gt;"",AF134=0),"No scrap rate (No impact);",""))&amp;IF(AND($A134&lt;&gt;"",I134="",J134="",K134=""),"No raw material available (High);","")&amp;""</f>
        <v/>
      </c>
      <c r="AU134" s="9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4" t="n"/>
      <c r="M135" s="4" t="n"/>
      <c r="N135" s="3" t="inlineStr">
        <is>
          <t>kg</t>
        </is>
      </c>
      <c r="O135" s="4" t="n"/>
      <c r="P135" s="3" t="inlineStr">
        <is>
          <t>kg</t>
        </is>
      </c>
      <c r="Q135" s="3" t="n"/>
      <c r="R135" s="5" t="n"/>
      <c r="S135" s="6" t="n"/>
      <c r="T135" s="3" t="inlineStr">
        <is>
          <t>kgCO2e/component</t>
        </is>
      </c>
      <c r="U135" s="7" t="n"/>
      <c r="V135" s="4" t="n"/>
      <c r="W135" s="8" t="n"/>
      <c r="X135" s="3" t="inlineStr">
        <is>
          <t>Supplier</t>
        </is>
      </c>
      <c r="Y135" s="3" t="inlineStr">
        <is>
          <t>No</t>
        </is>
      </c>
      <c r="Z135" s="5" t="n"/>
      <c r="AA135" s="3" t="n"/>
      <c r="AB135" s="3" t="n"/>
      <c r="AC135" s="6" t="n"/>
      <c r="AD135" s="3" t="inlineStr">
        <is>
          <t>kgCO2e/component</t>
        </is>
      </c>
      <c r="AE135" s="3" t="n"/>
      <c r="AF135" s="7" t="n"/>
      <c r="AG135" s="3" t="n"/>
      <c r="AH135" s="3" t="n"/>
      <c r="AI135" s="6" t="n"/>
      <c r="AJ135" s="3" t="inlineStr">
        <is>
          <t>kgCO2e/component</t>
        </is>
      </c>
      <c r="AK135" s="3" t="n"/>
      <c r="AL135" s="7" t="n">
        <v>0</v>
      </c>
      <c r="AM135" s="3" t="n"/>
      <c r="AN135" s="3" t="n"/>
      <c r="AO135" s="3" t="n"/>
      <c r="AP135" s="4">
        <f>IF(COUNT(AM135,AN135,AO135)=0,"",ROUND(AVERAGE(AM135,AN135,AO135),3))</f>
        <v/>
      </c>
      <c r="AQ135" s="3">
        <f>IF(AC135="","",ROUND(AC135*IF(M135="",0,M135)*(1+IF(AF135="",0,AF135)),5))</f>
        <v/>
      </c>
      <c r="AR135" s="3" t="inlineStr">
        <is>
          <t>kgCO2e/component</t>
        </is>
      </c>
      <c r="AS135" s="5" t="n"/>
      <c r="AT135" s="9">
        <f>IF(AND($A135&lt;&gt;"",G135=""),"Supplier code empty (High);","")&amp;IF(AND(U135&lt;&gt;"",OR(U135&gt;1,U135&lt;0)),"Incorrect PDS value (High);",IF(AND(U135&lt;&gt;"",U135&gt;0.5),"High PDS value (Medium);",""))&amp;IF(AND(V135&lt;&gt;"",OR(V135&gt;5,V135&lt;1)),"Incorrect DQR value (High);","")&amp;IF(AND(S135&lt;&gt;"",OR(S135&lt;=0,S135&gt;100)),"Unusual PCF value might be wrong (High);","")&amp;IF(AND(AL135&lt;&gt;"",OR(AL135&gt;1,AL135&lt;0)),"Incorrect PDS value (High);",IF(AND(AL135&lt;&gt;"",AL135&gt;0.5),"High PDS value (Medium);",""))&amp;IF(AND(AP135&lt;&gt;"",OR(AP135&gt;5,AP135&lt;1)),"Incorrect DQR value (High);","")&amp;IF(AND($A135&lt;&gt;"",AF135&gt;1),"Incorrect scrap rate (High);",IF(AND($A135&lt;&gt;"",AF135=0),"No scrap rate (No impact);",""))&amp;IF(AND($A135&lt;&gt;"",I135="",J135="",K135=""),"No raw material available (High);","")&amp;""</f>
        <v/>
      </c>
      <c r="AU135" s="9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4" t="n"/>
      <c r="M136" s="4" t="n"/>
      <c r="N136" s="3" t="inlineStr">
        <is>
          <t>kg</t>
        </is>
      </c>
      <c r="O136" s="4" t="n"/>
      <c r="P136" s="3" t="inlineStr">
        <is>
          <t>kg</t>
        </is>
      </c>
      <c r="Q136" s="3" t="n"/>
      <c r="R136" s="5" t="n"/>
      <c r="S136" s="6" t="n"/>
      <c r="T136" s="3" t="inlineStr">
        <is>
          <t>kgCO2e/component</t>
        </is>
      </c>
      <c r="U136" s="7" t="n"/>
      <c r="V136" s="4" t="n"/>
      <c r="W136" s="8" t="n"/>
      <c r="X136" s="3" t="inlineStr">
        <is>
          <t>Supplier</t>
        </is>
      </c>
      <c r="Y136" s="3" t="inlineStr">
        <is>
          <t>No</t>
        </is>
      </c>
      <c r="Z136" s="5" t="n"/>
      <c r="AA136" s="3" t="n"/>
      <c r="AB136" s="3" t="n"/>
      <c r="AC136" s="6" t="n"/>
      <c r="AD136" s="3" t="inlineStr">
        <is>
          <t>kgCO2e/component</t>
        </is>
      </c>
      <c r="AE136" s="3" t="n"/>
      <c r="AF136" s="7" t="n"/>
      <c r="AG136" s="3" t="n"/>
      <c r="AH136" s="3" t="n"/>
      <c r="AI136" s="6" t="n"/>
      <c r="AJ136" s="3" t="inlineStr">
        <is>
          <t>kgCO2e/component</t>
        </is>
      </c>
      <c r="AK136" s="3" t="n"/>
      <c r="AL136" s="7" t="n">
        <v>0</v>
      </c>
      <c r="AM136" s="3" t="n"/>
      <c r="AN136" s="3" t="n"/>
      <c r="AO136" s="3" t="n"/>
      <c r="AP136" s="4">
        <f>IF(COUNT(AM136,AN136,AO136)=0,"",ROUND(AVERAGE(AM136,AN136,AO136),3))</f>
        <v/>
      </c>
      <c r="AQ136" s="3">
        <f>IF(AC136="","",ROUND(AC136*IF(M136="",0,M136)*(1+IF(AF136="",0,AF136)),5))</f>
        <v/>
      </c>
      <c r="AR136" s="3" t="inlineStr">
        <is>
          <t>kgCO2e/component</t>
        </is>
      </c>
      <c r="AS136" s="5" t="n"/>
      <c r="AT136" s="9">
        <f>IF(AND($A136&lt;&gt;"",G136=""),"Supplier code empty (High);","")&amp;IF(AND(U136&lt;&gt;"",OR(U136&gt;1,U136&lt;0)),"Incorrect PDS value (High);",IF(AND(U136&lt;&gt;"",U136&gt;0.5),"High PDS value (Medium);",""))&amp;IF(AND(V136&lt;&gt;"",OR(V136&gt;5,V136&lt;1)),"Incorrect DQR value (High);","")&amp;IF(AND(S136&lt;&gt;"",OR(S136&lt;=0,S136&gt;100)),"Unusual PCF value might be wrong (High);","")&amp;IF(AND(AL136&lt;&gt;"",OR(AL136&gt;1,AL136&lt;0)),"Incorrect PDS value (High);",IF(AND(AL136&lt;&gt;"",AL136&gt;0.5),"High PDS value (Medium);",""))&amp;IF(AND(AP136&lt;&gt;"",OR(AP136&gt;5,AP136&lt;1)),"Incorrect DQR value (High);","")&amp;IF(AND($A136&lt;&gt;"",AF136&gt;1),"Incorrect scrap rate (High);",IF(AND($A136&lt;&gt;"",AF136=0),"No scrap rate (No impact);",""))&amp;IF(AND($A136&lt;&gt;"",I136="",J136="",K136=""),"No raw material available (High);","")&amp;""</f>
        <v/>
      </c>
      <c r="AU136" s="9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4" t="n"/>
      <c r="M137" s="4" t="n"/>
      <c r="N137" s="3" t="inlineStr">
        <is>
          <t>kg</t>
        </is>
      </c>
      <c r="O137" s="4" t="n"/>
      <c r="P137" s="3" t="inlineStr">
        <is>
          <t>kg</t>
        </is>
      </c>
      <c r="Q137" s="3" t="n"/>
      <c r="R137" s="5" t="n"/>
      <c r="S137" s="6" t="n"/>
      <c r="T137" s="3" t="inlineStr">
        <is>
          <t>kgCO2e/component</t>
        </is>
      </c>
      <c r="U137" s="7" t="n"/>
      <c r="V137" s="4" t="n"/>
      <c r="W137" s="8" t="n"/>
      <c r="X137" s="3" t="inlineStr">
        <is>
          <t>Supplier</t>
        </is>
      </c>
      <c r="Y137" s="3" t="inlineStr">
        <is>
          <t>No</t>
        </is>
      </c>
      <c r="Z137" s="5" t="n"/>
      <c r="AA137" s="3" t="n"/>
      <c r="AB137" s="3" t="n"/>
      <c r="AC137" s="6" t="n"/>
      <c r="AD137" s="3" t="inlineStr">
        <is>
          <t>kgCO2e/component</t>
        </is>
      </c>
      <c r="AE137" s="3" t="n"/>
      <c r="AF137" s="7" t="n"/>
      <c r="AG137" s="3" t="n"/>
      <c r="AH137" s="3" t="n"/>
      <c r="AI137" s="6" t="n"/>
      <c r="AJ137" s="3" t="inlineStr">
        <is>
          <t>kgCO2e/component</t>
        </is>
      </c>
      <c r="AK137" s="3" t="n"/>
      <c r="AL137" s="7" t="n">
        <v>0</v>
      </c>
      <c r="AM137" s="3" t="n"/>
      <c r="AN137" s="3" t="n"/>
      <c r="AO137" s="3" t="n"/>
      <c r="AP137" s="4">
        <f>IF(COUNT(AM137,AN137,AO137)=0,"",ROUND(AVERAGE(AM137,AN137,AO137),3))</f>
        <v/>
      </c>
      <c r="AQ137" s="3">
        <f>IF(AC137="","",ROUND(AC137*IF(M137="",0,M137)*(1+IF(AF137="",0,AF137)),5))</f>
        <v/>
      </c>
      <c r="AR137" s="3" t="inlineStr">
        <is>
          <t>kgCO2e/component</t>
        </is>
      </c>
      <c r="AS137" s="5" t="n"/>
      <c r="AT137" s="9">
        <f>IF(AND($A137&lt;&gt;"",G137=""),"Supplier code empty (High);","")&amp;IF(AND(U137&lt;&gt;"",OR(U137&gt;1,U137&lt;0)),"Incorrect PDS value (High);",IF(AND(U137&lt;&gt;"",U137&gt;0.5),"High PDS value (Medium);",""))&amp;IF(AND(V137&lt;&gt;"",OR(V137&gt;5,V137&lt;1)),"Incorrect DQR value (High);","")&amp;IF(AND(S137&lt;&gt;"",OR(S137&lt;=0,S137&gt;100)),"Unusual PCF value might be wrong (High);","")&amp;IF(AND(AL137&lt;&gt;"",OR(AL137&gt;1,AL137&lt;0)),"Incorrect PDS value (High);",IF(AND(AL137&lt;&gt;"",AL137&gt;0.5),"High PDS value (Medium);",""))&amp;IF(AND(AP137&lt;&gt;"",OR(AP137&gt;5,AP137&lt;1)),"Incorrect DQR value (High);","")&amp;IF(AND($A137&lt;&gt;"",AF137&gt;1),"Incorrect scrap rate (High);",IF(AND($A137&lt;&gt;"",AF137=0),"No scrap rate (No impact);",""))&amp;IF(AND($A137&lt;&gt;"",I137="",J137="",K137=""),"No raw material available (High);","")&amp;""</f>
        <v/>
      </c>
      <c r="AU137" s="9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4" t="n"/>
      <c r="M138" s="4" t="n"/>
      <c r="N138" s="3" t="inlineStr">
        <is>
          <t>kg</t>
        </is>
      </c>
      <c r="O138" s="4" t="n"/>
      <c r="P138" s="3" t="inlineStr">
        <is>
          <t>kg</t>
        </is>
      </c>
      <c r="Q138" s="3" t="n"/>
      <c r="R138" s="5" t="n"/>
      <c r="S138" s="6" t="n"/>
      <c r="T138" s="3" t="inlineStr">
        <is>
          <t>kgCO2e/component</t>
        </is>
      </c>
      <c r="U138" s="7" t="n"/>
      <c r="V138" s="4" t="n"/>
      <c r="W138" s="8" t="n"/>
      <c r="X138" s="3" t="inlineStr">
        <is>
          <t>Supplier</t>
        </is>
      </c>
      <c r="Y138" s="3" t="inlineStr">
        <is>
          <t>No</t>
        </is>
      </c>
      <c r="Z138" s="5" t="n"/>
      <c r="AA138" s="3" t="n"/>
      <c r="AB138" s="3" t="n"/>
      <c r="AC138" s="6" t="n"/>
      <c r="AD138" s="3" t="inlineStr">
        <is>
          <t>kgCO2e/component</t>
        </is>
      </c>
      <c r="AE138" s="3" t="n"/>
      <c r="AF138" s="7" t="n"/>
      <c r="AG138" s="3" t="n"/>
      <c r="AH138" s="3" t="n"/>
      <c r="AI138" s="6" t="n"/>
      <c r="AJ138" s="3" t="inlineStr">
        <is>
          <t>kgCO2e/component</t>
        </is>
      </c>
      <c r="AK138" s="3" t="n"/>
      <c r="AL138" s="7" t="n">
        <v>0</v>
      </c>
      <c r="AM138" s="3" t="n"/>
      <c r="AN138" s="3" t="n"/>
      <c r="AO138" s="3" t="n"/>
      <c r="AP138" s="4">
        <f>IF(COUNT(AM138,AN138,AO138)=0,"",ROUND(AVERAGE(AM138,AN138,AO138),3))</f>
        <v/>
      </c>
      <c r="AQ138" s="3">
        <f>IF(AC138="","",ROUND(AC138*IF(M138="",0,M138)*(1+IF(AF138="",0,AF138)),5))</f>
        <v/>
      </c>
      <c r="AR138" s="3" t="inlineStr">
        <is>
          <t>kgCO2e/component</t>
        </is>
      </c>
      <c r="AS138" s="5" t="n"/>
      <c r="AT138" s="9">
        <f>IF(AND($A138&lt;&gt;"",G138=""),"Supplier code empty (High);","")&amp;IF(AND(U138&lt;&gt;"",OR(U138&gt;1,U138&lt;0)),"Incorrect PDS value (High);",IF(AND(U138&lt;&gt;"",U138&gt;0.5),"High PDS value (Medium);",""))&amp;IF(AND(V138&lt;&gt;"",OR(V138&gt;5,V138&lt;1)),"Incorrect DQR value (High);","")&amp;IF(AND(S138&lt;&gt;"",OR(S138&lt;=0,S138&gt;100)),"Unusual PCF value might be wrong (High);","")&amp;IF(AND(AL138&lt;&gt;"",OR(AL138&gt;1,AL138&lt;0)),"Incorrect PDS value (High);",IF(AND(AL138&lt;&gt;"",AL138&gt;0.5),"High PDS value (Medium);",""))&amp;IF(AND(AP138&lt;&gt;"",OR(AP138&gt;5,AP138&lt;1)),"Incorrect DQR value (High);","")&amp;IF(AND($A138&lt;&gt;"",AF138&gt;1),"Incorrect scrap rate (High);",IF(AND($A138&lt;&gt;"",AF138=0),"No scrap rate (No impact);",""))&amp;IF(AND($A138&lt;&gt;"",I138="",J138="",K138=""),"No raw material available (High);","")&amp;""</f>
        <v/>
      </c>
      <c r="AU138" s="9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4" t="n"/>
      <c r="M139" s="4" t="n"/>
      <c r="N139" s="3" t="inlineStr">
        <is>
          <t>kg</t>
        </is>
      </c>
      <c r="O139" s="4" t="n"/>
      <c r="P139" s="3" t="inlineStr">
        <is>
          <t>kg</t>
        </is>
      </c>
      <c r="Q139" s="3" t="n"/>
      <c r="R139" s="5" t="n"/>
      <c r="S139" s="6" t="n"/>
      <c r="T139" s="3" t="inlineStr">
        <is>
          <t>kgCO2e/component</t>
        </is>
      </c>
      <c r="U139" s="7" t="n"/>
      <c r="V139" s="4" t="n"/>
      <c r="W139" s="8" t="n"/>
      <c r="X139" s="3" t="inlineStr">
        <is>
          <t>Supplier</t>
        </is>
      </c>
      <c r="Y139" s="3" t="inlineStr">
        <is>
          <t>No</t>
        </is>
      </c>
      <c r="Z139" s="5" t="n"/>
      <c r="AA139" s="3" t="n"/>
      <c r="AB139" s="3" t="n"/>
      <c r="AC139" s="6" t="n"/>
      <c r="AD139" s="3" t="inlineStr">
        <is>
          <t>kgCO2e/component</t>
        </is>
      </c>
      <c r="AE139" s="3" t="n"/>
      <c r="AF139" s="7" t="n"/>
      <c r="AG139" s="3" t="n"/>
      <c r="AH139" s="3" t="n"/>
      <c r="AI139" s="6" t="n"/>
      <c r="AJ139" s="3" t="inlineStr">
        <is>
          <t>kgCO2e/component</t>
        </is>
      </c>
      <c r="AK139" s="3" t="n"/>
      <c r="AL139" s="7" t="n">
        <v>0</v>
      </c>
      <c r="AM139" s="3" t="n"/>
      <c r="AN139" s="3" t="n"/>
      <c r="AO139" s="3" t="n"/>
      <c r="AP139" s="4">
        <f>IF(COUNT(AM139,AN139,AO139)=0,"",ROUND(AVERAGE(AM139,AN139,AO139),3))</f>
        <v/>
      </c>
      <c r="AQ139" s="3">
        <f>IF(AC139="","",ROUND(AC139*IF(M139="",0,M139)*(1+IF(AF139="",0,AF139)),5))</f>
        <v/>
      </c>
      <c r="AR139" s="3" t="inlineStr">
        <is>
          <t>kgCO2e/component</t>
        </is>
      </c>
      <c r="AS139" s="5" t="n"/>
      <c r="AT139" s="9">
        <f>IF(AND($A139&lt;&gt;"",G139=""),"Supplier code empty (High);","")&amp;IF(AND(U139&lt;&gt;"",OR(U139&gt;1,U139&lt;0)),"Incorrect PDS value (High);",IF(AND(U139&lt;&gt;"",U139&gt;0.5),"High PDS value (Medium);",""))&amp;IF(AND(V139&lt;&gt;"",OR(V139&gt;5,V139&lt;1)),"Incorrect DQR value (High);","")&amp;IF(AND(S139&lt;&gt;"",OR(S139&lt;=0,S139&gt;100)),"Unusual PCF value might be wrong (High);","")&amp;IF(AND(AL139&lt;&gt;"",OR(AL139&gt;1,AL139&lt;0)),"Incorrect PDS value (High);",IF(AND(AL139&lt;&gt;"",AL139&gt;0.5),"High PDS value (Medium);",""))&amp;IF(AND(AP139&lt;&gt;"",OR(AP139&gt;5,AP139&lt;1)),"Incorrect DQR value (High);","")&amp;IF(AND($A139&lt;&gt;"",AF139&gt;1),"Incorrect scrap rate (High);",IF(AND($A139&lt;&gt;"",AF139=0),"No scrap rate (No impact);",""))&amp;IF(AND($A139&lt;&gt;"",I139="",J139="",K139=""),"No raw material available (High);","")&amp;""</f>
        <v/>
      </c>
      <c r="AU139" s="9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4" t="n"/>
      <c r="M140" s="4" t="n"/>
      <c r="N140" s="3" t="inlineStr">
        <is>
          <t>kg</t>
        </is>
      </c>
      <c r="O140" s="4" t="n"/>
      <c r="P140" s="3" t="inlineStr">
        <is>
          <t>kg</t>
        </is>
      </c>
      <c r="Q140" s="3" t="n"/>
      <c r="R140" s="5" t="n"/>
      <c r="S140" s="6" t="n"/>
      <c r="T140" s="3" t="inlineStr">
        <is>
          <t>kgCO2e/component</t>
        </is>
      </c>
      <c r="U140" s="7" t="n"/>
      <c r="V140" s="4" t="n"/>
      <c r="W140" s="8" t="n"/>
      <c r="X140" s="3" t="inlineStr">
        <is>
          <t>Supplier</t>
        </is>
      </c>
      <c r="Y140" s="3" t="inlineStr">
        <is>
          <t>No</t>
        </is>
      </c>
      <c r="Z140" s="5" t="n"/>
      <c r="AA140" s="3" t="n"/>
      <c r="AB140" s="3" t="n"/>
      <c r="AC140" s="6" t="n"/>
      <c r="AD140" s="3" t="inlineStr">
        <is>
          <t>kgCO2e/component</t>
        </is>
      </c>
      <c r="AE140" s="3" t="n"/>
      <c r="AF140" s="7" t="n"/>
      <c r="AG140" s="3" t="n"/>
      <c r="AH140" s="3" t="n"/>
      <c r="AI140" s="6" t="n"/>
      <c r="AJ140" s="3" t="inlineStr">
        <is>
          <t>kgCO2e/component</t>
        </is>
      </c>
      <c r="AK140" s="3" t="n"/>
      <c r="AL140" s="7" t="n">
        <v>0</v>
      </c>
      <c r="AM140" s="3" t="n"/>
      <c r="AN140" s="3" t="n"/>
      <c r="AO140" s="3" t="n"/>
      <c r="AP140" s="4">
        <f>IF(COUNT(AM140,AN140,AO140)=0,"",ROUND(AVERAGE(AM140,AN140,AO140),3))</f>
        <v/>
      </c>
      <c r="AQ140" s="3">
        <f>IF(AC140="","",ROUND(AC140*IF(M140="",0,M140)*(1+IF(AF140="",0,AF140)),5))</f>
        <v/>
      </c>
      <c r="AR140" s="3" t="inlineStr">
        <is>
          <t>kgCO2e/component</t>
        </is>
      </c>
      <c r="AS140" s="5" t="n"/>
      <c r="AT140" s="9">
        <f>IF(AND($A140&lt;&gt;"",G140=""),"Supplier code empty (High);","")&amp;IF(AND(U140&lt;&gt;"",OR(U140&gt;1,U140&lt;0)),"Incorrect PDS value (High);",IF(AND(U140&lt;&gt;"",U140&gt;0.5),"High PDS value (Medium);",""))&amp;IF(AND(V140&lt;&gt;"",OR(V140&gt;5,V140&lt;1)),"Incorrect DQR value (High);","")&amp;IF(AND(S140&lt;&gt;"",OR(S140&lt;=0,S140&gt;100)),"Unusual PCF value might be wrong (High);","")&amp;IF(AND(AL140&lt;&gt;"",OR(AL140&gt;1,AL140&lt;0)),"Incorrect PDS value (High);",IF(AND(AL140&lt;&gt;"",AL140&gt;0.5),"High PDS value (Medium);",""))&amp;IF(AND(AP140&lt;&gt;"",OR(AP140&gt;5,AP140&lt;1)),"Incorrect DQR value (High);","")&amp;IF(AND($A140&lt;&gt;"",AF140&gt;1),"Incorrect scrap rate (High);",IF(AND($A140&lt;&gt;"",AF140=0),"No scrap rate (No impact);",""))&amp;IF(AND($A140&lt;&gt;"",I140="",J140="",K140=""),"No raw material available (High);","")&amp;""</f>
        <v/>
      </c>
      <c r="AU140" s="9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4" t="n"/>
      <c r="M141" s="4" t="n"/>
      <c r="N141" s="3" t="inlineStr">
        <is>
          <t>kg</t>
        </is>
      </c>
      <c r="O141" s="4" t="n"/>
      <c r="P141" s="3" t="inlineStr">
        <is>
          <t>kg</t>
        </is>
      </c>
      <c r="Q141" s="3" t="n"/>
      <c r="R141" s="5" t="n"/>
      <c r="S141" s="6" t="n"/>
      <c r="T141" s="3" t="inlineStr">
        <is>
          <t>kgCO2e/component</t>
        </is>
      </c>
      <c r="U141" s="7" t="n"/>
      <c r="V141" s="4" t="n"/>
      <c r="W141" s="8" t="n"/>
      <c r="X141" s="3" t="inlineStr">
        <is>
          <t>Supplier</t>
        </is>
      </c>
      <c r="Y141" s="3" t="inlineStr">
        <is>
          <t>No</t>
        </is>
      </c>
      <c r="Z141" s="5" t="n"/>
      <c r="AA141" s="3" t="n"/>
      <c r="AB141" s="3" t="n"/>
      <c r="AC141" s="6" t="n"/>
      <c r="AD141" s="3" t="inlineStr">
        <is>
          <t>kgCO2e/component</t>
        </is>
      </c>
      <c r="AE141" s="3" t="n"/>
      <c r="AF141" s="7" t="n"/>
      <c r="AG141" s="3" t="n"/>
      <c r="AH141" s="3" t="n"/>
      <c r="AI141" s="6" t="n"/>
      <c r="AJ141" s="3" t="inlineStr">
        <is>
          <t>kgCO2e/component</t>
        </is>
      </c>
      <c r="AK141" s="3" t="n"/>
      <c r="AL141" s="7" t="n">
        <v>0</v>
      </c>
      <c r="AM141" s="3" t="n"/>
      <c r="AN141" s="3" t="n"/>
      <c r="AO141" s="3" t="n"/>
      <c r="AP141" s="4">
        <f>IF(COUNT(AM141,AN141,AO141)=0,"",ROUND(AVERAGE(AM141,AN141,AO141),3))</f>
        <v/>
      </c>
      <c r="AQ141" s="3">
        <f>IF(AC141="","",ROUND(AC141*IF(M141="",0,M141)*(1+IF(AF141="",0,AF141)),5))</f>
        <v/>
      </c>
      <c r="AR141" s="3" t="inlineStr">
        <is>
          <t>kgCO2e/component</t>
        </is>
      </c>
      <c r="AS141" s="5" t="n"/>
      <c r="AT141" s="9">
        <f>IF(AND($A141&lt;&gt;"",G141=""),"Supplier code empty (High);","")&amp;IF(AND(U141&lt;&gt;"",OR(U141&gt;1,U141&lt;0)),"Incorrect PDS value (High);",IF(AND(U141&lt;&gt;"",U141&gt;0.5),"High PDS value (Medium);",""))&amp;IF(AND(V141&lt;&gt;"",OR(V141&gt;5,V141&lt;1)),"Incorrect DQR value (High);","")&amp;IF(AND(S141&lt;&gt;"",OR(S141&lt;=0,S141&gt;100)),"Unusual PCF value might be wrong (High);","")&amp;IF(AND(AL141&lt;&gt;"",OR(AL141&gt;1,AL141&lt;0)),"Incorrect PDS value (High);",IF(AND(AL141&lt;&gt;"",AL141&gt;0.5),"High PDS value (Medium);",""))&amp;IF(AND(AP141&lt;&gt;"",OR(AP141&gt;5,AP141&lt;1)),"Incorrect DQR value (High);","")&amp;IF(AND($A141&lt;&gt;"",AF141&gt;1),"Incorrect scrap rate (High);",IF(AND($A141&lt;&gt;"",AF141=0),"No scrap rate (No impact);",""))&amp;IF(AND($A141&lt;&gt;"",I141="",J141="",K141=""),"No raw material available (High);","")&amp;""</f>
        <v/>
      </c>
      <c r="AU141" s="9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4" t="n"/>
      <c r="M142" s="4" t="n"/>
      <c r="N142" s="3" t="inlineStr">
        <is>
          <t>kg</t>
        </is>
      </c>
      <c r="O142" s="4" t="n"/>
      <c r="P142" s="3" t="inlineStr">
        <is>
          <t>kg</t>
        </is>
      </c>
      <c r="Q142" s="3" t="n"/>
      <c r="R142" s="5" t="n"/>
      <c r="S142" s="6" t="n"/>
      <c r="T142" s="3" t="inlineStr">
        <is>
          <t>kgCO2e/component</t>
        </is>
      </c>
      <c r="U142" s="7" t="n"/>
      <c r="V142" s="4" t="n"/>
      <c r="W142" s="8" t="n"/>
      <c r="X142" s="3" t="inlineStr">
        <is>
          <t>Supplier</t>
        </is>
      </c>
      <c r="Y142" s="3" t="inlineStr">
        <is>
          <t>No</t>
        </is>
      </c>
      <c r="Z142" s="5" t="n"/>
      <c r="AA142" s="3" t="n"/>
      <c r="AB142" s="3" t="n"/>
      <c r="AC142" s="6" t="n"/>
      <c r="AD142" s="3" t="inlineStr">
        <is>
          <t>kgCO2e/component</t>
        </is>
      </c>
      <c r="AE142" s="3" t="n"/>
      <c r="AF142" s="7" t="n"/>
      <c r="AG142" s="3" t="n"/>
      <c r="AH142" s="3" t="n"/>
      <c r="AI142" s="6" t="n"/>
      <c r="AJ142" s="3" t="inlineStr">
        <is>
          <t>kgCO2e/component</t>
        </is>
      </c>
      <c r="AK142" s="3" t="n"/>
      <c r="AL142" s="7" t="n">
        <v>0</v>
      </c>
      <c r="AM142" s="3" t="n"/>
      <c r="AN142" s="3" t="n"/>
      <c r="AO142" s="3" t="n"/>
      <c r="AP142" s="4">
        <f>IF(COUNT(AM142,AN142,AO142)=0,"",ROUND(AVERAGE(AM142,AN142,AO142),3))</f>
        <v/>
      </c>
      <c r="AQ142" s="3">
        <f>IF(AC142="","",ROUND(AC142*IF(M142="",0,M142)*(1+IF(AF142="",0,AF142)),5))</f>
        <v/>
      </c>
      <c r="AR142" s="3" t="inlineStr">
        <is>
          <t>kgCO2e/component</t>
        </is>
      </c>
      <c r="AS142" s="5" t="n"/>
      <c r="AT142" s="9">
        <f>IF(AND($A142&lt;&gt;"",G142=""),"Supplier code empty (High);","")&amp;IF(AND(U142&lt;&gt;"",OR(U142&gt;1,U142&lt;0)),"Incorrect PDS value (High);",IF(AND(U142&lt;&gt;"",U142&gt;0.5),"High PDS value (Medium);",""))&amp;IF(AND(V142&lt;&gt;"",OR(V142&gt;5,V142&lt;1)),"Incorrect DQR value (High);","")&amp;IF(AND(S142&lt;&gt;"",OR(S142&lt;=0,S142&gt;100)),"Unusual PCF value might be wrong (High);","")&amp;IF(AND(AL142&lt;&gt;"",OR(AL142&gt;1,AL142&lt;0)),"Incorrect PDS value (High);",IF(AND(AL142&lt;&gt;"",AL142&gt;0.5),"High PDS value (Medium);",""))&amp;IF(AND(AP142&lt;&gt;"",OR(AP142&gt;5,AP142&lt;1)),"Incorrect DQR value (High);","")&amp;IF(AND($A142&lt;&gt;"",AF142&gt;1),"Incorrect scrap rate (High);",IF(AND($A142&lt;&gt;"",AF142=0),"No scrap rate (No impact);",""))&amp;IF(AND($A142&lt;&gt;"",I142="",J142="",K142=""),"No raw material available (High);","")&amp;""</f>
        <v/>
      </c>
      <c r="AU142" s="9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4" t="n"/>
      <c r="M143" s="4" t="n"/>
      <c r="N143" s="3" t="inlineStr">
        <is>
          <t>kg</t>
        </is>
      </c>
      <c r="O143" s="4" t="n"/>
      <c r="P143" s="3" t="inlineStr">
        <is>
          <t>kg</t>
        </is>
      </c>
      <c r="Q143" s="3" t="n"/>
      <c r="R143" s="5" t="n"/>
      <c r="S143" s="6" t="n"/>
      <c r="T143" s="3" t="inlineStr">
        <is>
          <t>kgCO2e/component</t>
        </is>
      </c>
      <c r="U143" s="7" t="n"/>
      <c r="V143" s="4" t="n"/>
      <c r="W143" s="8" t="n"/>
      <c r="X143" s="3" t="inlineStr">
        <is>
          <t>Supplier</t>
        </is>
      </c>
      <c r="Y143" s="3" t="inlineStr">
        <is>
          <t>No</t>
        </is>
      </c>
      <c r="Z143" s="5" t="n"/>
      <c r="AA143" s="3" t="n"/>
      <c r="AB143" s="3" t="n"/>
      <c r="AC143" s="6" t="n"/>
      <c r="AD143" s="3" t="inlineStr">
        <is>
          <t>kgCO2e/component</t>
        </is>
      </c>
      <c r="AE143" s="3" t="n"/>
      <c r="AF143" s="7" t="n"/>
      <c r="AG143" s="3" t="n"/>
      <c r="AH143" s="3" t="n"/>
      <c r="AI143" s="6" t="n"/>
      <c r="AJ143" s="3" t="inlineStr">
        <is>
          <t>kgCO2e/component</t>
        </is>
      </c>
      <c r="AK143" s="3" t="n"/>
      <c r="AL143" s="7" t="n">
        <v>0</v>
      </c>
      <c r="AM143" s="3" t="n"/>
      <c r="AN143" s="3" t="n"/>
      <c r="AO143" s="3" t="n"/>
      <c r="AP143" s="4">
        <f>IF(COUNT(AM143,AN143,AO143)=0,"",ROUND(AVERAGE(AM143,AN143,AO143),3))</f>
        <v/>
      </c>
      <c r="AQ143" s="3">
        <f>IF(AC143="","",ROUND(AC143*IF(M143="",0,M143)*(1+IF(AF143="",0,AF143)),5))</f>
        <v/>
      </c>
      <c r="AR143" s="3" t="inlineStr">
        <is>
          <t>kgCO2e/component</t>
        </is>
      </c>
      <c r="AS143" s="5" t="n"/>
      <c r="AT143" s="9">
        <f>IF(AND($A143&lt;&gt;"",G143=""),"Supplier code empty (High);","")&amp;IF(AND(U143&lt;&gt;"",OR(U143&gt;1,U143&lt;0)),"Incorrect PDS value (High);",IF(AND(U143&lt;&gt;"",U143&gt;0.5),"High PDS value (Medium);",""))&amp;IF(AND(V143&lt;&gt;"",OR(V143&gt;5,V143&lt;1)),"Incorrect DQR value (High);","")&amp;IF(AND(S143&lt;&gt;"",OR(S143&lt;=0,S143&gt;100)),"Unusual PCF value might be wrong (High);","")&amp;IF(AND(AL143&lt;&gt;"",OR(AL143&gt;1,AL143&lt;0)),"Incorrect PDS value (High);",IF(AND(AL143&lt;&gt;"",AL143&gt;0.5),"High PDS value (Medium);",""))&amp;IF(AND(AP143&lt;&gt;"",OR(AP143&gt;5,AP143&lt;1)),"Incorrect DQR value (High);","")&amp;IF(AND($A143&lt;&gt;"",AF143&gt;1),"Incorrect scrap rate (High);",IF(AND($A143&lt;&gt;"",AF143=0),"No scrap rate (No impact);",""))&amp;IF(AND($A143&lt;&gt;"",I143="",J143="",K143=""),"No raw material available (High);","")&amp;""</f>
        <v/>
      </c>
      <c r="AU143" s="9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4" t="n"/>
      <c r="M144" s="4" t="n"/>
      <c r="N144" s="3" t="inlineStr">
        <is>
          <t>kg</t>
        </is>
      </c>
      <c r="O144" s="4" t="n"/>
      <c r="P144" s="3" t="inlineStr">
        <is>
          <t>kg</t>
        </is>
      </c>
      <c r="Q144" s="3" t="n"/>
      <c r="R144" s="5" t="n"/>
      <c r="S144" s="6" t="n"/>
      <c r="T144" s="3" t="inlineStr">
        <is>
          <t>kgCO2e/component</t>
        </is>
      </c>
      <c r="U144" s="7" t="n"/>
      <c r="V144" s="4" t="n"/>
      <c r="W144" s="8" t="n"/>
      <c r="X144" s="3" t="inlineStr">
        <is>
          <t>Supplier</t>
        </is>
      </c>
      <c r="Y144" s="3" t="inlineStr">
        <is>
          <t>No</t>
        </is>
      </c>
      <c r="Z144" s="5" t="n"/>
      <c r="AA144" s="3" t="n"/>
      <c r="AB144" s="3" t="n"/>
      <c r="AC144" s="6" t="n"/>
      <c r="AD144" s="3" t="inlineStr">
        <is>
          <t>kgCO2e/component</t>
        </is>
      </c>
      <c r="AE144" s="3" t="n"/>
      <c r="AF144" s="7" t="n"/>
      <c r="AG144" s="3" t="n"/>
      <c r="AH144" s="3" t="n"/>
      <c r="AI144" s="6" t="n"/>
      <c r="AJ144" s="3" t="inlineStr">
        <is>
          <t>kgCO2e/component</t>
        </is>
      </c>
      <c r="AK144" s="3" t="n"/>
      <c r="AL144" s="7" t="n">
        <v>0</v>
      </c>
      <c r="AM144" s="3" t="n"/>
      <c r="AN144" s="3" t="n"/>
      <c r="AO144" s="3" t="n"/>
      <c r="AP144" s="4">
        <f>IF(COUNT(AM144,AN144,AO144)=0,"",ROUND(AVERAGE(AM144,AN144,AO144),3))</f>
        <v/>
      </c>
      <c r="AQ144" s="3">
        <f>IF(AC144="","",ROUND(AC144*IF(M144="",0,M144)*(1+IF(AF144="",0,AF144)),5))</f>
        <v/>
      </c>
      <c r="AR144" s="3" t="inlineStr">
        <is>
          <t>kgCO2e/component</t>
        </is>
      </c>
      <c r="AS144" s="5" t="n"/>
      <c r="AT144" s="9">
        <f>IF(AND($A144&lt;&gt;"",G144=""),"Supplier code empty (High);","")&amp;IF(AND(U144&lt;&gt;"",OR(U144&gt;1,U144&lt;0)),"Incorrect PDS value (High);",IF(AND(U144&lt;&gt;"",U144&gt;0.5),"High PDS value (Medium);",""))&amp;IF(AND(V144&lt;&gt;"",OR(V144&gt;5,V144&lt;1)),"Incorrect DQR value (High);","")&amp;IF(AND(S144&lt;&gt;"",OR(S144&lt;=0,S144&gt;100)),"Unusual PCF value might be wrong (High);","")&amp;IF(AND(AL144&lt;&gt;"",OR(AL144&gt;1,AL144&lt;0)),"Incorrect PDS value (High);",IF(AND(AL144&lt;&gt;"",AL144&gt;0.5),"High PDS value (Medium);",""))&amp;IF(AND(AP144&lt;&gt;"",OR(AP144&gt;5,AP144&lt;1)),"Incorrect DQR value (High);","")&amp;IF(AND($A144&lt;&gt;"",AF144&gt;1),"Incorrect scrap rate (High);",IF(AND($A144&lt;&gt;"",AF144=0),"No scrap rate (No impact);",""))&amp;IF(AND($A144&lt;&gt;"",I144="",J144="",K144=""),"No raw material available (High);","")&amp;""</f>
        <v/>
      </c>
      <c r="AU144" s="9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4" t="n"/>
      <c r="M145" s="4" t="n"/>
      <c r="N145" s="3" t="inlineStr">
        <is>
          <t>kg</t>
        </is>
      </c>
      <c r="O145" s="4" t="n"/>
      <c r="P145" s="3" t="inlineStr">
        <is>
          <t>kg</t>
        </is>
      </c>
      <c r="Q145" s="3" t="n"/>
      <c r="R145" s="5" t="n"/>
      <c r="S145" s="6" t="n"/>
      <c r="T145" s="3" t="inlineStr">
        <is>
          <t>kgCO2e/component</t>
        </is>
      </c>
      <c r="U145" s="7" t="n"/>
      <c r="V145" s="4" t="n"/>
      <c r="W145" s="8" t="n"/>
      <c r="X145" s="3" t="inlineStr">
        <is>
          <t>Supplier</t>
        </is>
      </c>
      <c r="Y145" s="3" t="inlineStr">
        <is>
          <t>No</t>
        </is>
      </c>
      <c r="Z145" s="5" t="n"/>
      <c r="AA145" s="3" t="n"/>
      <c r="AB145" s="3" t="n"/>
      <c r="AC145" s="6" t="n"/>
      <c r="AD145" s="3" t="inlineStr">
        <is>
          <t>kgCO2e/component</t>
        </is>
      </c>
      <c r="AE145" s="3" t="n"/>
      <c r="AF145" s="7" t="n"/>
      <c r="AG145" s="3" t="n"/>
      <c r="AH145" s="3" t="n"/>
      <c r="AI145" s="6" t="n"/>
      <c r="AJ145" s="3" t="inlineStr">
        <is>
          <t>kgCO2e/component</t>
        </is>
      </c>
      <c r="AK145" s="3" t="n"/>
      <c r="AL145" s="7" t="n">
        <v>0</v>
      </c>
      <c r="AM145" s="3" t="n"/>
      <c r="AN145" s="3" t="n"/>
      <c r="AO145" s="3" t="n"/>
      <c r="AP145" s="4">
        <f>IF(COUNT(AM145,AN145,AO145)=0,"",ROUND(AVERAGE(AM145,AN145,AO145),3))</f>
        <v/>
      </c>
      <c r="AQ145" s="3">
        <f>IF(AC145="","",ROUND(AC145*IF(M145="",0,M145)*(1+IF(AF145="",0,AF145)),5))</f>
        <v/>
      </c>
      <c r="AR145" s="3" t="inlineStr">
        <is>
          <t>kgCO2e/component</t>
        </is>
      </c>
      <c r="AS145" s="5" t="n"/>
      <c r="AT145" s="9">
        <f>IF(AND($A145&lt;&gt;"",G145=""),"Supplier code empty (High);","")&amp;IF(AND(U145&lt;&gt;"",OR(U145&gt;1,U145&lt;0)),"Incorrect PDS value (High);",IF(AND(U145&lt;&gt;"",U145&gt;0.5),"High PDS value (Medium);",""))&amp;IF(AND(V145&lt;&gt;"",OR(V145&gt;5,V145&lt;1)),"Incorrect DQR value (High);","")&amp;IF(AND(S145&lt;&gt;"",OR(S145&lt;=0,S145&gt;100)),"Unusual PCF value might be wrong (High);","")&amp;IF(AND(AL145&lt;&gt;"",OR(AL145&gt;1,AL145&lt;0)),"Incorrect PDS value (High);",IF(AND(AL145&lt;&gt;"",AL145&gt;0.5),"High PDS value (Medium);",""))&amp;IF(AND(AP145&lt;&gt;"",OR(AP145&gt;5,AP145&lt;1)),"Incorrect DQR value (High);","")&amp;IF(AND($A145&lt;&gt;"",AF145&gt;1),"Incorrect scrap rate (High);",IF(AND($A145&lt;&gt;"",AF145=0),"No scrap rate (No impact);",""))&amp;IF(AND($A145&lt;&gt;"",I145="",J145="",K145=""),"No raw material available (High);","")&amp;""</f>
        <v/>
      </c>
      <c r="AU145" s="9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4" t="n"/>
      <c r="M146" s="4" t="n"/>
      <c r="N146" s="3" t="inlineStr">
        <is>
          <t>kg</t>
        </is>
      </c>
      <c r="O146" s="4" t="n"/>
      <c r="P146" s="3" t="inlineStr">
        <is>
          <t>kg</t>
        </is>
      </c>
      <c r="Q146" s="3" t="n"/>
      <c r="R146" s="5" t="n"/>
      <c r="S146" s="6" t="n"/>
      <c r="T146" s="3" t="inlineStr">
        <is>
          <t>kgCO2e/component</t>
        </is>
      </c>
      <c r="U146" s="7" t="n"/>
      <c r="V146" s="4" t="n"/>
      <c r="W146" s="8" t="n"/>
      <c r="X146" s="3" t="inlineStr">
        <is>
          <t>Supplier</t>
        </is>
      </c>
      <c r="Y146" s="3" t="inlineStr">
        <is>
          <t>No</t>
        </is>
      </c>
      <c r="Z146" s="5" t="n"/>
      <c r="AA146" s="3" t="n"/>
      <c r="AB146" s="3" t="n"/>
      <c r="AC146" s="6" t="n"/>
      <c r="AD146" s="3" t="inlineStr">
        <is>
          <t>kgCO2e/component</t>
        </is>
      </c>
      <c r="AE146" s="3" t="n"/>
      <c r="AF146" s="7" t="n"/>
      <c r="AG146" s="3" t="n"/>
      <c r="AH146" s="3" t="n"/>
      <c r="AI146" s="6" t="n"/>
      <c r="AJ146" s="3" t="inlineStr">
        <is>
          <t>kgCO2e/component</t>
        </is>
      </c>
      <c r="AK146" s="3" t="n"/>
      <c r="AL146" s="7" t="n">
        <v>0</v>
      </c>
      <c r="AM146" s="3" t="n"/>
      <c r="AN146" s="3" t="n"/>
      <c r="AO146" s="3" t="n"/>
      <c r="AP146" s="4">
        <f>IF(COUNT(AM146,AN146,AO146)=0,"",ROUND(AVERAGE(AM146,AN146,AO146),3))</f>
        <v/>
      </c>
      <c r="AQ146" s="3">
        <f>IF(AC146="","",ROUND(AC146*IF(M146="",0,M146)*(1+IF(AF146="",0,AF146)),5))</f>
        <v/>
      </c>
      <c r="AR146" s="3" t="inlineStr">
        <is>
          <t>kgCO2e/component</t>
        </is>
      </c>
      <c r="AS146" s="5" t="n"/>
      <c r="AT146" s="9">
        <f>IF(AND($A146&lt;&gt;"",G146=""),"Supplier code empty (High);","")&amp;IF(AND(U146&lt;&gt;"",OR(U146&gt;1,U146&lt;0)),"Incorrect PDS value (High);",IF(AND(U146&lt;&gt;"",U146&gt;0.5),"High PDS value (Medium);",""))&amp;IF(AND(V146&lt;&gt;"",OR(V146&gt;5,V146&lt;1)),"Incorrect DQR value (High);","")&amp;IF(AND(S146&lt;&gt;"",OR(S146&lt;=0,S146&gt;100)),"Unusual PCF value might be wrong (High);","")&amp;IF(AND(AL146&lt;&gt;"",OR(AL146&gt;1,AL146&lt;0)),"Incorrect PDS value (High);",IF(AND(AL146&lt;&gt;"",AL146&gt;0.5),"High PDS value (Medium);",""))&amp;IF(AND(AP146&lt;&gt;"",OR(AP146&gt;5,AP146&lt;1)),"Incorrect DQR value (High);","")&amp;IF(AND($A146&lt;&gt;"",AF146&gt;1),"Incorrect scrap rate (High);",IF(AND($A146&lt;&gt;"",AF146=0),"No scrap rate (No impact);",""))&amp;IF(AND($A146&lt;&gt;"",I146="",J146="",K146=""),"No raw material available (High);","")&amp;""</f>
        <v/>
      </c>
      <c r="AU146" s="9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4" t="n"/>
      <c r="M147" s="4" t="n"/>
      <c r="N147" s="3" t="inlineStr">
        <is>
          <t>kg</t>
        </is>
      </c>
      <c r="O147" s="4" t="n"/>
      <c r="P147" s="3" t="inlineStr">
        <is>
          <t>kg</t>
        </is>
      </c>
      <c r="Q147" s="3" t="n"/>
      <c r="R147" s="5" t="n"/>
      <c r="S147" s="6" t="n"/>
      <c r="T147" s="3" t="inlineStr">
        <is>
          <t>kgCO2e/component</t>
        </is>
      </c>
      <c r="U147" s="7" t="n"/>
      <c r="V147" s="4" t="n"/>
      <c r="W147" s="8" t="n"/>
      <c r="X147" s="3" t="inlineStr">
        <is>
          <t>Supplier</t>
        </is>
      </c>
      <c r="Y147" s="3" t="inlineStr">
        <is>
          <t>No</t>
        </is>
      </c>
      <c r="Z147" s="5" t="n"/>
      <c r="AA147" s="3" t="n"/>
      <c r="AB147" s="3" t="n"/>
      <c r="AC147" s="6" t="n"/>
      <c r="AD147" s="3" t="inlineStr">
        <is>
          <t>kgCO2e/component</t>
        </is>
      </c>
      <c r="AE147" s="3" t="n"/>
      <c r="AF147" s="7" t="n"/>
      <c r="AG147" s="3" t="n"/>
      <c r="AH147" s="3" t="n"/>
      <c r="AI147" s="6" t="n"/>
      <c r="AJ147" s="3" t="inlineStr">
        <is>
          <t>kgCO2e/component</t>
        </is>
      </c>
      <c r="AK147" s="3" t="n"/>
      <c r="AL147" s="7" t="n">
        <v>0</v>
      </c>
      <c r="AM147" s="3" t="n"/>
      <c r="AN147" s="3" t="n"/>
      <c r="AO147" s="3" t="n"/>
      <c r="AP147" s="4">
        <f>IF(COUNT(AM147,AN147,AO147)=0,"",ROUND(AVERAGE(AM147,AN147,AO147),3))</f>
        <v/>
      </c>
      <c r="AQ147" s="3">
        <f>IF(AC147="","",ROUND(AC147*IF(M147="",0,M147)*(1+IF(AF147="",0,AF147)),5))</f>
        <v/>
      </c>
      <c r="AR147" s="3" t="inlineStr">
        <is>
          <t>kgCO2e/component</t>
        </is>
      </c>
      <c r="AS147" s="5" t="n"/>
      <c r="AT147" s="9">
        <f>IF(AND($A147&lt;&gt;"",G147=""),"Supplier code empty (High);","")&amp;IF(AND(U147&lt;&gt;"",OR(U147&gt;1,U147&lt;0)),"Incorrect PDS value (High);",IF(AND(U147&lt;&gt;"",U147&gt;0.5),"High PDS value (Medium);",""))&amp;IF(AND(V147&lt;&gt;"",OR(V147&gt;5,V147&lt;1)),"Incorrect DQR value (High);","")&amp;IF(AND(S147&lt;&gt;"",OR(S147&lt;=0,S147&gt;100)),"Unusual PCF value might be wrong (High);","")&amp;IF(AND(AL147&lt;&gt;"",OR(AL147&gt;1,AL147&lt;0)),"Incorrect PDS value (High);",IF(AND(AL147&lt;&gt;"",AL147&gt;0.5),"High PDS value (Medium);",""))&amp;IF(AND(AP147&lt;&gt;"",OR(AP147&gt;5,AP147&lt;1)),"Incorrect DQR value (High);","")&amp;IF(AND($A147&lt;&gt;"",AF147&gt;1),"Incorrect scrap rate (High);",IF(AND($A147&lt;&gt;"",AF147=0),"No scrap rate (No impact);",""))&amp;IF(AND($A147&lt;&gt;"",I147="",J147="",K147=""),"No raw material available (High);","")&amp;""</f>
        <v/>
      </c>
      <c r="AU147" s="9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4" t="n"/>
      <c r="M148" s="4" t="n"/>
      <c r="N148" s="3" t="inlineStr">
        <is>
          <t>kg</t>
        </is>
      </c>
      <c r="O148" s="4" t="n"/>
      <c r="P148" s="3" t="inlineStr">
        <is>
          <t>kg</t>
        </is>
      </c>
      <c r="Q148" s="3" t="n"/>
      <c r="R148" s="5" t="n"/>
      <c r="S148" s="6" t="n"/>
      <c r="T148" s="3" t="inlineStr">
        <is>
          <t>kgCO2e/component</t>
        </is>
      </c>
      <c r="U148" s="7" t="n"/>
      <c r="V148" s="4" t="n"/>
      <c r="W148" s="8" t="n"/>
      <c r="X148" s="3" t="inlineStr">
        <is>
          <t>Supplier</t>
        </is>
      </c>
      <c r="Y148" s="3" t="inlineStr">
        <is>
          <t>No</t>
        </is>
      </c>
      <c r="Z148" s="5" t="n"/>
      <c r="AA148" s="3" t="n"/>
      <c r="AB148" s="3" t="n"/>
      <c r="AC148" s="6" t="n"/>
      <c r="AD148" s="3" t="inlineStr">
        <is>
          <t>kgCO2e/component</t>
        </is>
      </c>
      <c r="AE148" s="3" t="n"/>
      <c r="AF148" s="7" t="n"/>
      <c r="AG148" s="3" t="n"/>
      <c r="AH148" s="3" t="n"/>
      <c r="AI148" s="6" t="n"/>
      <c r="AJ148" s="3" t="inlineStr">
        <is>
          <t>kgCO2e/component</t>
        </is>
      </c>
      <c r="AK148" s="3" t="n"/>
      <c r="AL148" s="7" t="n">
        <v>0</v>
      </c>
      <c r="AM148" s="3" t="n"/>
      <c r="AN148" s="3" t="n"/>
      <c r="AO148" s="3" t="n"/>
      <c r="AP148" s="4">
        <f>IF(COUNT(AM148,AN148,AO148)=0,"",ROUND(AVERAGE(AM148,AN148,AO148),3))</f>
        <v/>
      </c>
      <c r="AQ148" s="3">
        <f>IF(AC148="","",ROUND(AC148*IF(M148="",0,M148)*(1+IF(AF148="",0,AF148)),5))</f>
        <v/>
      </c>
      <c r="AR148" s="3" t="inlineStr">
        <is>
          <t>kgCO2e/component</t>
        </is>
      </c>
      <c r="AS148" s="5" t="n"/>
      <c r="AT148" s="9">
        <f>IF(AND($A148&lt;&gt;"",G148=""),"Supplier code empty (High);","")&amp;IF(AND(U148&lt;&gt;"",OR(U148&gt;1,U148&lt;0)),"Incorrect PDS value (High);",IF(AND(U148&lt;&gt;"",U148&gt;0.5),"High PDS value (Medium);",""))&amp;IF(AND(V148&lt;&gt;"",OR(V148&gt;5,V148&lt;1)),"Incorrect DQR value (High);","")&amp;IF(AND(S148&lt;&gt;"",OR(S148&lt;=0,S148&gt;100)),"Unusual PCF value might be wrong (High);","")&amp;IF(AND(AL148&lt;&gt;"",OR(AL148&gt;1,AL148&lt;0)),"Incorrect PDS value (High);",IF(AND(AL148&lt;&gt;"",AL148&gt;0.5),"High PDS value (Medium);",""))&amp;IF(AND(AP148&lt;&gt;"",OR(AP148&gt;5,AP148&lt;1)),"Incorrect DQR value (High);","")&amp;IF(AND($A148&lt;&gt;"",AF148&gt;1),"Incorrect scrap rate (High);",IF(AND($A148&lt;&gt;"",AF148=0),"No scrap rate (No impact);",""))&amp;IF(AND($A148&lt;&gt;"",I148="",J148="",K148=""),"No raw material available (High);","")&amp;""</f>
        <v/>
      </c>
      <c r="AU148" s="9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4" t="n"/>
      <c r="M149" s="4" t="n"/>
      <c r="N149" s="3" t="inlineStr">
        <is>
          <t>kg</t>
        </is>
      </c>
      <c r="O149" s="4" t="n"/>
      <c r="P149" s="3" t="inlineStr">
        <is>
          <t>kg</t>
        </is>
      </c>
      <c r="Q149" s="3" t="n"/>
      <c r="R149" s="5" t="n"/>
      <c r="S149" s="6" t="n"/>
      <c r="T149" s="3" t="inlineStr">
        <is>
          <t>kgCO2e/component</t>
        </is>
      </c>
      <c r="U149" s="7" t="n"/>
      <c r="V149" s="4" t="n"/>
      <c r="W149" s="8" t="n"/>
      <c r="X149" s="3" t="inlineStr">
        <is>
          <t>Supplier</t>
        </is>
      </c>
      <c r="Y149" s="3" t="inlineStr">
        <is>
          <t>No</t>
        </is>
      </c>
      <c r="Z149" s="5" t="n"/>
      <c r="AA149" s="3" t="n"/>
      <c r="AB149" s="3" t="n"/>
      <c r="AC149" s="6" t="n"/>
      <c r="AD149" s="3" t="inlineStr">
        <is>
          <t>kgCO2e/component</t>
        </is>
      </c>
      <c r="AE149" s="3" t="n"/>
      <c r="AF149" s="7" t="n"/>
      <c r="AG149" s="3" t="n"/>
      <c r="AH149" s="3" t="n"/>
      <c r="AI149" s="6" t="n"/>
      <c r="AJ149" s="3" t="inlineStr">
        <is>
          <t>kgCO2e/component</t>
        </is>
      </c>
      <c r="AK149" s="3" t="n"/>
      <c r="AL149" s="7" t="n">
        <v>0</v>
      </c>
      <c r="AM149" s="3" t="n"/>
      <c r="AN149" s="3" t="n"/>
      <c r="AO149" s="3" t="n"/>
      <c r="AP149" s="4">
        <f>IF(COUNT(AM149,AN149,AO149)=0,"",ROUND(AVERAGE(AM149,AN149,AO149),3))</f>
        <v/>
      </c>
      <c r="AQ149" s="3">
        <f>IF(AC149="","",ROUND(AC149*IF(M149="",0,M149)*(1+IF(AF149="",0,AF149)),5))</f>
        <v/>
      </c>
      <c r="AR149" s="3" t="inlineStr">
        <is>
          <t>kgCO2e/component</t>
        </is>
      </c>
      <c r="AS149" s="5" t="n"/>
      <c r="AT149" s="9">
        <f>IF(AND($A149&lt;&gt;"",G149=""),"Supplier code empty (High);","")&amp;IF(AND(U149&lt;&gt;"",OR(U149&gt;1,U149&lt;0)),"Incorrect PDS value (High);",IF(AND(U149&lt;&gt;"",U149&gt;0.5),"High PDS value (Medium);",""))&amp;IF(AND(V149&lt;&gt;"",OR(V149&gt;5,V149&lt;1)),"Incorrect DQR value (High);","")&amp;IF(AND(S149&lt;&gt;"",OR(S149&lt;=0,S149&gt;100)),"Unusual PCF value might be wrong (High);","")&amp;IF(AND(AL149&lt;&gt;"",OR(AL149&gt;1,AL149&lt;0)),"Incorrect PDS value (High);",IF(AND(AL149&lt;&gt;"",AL149&gt;0.5),"High PDS value (Medium);",""))&amp;IF(AND(AP149&lt;&gt;"",OR(AP149&gt;5,AP149&lt;1)),"Incorrect DQR value (High);","")&amp;IF(AND($A149&lt;&gt;"",AF149&gt;1),"Incorrect scrap rate (High);",IF(AND($A149&lt;&gt;"",AF149=0),"No scrap rate (No impact);",""))&amp;IF(AND($A149&lt;&gt;"",I149="",J149="",K149=""),"No raw material available (High);","")&amp;""</f>
        <v/>
      </c>
      <c r="AU149" s="9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4" t="n"/>
      <c r="M150" s="4" t="n"/>
      <c r="N150" s="3" t="inlineStr">
        <is>
          <t>kg</t>
        </is>
      </c>
      <c r="O150" s="4" t="n"/>
      <c r="P150" s="3" t="inlineStr">
        <is>
          <t>kg</t>
        </is>
      </c>
      <c r="Q150" s="3" t="n"/>
      <c r="R150" s="5" t="n"/>
      <c r="S150" s="6" t="n"/>
      <c r="T150" s="3" t="inlineStr">
        <is>
          <t>kgCO2e/component</t>
        </is>
      </c>
      <c r="U150" s="7" t="n"/>
      <c r="V150" s="4" t="n"/>
      <c r="W150" s="8" t="n"/>
      <c r="X150" s="3" t="inlineStr">
        <is>
          <t>Supplier</t>
        </is>
      </c>
      <c r="Y150" s="3" t="inlineStr">
        <is>
          <t>No</t>
        </is>
      </c>
      <c r="Z150" s="5" t="n"/>
      <c r="AA150" s="3" t="n"/>
      <c r="AB150" s="3" t="n"/>
      <c r="AC150" s="6" t="n"/>
      <c r="AD150" s="3" t="inlineStr">
        <is>
          <t>kgCO2e/component</t>
        </is>
      </c>
      <c r="AE150" s="3" t="n"/>
      <c r="AF150" s="7" t="n"/>
      <c r="AG150" s="3" t="n"/>
      <c r="AH150" s="3" t="n"/>
      <c r="AI150" s="6" t="n"/>
      <c r="AJ150" s="3" t="inlineStr">
        <is>
          <t>kgCO2e/component</t>
        </is>
      </c>
      <c r="AK150" s="3" t="n"/>
      <c r="AL150" s="7" t="n">
        <v>0</v>
      </c>
      <c r="AM150" s="3" t="n"/>
      <c r="AN150" s="3" t="n"/>
      <c r="AO150" s="3" t="n"/>
      <c r="AP150" s="4">
        <f>IF(COUNT(AM150,AN150,AO150)=0,"",ROUND(AVERAGE(AM150,AN150,AO150),3))</f>
        <v/>
      </c>
      <c r="AQ150" s="3">
        <f>IF(AC150="","",ROUND(AC150*IF(M150="",0,M150)*(1+IF(AF150="",0,AF150)),5))</f>
        <v/>
      </c>
      <c r="AR150" s="3" t="inlineStr">
        <is>
          <t>kgCO2e/component</t>
        </is>
      </c>
      <c r="AS150" s="5" t="n"/>
      <c r="AT150" s="9">
        <f>IF(AND($A150&lt;&gt;"",G150=""),"Supplier code empty (High);","")&amp;IF(AND(U150&lt;&gt;"",OR(U150&gt;1,U150&lt;0)),"Incorrect PDS value (High);",IF(AND(U150&lt;&gt;"",U150&gt;0.5),"High PDS value (Medium);",""))&amp;IF(AND(V150&lt;&gt;"",OR(V150&gt;5,V150&lt;1)),"Incorrect DQR value (High);","")&amp;IF(AND(S150&lt;&gt;"",OR(S150&lt;=0,S150&gt;100)),"Unusual PCF value might be wrong (High);","")&amp;IF(AND(AL150&lt;&gt;"",OR(AL150&gt;1,AL150&lt;0)),"Incorrect PDS value (High);",IF(AND(AL150&lt;&gt;"",AL150&gt;0.5),"High PDS value (Medium);",""))&amp;IF(AND(AP150&lt;&gt;"",OR(AP150&gt;5,AP150&lt;1)),"Incorrect DQR value (High);","")&amp;IF(AND($A150&lt;&gt;"",AF150&gt;1),"Incorrect scrap rate (High);",IF(AND($A150&lt;&gt;"",AF150=0),"No scrap rate (No impact);",""))&amp;IF(AND($A150&lt;&gt;"",I150="",J150="",K150=""),"No raw material available (High);","")&amp;""</f>
        <v/>
      </c>
      <c r="AU150" s="9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4" t="n"/>
      <c r="M151" s="4" t="n"/>
      <c r="N151" s="3" t="inlineStr">
        <is>
          <t>kg</t>
        </is>
      </c>
      <c r="O151" s="4" t="n"/>
      <c r="P151" s="3" t="inlineStr">
        <is>
          <t>kg</t>
        </is>
      </c>
      <c r="Q151" s="3" t="n"/>
      <c r="R151" s="5" t="n"/>
      <c r="S151" s="6" t="n"/>
      <c r="T151" s="3" t="inlineStr">
        <is>
          <t>kgCO2e/component</t>
        </is>
      </c>
      <c r="U151" s="7" t="n"/>
      <c r="V151" s="4" t="n"/>
      <c r="W151" s="8" t="n"/>
      <c r="X151" s="3" t="inlineStr">
        <is>
          <t>Supplier</t>
        </is>
      </c>
      <c r="Y151" s="3" t="inlineStr">
        <is>
          <t>No</t>
        </is>
      </c>
      <c r="Z151" s="5" t="n"/>
      <c r="AA151" s="3" t="n"/>
      <c r="AB151" s="3" t="n"/>
      <c r="AC151" s="6" t="n"/>
      <c r="AD151" s="3" t="inlineStr">
        <is>
          <t>kgCO2e/component</t>
        </is>
      </c>
      <c r="AE151" s="3" t="n"/>
      <c r="AF151" s="7" t="n"/>
      <c r="AG151" s="3" t="n"/>
      <c r="AH151" s="3" t="n"/>
      <c r="AI151" s="6" t="n"/>
      <c r="AJ151" s="3" t="inlineStr">
        <is>
          <t>kgCO2e/component</t>
        </is>
      </c>
      <c r="AK151" s="3" t="n"/>
      <c r="AL151" s="7" t="n">
        <v>0</v>
      </c>
      <c r="AM151" s="3" t="n"/>
      <c r="AN151" s="3" t="n"/>
      <c r="AO151" s="3" t="n"/>
      <c r="AP151" s="4">
        <f>IF(COUNT(AM151,AN151,AO151)=0,"",ROUND(AVERAGE(AM151,AN151,AO151),3))</f>
        <v/>
      </c>
      <c r="AQ151" s="3">
        <f>IF(AC151="","",ROUND(AC151*IF(M151="",0,M151)*(1+IF(AF151="",0,AF151)),5))</f>
        <v/>
      </c>
      <c r="AR151" s="3" t="inlineStr">
        <is>
          <t>kgCO2e/component</t>
        </is>
      </c>
      <c r="AS151" s="5" t="n"/>
      <c r="AT151" s="9">
        <f>IF(AND($A151&lt;&gt;"",G151=""),"Supplier code empty (High);","")&amp;IF(AND(U151&lt;&gt;"",OR(U151&gt;1,U151&lt;0)),"Incorrect PDS value (High);",IF(AND(U151&lt;&gt;"",U151&gt;0.5),"High PDS value (Medium);",""))&amp;IF(AND(V151&lt;&gt;"",OR(V151&gt;5,V151&lt;1)),"Incorrect DQR value (High);","")&amp;IF(AND(S151&lt;&gt;"",OR(S151&lt;=0,S151&gt;100)),"Unusual PCF value might be wrong (High);","")&amp;IF(AND(AL151&lt;&gt;"",OR(AL151&gt;1,AL151&lt;0)),"Incorrect PDS value (High);",IF(AND(AL151&lt;&gt;"",AL151&gt;0.5),"High PDS value (Medium);",""))&amp;IF(AND(AP151&lt;&gt;"",OR(AP151&gt;5,AP151&lt;1)),"Incorrect DQR value (High);","")&amp;IF(AND($A151&lt;&gt;"",AF151&gt;1),"Incorrect scrap rate (High);",IF(AND($A151&lt;&gt;"",AF151=0),"No scrap rate (No impact);",""))&amp;IF(AND($A151&lt;&gt;"",I151="",J151="",K151=""),"No raw material available (High);","")&amp;""</f>
        <v/>
      </c>
      <c r="AU151" s="9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4" t="n"/>
      <c r="M152" s="4" t="n"/>
      <c r="N152" s="3" t="inlineStr">
        <is>
          <t>kg</t>
        </is>
      </c>
      <c r="O152" s="4" t="n"/>
      <c r="P152" s="3" t="inlineStr">
        <is>
          <t>kg</t>
        </is>
      </c>
      <c r="Q152" s="3" t="n"/>
      <c r="R152" s="5" t="n"/>
      <c r="S152" s="6" t="n"/>
      <c r="T152" s="3" t="inlineStr">
        <is>
          <t>kgCO2e/component</t>
        </is>
      </c>
      <c r="U152" s="7" t="n"/>
      <c r="V152" s="4" t="n"/>
      <c r="W152" s="8" t="n"/>
      <c r="X152" s="3" t="inlineStr">
        <is>
          <t>Supplier</t>
        </is>
      </c>
      <c r="Y152" s="3" t="inlineStr">
        <is>
          <t>No</t>
        </is>
      </c>
      <c r="Z152" s="5" t="n"/>
      <c r="AA152" s="3" t="n"/>
      <c r="AB152" s="3" t="n"/>
      <c r="AC152" s="6" t="n"/>
      <c r="AD152" s="3" t="inlineStr">
        <is>
          <t>kgCO2e/component</t>
        </is>
      </c>
      <c r="AE152" s="3" t="n"/>
      <c r="AF152" s="7" t="n"/>
      <c r="AG152" s="3" t="n"/>
      <c r="AH152" s="3" t="n"/>
      <c r="AI152" s="6" t="n"/>
      <c r="AJ152" s="3" t="inlineStr">
        <is>
          <t>kgCO2e/component</t>
        </is>
      </c>
      <c r="AK152" s="3" t="n"/>
      <c r="AL152" s="7" t="n">
        <v>0</v>
      </c>
      <c r="AM152" s="3" t="n"/>
      <c r="AN152" s="3" t="n"/>
      <c r="AO152" s="3" t="n"/>
      <c r="AP152" s="4">
        <f>IF(COUNT(AM152,AN152,AO152)=0,"",ROUND(AVERAGE(AM152,AN152,AO152),3))</f>
        <v/>
      </c>
      <c r="AQ152" s="3">
        <f>IF(AC152="","",ROUND(AC152*IF(M152="",0,M152)*(1+IF(AF152="",0,AF152)),5))</f>
        <v/>
      </c>
      <c r="AR152" s="3" t="inlineStr">
        <is>
          <t>kgCO2e/component</t>
        </is>
      </c>
      <c r="AS152" s="5" t="n"/>
      <c r="AT152" s="9">
        <f>IF(AND($A152&lt;&gt;"",G152=""),"Supplier code empty (High);","")&amp;IF(AND(U152&lt;&gt;"",OR(U152&gt;1,U152&lt;0)),"Incorrect PDS value (High);",IF(AND(U152&lt;&gt;"",U152&gt;0.5),"High PDS value (Medium);",""))&amp;IF(AND(V152&lt;&gt;"",OR(V152&gt;5,V152&lt;1)),"Incorrect DQR value (High);","")&amp;IF(AND(S152&lt;&gt;"",OR(S152&lt;=0,S152&gt;100)),"Unusual PCF value might be wrong (High);","")&amp;IF(AND(AL152&lt;&gt;"",OR(AL152&gt;1,AL152&lt;0)),"Incorrect PDS value (High);",IF(AND(AL152&lt;&gt;"",AL152&gt;0.5),"High PDS value (Medium);",""))&amp;IF(AND(AP152&lt;&gt;"",OR(AP152&gt;5,AP152&lt;1)),"Incorrect DQR value (High);","")&amp;IF(AND($A152&lt;&gt;"",AF152&gt;1),"Incorrect scrap rate (High);",IF(AND($A152&lt;&gt;"",AF152=0),"No scrap rate (No impact);",""))&amp;IF(AND($A152&lt;&gt;"",I152="",J152="",K152=""),"No raw material available (High);","")&amp;""</f>
        <v/>
      </c>
      <c r="AU152" s="9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4" t="n"/>
      <c r="M153" s="4" t="n"/>
      <c r="N153" s="3" t="inlineStr">
        <is>
          <t>kg</t>
        </is>
      </c>
      <c r="O153" s="4" t="n"/>
      <c r="P153" s="3" t="inlineStr">
        <is>
          <t>kg</t>
        </is>
      </c>
      <c r="Q153" s="3" t="n"/>
      <c r="R153" s="5" t="n"/>
      <c r="S153" s="6" t="n"/>
      <c r="T153" s="3" t="inlineStr">
        <is>
          <t>kgCO2e/component</t>
        </is>
      </c>
      <c r="U153" s="7" t="n"/>
      <c r="V153" s="4" t="n"/>
      <c r="W153" s="8" t="n"/>
      <c r="X153" s="3" t="inlineStr">
        <is>
          <t>Supplier</t>
        </is>
      </c>
      <c r="Y153" s="3" t="inlineStr">
        <is>
          <t>No</t>
        </is>
      </c>
      <c r="Z153" s="5" t="n"/>
      <c r="AA153" s="3" t="n"/>
      <c r="AB153" s="3" t="n"/>
      <c r="AC153" s="6" t="n"/>
      <c r="AD153" s="3" t="inlineStr">
        <is>
          <t>kgCO2e/component</t>
        </is>
      </c>
      <c r="AE153" s="3" t="n"/>
      <c r="AF153" s="7" t="n"/>
      <c r="AG153" s="3" t="n"/>
      <c r="AH153" s="3" t="n"/>
      <c r="AI153" s="6" t="n"/>
      <c r="AJ153" s="3" t="inlineStr">
        <is>
          <t>kgCO2e/component</t>
        </is>
      </c>
      <c r="AK153" s="3" t="n"/>
      <c r="AL153" s="7" t="n">
        <v>0</v>
      </c>
      <c r="AM153" s="3" t="n"/>
      <c r="AN153" s="3" t="n"/>
      <c r="AO153" s="3" t="n"/>
      <c r="AP153" s="4">
        <f>IF(COUNT(AM153,AN153,AO153)=0,"",ROUND(AVERAGE(AM153,AN153,AO153),3))</f>
        <v/>
      </c>
      <c r="AQ153" s="3">
        <f>IF(AC153="","",ROUND(AC153*IF(M153="",0,M153)*(1+IF(AF153="",0,AF153)),5))</f>
        <v/>
      </c>
      <c r="AR153" s="3" t="inlineStr">
        <is>
          <t>kgCO2e/component</t>
        </is>
      </c>
      <c r="AS153" s="5" t="n"/>
      <c r="AT153" s="9">
        <f>IF(AND($A153&lt;&gt;"",G153=""),"Supplier code empty (High);","")&amp;IF(AND(U153&lt;&gt;"",OR(U153&gt;1,U153&lt;0)),"Incorrect PDS value (High);",IF(AND(U153&lt;&gt;"",U153&gt;0.5),"High PDS value (Medium);",""))&amp;IF(AND(V153&lt;&gt;"",OR(V153&gt;5,V153&lt;1)),"Incorrect DQR value (High);","")&amp;IF(AND(S153&lt;&gt;"",OR(S153&lt;=0,S153&gt;100)),"Unusual PCF value might be wrong (High);","")&amp;IF(AND(AL153&lt;&gt;"",OR(AL153&gt;1,AL153&lt;0)),"Incorrect PDS value (High);",IF(AND(AL153&lt;&gt;"",AL153&gt;0.5),"High PDS value (Medium);",""))&amp;IF(AND(AP153&lt;&gt;"",OR(AP153&gt;5,AP153&lt;1)),"Incorrect DQR value (High);","")&amp;IF(AND($A153&lt;&gt;"",AF153&gt;1),"Incorrect scrap rate (High);",IF(AND($A153&lt;&gt;"",AF153=0),"No scrap rate (No impact);",""))&amp;IF(AND($A153&lt;&gt;"",I153="",J153="",K153=""),"No raw material available (High);","")&amp;""</f>
        <v/>
      </c>
      <c r="AU153" s="9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4" t="n"/>
      <c r="M154" s="4" t="n"/>
      <c r="N154" s="3" t="inlineStr">
        <is>
          <t>kg</t>
        </is>
      </c>
      <c r="O154" s="4" t="n"/>
      <c r="P154" s="3" t="inlineStr">
        <is>
          <t>kg</t>
        </is>
      </c>
      <c r="Q154" s="3" t="n"/>
      <c r="R154" s="5" t="n"/>
      <c r="S154" s="6" t="n"/>
      <c r="T154" s="3" t="inlineStr">
        <is>
          <t>kgCO2e/component</t>
        </is>
      </c>
      <c r="U154" s="7" t="n"/>
      <c r="V154" s="4" t="n"/>
      <c r="W154" s="8" t="n"/>
      <c r="X154" s="3" t="inlineStr">
        <is>
          <t>Supplier</t>
        </is>
      </c>
      <c r="Y154" s="3" t="inlineStr">
        <is>
          <t>No</t>
        </is>
      </c>
      <c r="Z154" s="5" t="n"/>
      <c r="AA154" s="3" t="n"/>
      <c r="AB154" s="3" t="n"/>
      <c r="AC154" s="6" t="n"/>
      <c r="AD154" s="3" t="inlineStr">
        <is>
          <t>kgCO2e/component</t>
        </is>
      </c>
      <c r="AE154" s="3" t="n"/>
      <c r="AF154" s="7" t="n"/>
      <c r="AG154" s="3" t="n"/>
      <c r="AH154" s="3" t="n"/>
      <c r="AI154" s="6" t="n"/>
      <c r="AJ154" s="3" t="inlineStr">
        <is>
          <t>kgCO2e/component</t>
        </is>
      </c>
      <c r="AK154" s="3" t="n"/>
      <c r="AL154" s="7" t="n">
        <v>0</v>
      </c>
      <c r="AM154" s="3" t="n"/>
      <c r="AN154" s="3" t="n"/>
      <c r="AO154" s="3" t="n"/>
      <c r="AP154" s="4">
        <f>IF(COUNT(AM154,AN154,AO154)=0,"",ROUND(AVERAGE(AM154,AN154,AO154),3))</f>
        <v/>
      </c>
      <c r="AQ154" s="3">
        <f>IF(AC154="","",ROUND(AC154*IF(M154="",0,M154)*(1+IF(AF154="",0,AF154)),5))</f>
        <v/>
      </c>
      <c r="AR154" s="3" t="inlineStr">
        <is>
          <t>kgCO2e/component</t>
        </is>
      </c>
      <c r="AS154" s="5" t="n"/>
      <c r="AT154" s="9">
        <f>IF(AND($A154&lt;&gt;"",G154=""),"Supplier code empty (High);","")&amp;IF(AND(U154&lt;&gt;"",OR(U154&gt;1,U154&lt;0)),"Incorrect PDS value (High);",IF(AND(U154&lt;&gt;"",U154&gt;0.5),"High PDS value (Medium);",""))&amp;IF(AND(V154&lt;&gt;"",OR(V154&gt;5,V154&lt;1)),"Incorrect DQR value (High);","")&amp;IF(AND(S154&lt;&gt;"",OR(S154&lt;=0,S154&gt;100)),"Unusual PCF value might be wrong (High);","")&amp;IF(AND(AL154&lt;&gt;"",OR(AL154&gt;1,AL154&lt;0)),"Incorrect PDS value (High);",IF(AND(AL154&lt;&gt;"",AL154&gt;0.5),"High PDS value (Medium);",""))&amp;IF(AND(AP154&lt;&gt;"",OR(AP154&gt;5,AP154&lt;1)),"Incorrect DQR value (High);","")&amp;IF(AND($A154&lt;&gt;"",AF154&gt;1),"Incorrect scrap rate (High);",IF(AND($A154&lt;&gt;"",AF154=0),"No scrap rate (No impact);",""))&amp;IF(AND($A154&lt;&gt;"",I154="",J154="",K154=""),"No raw material available (High);","")&amp;""</f>
        <v/>
      </c>
      <c r="AU154" s="9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4" t="n"/>
      <c r="M155" s="4" t="n"/>
      <c r="N155" s="3" t="inlineStr">
        <is>
          <t>kg</t>
        </is>
      </c>
      <c r="O155" s="4" t="n"/>
      <c r="P155" s="3" t="inlineStr">
        <is>
          <t>kg</t>
        </is>
      </c>
      <c r="Q155" s="3" t="n"/>
      <c r="R155" s="5" t="n"/>
      <c r="S155" s="6" t="n"/>
      <c r="T155" s="3" t="inlineStr">
        <is>
          <t>kgCO2e/component</t>
        </is>
      </c>
      <c r="U155" s="7" t="n"/>
      <c r="V155" s="4" t="n"/>
      <c r="W155" s="8" t="n"/>
      <c r="X155" s="3" t="inlineStr">
        <is>
          <t>Supplier</t>
        </is>
      </c>
      <c r="Y155" s="3" t="inlineStr">
        <is>
          <t>No</t>
        </is>
      </c>
      <c r="Z155" s="5" t="n"/>
      <c r="AA155" s="3" t="n"/>
      <c r="AB155" s="3" t="n"/>
      <c r="AC155" s="6" t="n"/>
      <c r="AD155" s="3" t="inlineStr">
        <is>
          <t>kgCO2e/component</t>
        </is>
      </c>
      <c r="AE155" s="3" t="n"/>
      <c r="AF155" s="7" t="n"/>
      <c r="AG155" s="3" t="n"/>
      <c r="AH155" s="3" t="n"/>
      <c r="AI155" s="6" t="n"/>
      <c r="AJ155" s="3" t="inlineStr">
        <is>
          <t>kgCO2e/component</t>
        </is>
      </c>
      <c r="AK155" s="3" t="n"/>
      <c r="AL155" s="7" t="n">
        <v>0</v>
      </c>
      <c r="AM155" s="3" t="n"/>
      <c r="AN155" s="3" t="n"/>
      <c r="AO155" s="3" t="n"/>
      <c r="AP155" s="4">
        <f>IF(COUNT(AM155,AN155,AO155)=0,"",ROUND(AVERAGE(AM155,AN155,AO155),3))</f>
        <v/>
      </c>
      <c r="AQ155" s="3">
        <f>IF(AC155="","",ROUND(AC155*IF(M155="",0,M155)*(1+IF(AF155="",0,AF155)),5))</f>
        <v/>
      </c>
      <c r="AR155" s="3" t="inlineStr">
        <is>
          <t>kgCO2e/component</t>
        </is>
      </c>
      <c r="AS155" s="5" t="n"/>
      <c r="AT155" s="9">
        <f>IF(AND($A155&lt;&gt;"",G155=""),"Supplier code empty (High);","")&amp;IF(AND(U155&lt;&gt;"",OR(U155&gt;1,U155&lt;0)),"Incorrect PDS value (High);",IF(AND(U155&lt;&gt;"",U155&gt;0.5),"High PDS value (Medium);",""))&amp;IF(AND(V155&lt;&gt;"",OR(V155&gt;5,V155&lt;1)),"Incorrect DQR value (High);","")&amp;IF(AND(S155&lt;&gt;"",OR(S155&lt;=0,S155&gt;100)),"Unusual PCF value might be wrong (High);","")&amp;IF(AND(AL155&lt;&gt;"",OR(AL155&gt;1,AL155&lt;0)),"Incorrect PDS value (High);",IF(AND(AL155&lt;&gt;"",AL155&gt;0.5),"High PDS value (Medium);",""))&amp;IF(AND(AP155&lt;&gt;"",OR(AP155&gt;5,AP155&lt;1)),"Incorrect DQR value (High);","")&amp;IF(AND($A155&lt;&gt;"",AF155&gt;1),"Incorrect scrap rate (High);",IF(AND($A155&lt;&gt;"",AF155=0),"No scrap rate (No impact);",""))&amp;IF(AND($A155&lt;&gt;"",I155="",J155="",K155=""),"No raw material available (High);","")&amp;""</f>
        <v/>
      </c>
      <c r="AU155" s="9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4" t="n"/>
      <c r="M156" s="4" t="n"/>
      <c r="N156" s="3" t="inlineStr">
        <is>
          <t>kg</t>
        </is>
      </c>
      <c r="O156" s="4" t="n"/>
      <c r="P156" s="3" t="inlineStr">
        <is>
          <t>kg</t>
        </is>
      </c>
      <c r="Q156" s="3" t="n"/>
      <c r="R156" s="5" t="n"/>
      <c r="S156" s="6" t="n"/>
      <c r="T156" s="3" t="inlineStr">
        <is>
          <t>kgCO2e/component</t>
        </is>
      </c>
      <c r="U156" s="7" t="n"/>
      <c r="V156" s="4" t="n"/>
      <c r="W156" s="8" t="n"/>
      <c r="X156" s="3" t="inlineStr">
        <is>
          <t>Supplier</t>
        </is>
      </c>
      <c r="Y156" s="3" t="inlineStr">
        <is>
          <t>No</t>
        </is>
      </c>
      <c r="Z156" s="5" t="n"/>
      <c r="AA156" s="3" t="n"/>
      <c r="AB156" s="3" t="n"/>
      <c r="AC156" s="6" t="n"/>
      <c r="AD156" s="3" t="inlineStr">
        <is>
          <t>kgCO2e/component</t>
        </is>
      </c>
      <c r="AE156" s="3" t="n"/>
      <c r="AF156" s="7" t="n"/>
      <c r="AG156" s="3" t="n"/>
      <c r="AH156" s="3" t="n"/>
      <c r="AI156" s="6" t="n"/>
      <c r="AJ156" s="3" t="inlineStr">
        <is>
          <t>kgCO2e/component</t>
        </is>
      </c>
      <c r="AK156" s="3" t="n"/>
      <c r="AL156" s="7" t="n">
        <v>0</v>
      </c>
      <c r="AM156" s="3" t="n"/>
      <c r="AN156" s="3" t="n"/>
      <c r="AO156" s="3" t="n"/>
      <c r="AP156" s="4">
        <f>IF(COUNT(AM156,AN156,AO156)=0,"",ROUND(AVERAGE(AM156,AN156,AO156),3))</f>
        <v/>
      </c>
      <c r="AQ156" s="3">
        <f>IF(AC156="","",ROUND(AC156*IF(M156="",0,M156)*(1+IF(AF156="",0,AF156)),5))</f>
        <v/>
      </c>
      <c r="AR156" s="3" t="inlineStr">
        <is>
          <t>kgCO2e/component</t>
        </is>
      </c>
      <c r="AS156" s="5" t="n"/>
      <c r="AT156" s="9">
        <f>IF(AND($A156&lt;&gt;"",G156=""),"Supplier code empty (High);","")&amp;IF(AND(U156&lt;&gt;"",OR(U156&gt;1,U156&lt;0)),"Incorrect PDS value (High);",IF(AND(U156&lt;&gt;"",U156&gt;0.5),"High PDS value (Medium);",""))&amp;IF(AND(V156&lt;&gt;"",OR(V156&gt;5,V156&lt;1)),"Incorrect DQR value (High);","")&amp;IF(AND(S156&lt;&gt;"",OR(S156&lt;=0,S156&gt;100)),"Unusual PCF value might be wrong (High);","")&amp;IF(AND(AL156&lt;&gt;"",OR(AL156&gt;1,AL156&lt;0)),"Incorrect PDS value (High);",IF(AND(AL156&lt;&gt;"",AL156&gt;0.5),"High PDS value (Medium);",""))&amp;IF(AND(AP156&lt;&gt;"",OR(AP156&gt;5,AP156&lt;1)),"Incorrect DQR value (High);","")&amp;IF(AND($A156&lt;&gt;"",AF156&gt;1),"Incorrect scrap rate (High);",IF(AND($A156&lt;&gt;"",AF156=0),"No scrap rate (No impact);",""))&amp;IF(AND($A156&lt;&gt;"",I156="",J156="",K156=""),"No raw material available (High);","")&amp;""</f>
        <v/>
      </c>
      <c r="AU156" s="9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4" t="n"/>
      <c r="M157" s="4" t="n"/>
      <c r="N157" s="3" t="inlineStr">
        <is>
          <t>kg</t>
        </is>
      </c>
      <c r="O157" s="4" t="n"/>
      <c r="P157" s="3" t="inlineStr">
        <is>
          <t>kg</t>
        </is>
      </c>
      <c r="Q157" s="3" t="n"/>
      <c r="R157" s="5" t="n"/>
      <c r="S157" s="6" t="n"/>
      <c r="T157" s="3" t="inlineStr">
        <is>
          <t>kgCO2e/component</t>
        </is>
      </c>
      <c r="U157" s="7" t="n"/>
      <c r="V157" s="4" t="n"/>
      <c r="W157" s="8" t="n"/>
      <c r="X157" s="3" t="inlineStr">
        <is>
          <t>Supplier</t>
        </is>
      </c>
      <c r="Y157" s="3" t="inlineStr">
        <is>
          <t>No</t>
        </is>
      </c>
      <c r="Z157" s="5" t="n"/>
      <c r="AA157" s="3" t="n"/>
      <c r="AB157" s="3" t="n"/>
      <c r="AC157" s="6" t="n"/>
      <c r="AD157" s="3" t="inlineStr">
        <is>
          <t>kgCO2e/component</t>
        </is>
      </c>
      <c r="AE157" s="3" t="n"/>
      <c r="AF157" s="7" t="n"/>
      <c r="AG157" s="3" t="n"/>
      <c r="AH157" s="3" t="n"/>
      <c r="AI157" s="6" t="n"/>
      <c r="AJ157" s="3" t="inlineStr">
        <is>
          <t>kgCO2e/component</t>
        </is>
      </c>
      <c r="AK157" s="3" t="n"/>
      <c r="AL157" s="7" t="n">
        <v>0</v>
      </c>
      <c r="AM157" s="3" t="n"/>
      <c r="AN157" s="3" t="n"/>
      <c r="AO157" s="3" t="n"/>
      <c r="AP157" s="4">
        <f>IF(COUNT(AM157,AN157,AO157)=0,"",ROUND(AVERAGE(AM157,AN157,AO157),3))</f>
        <v/>
      </c>
      <c r="AQ157" s="3">
        <f>IF(AC157="","",ROUND(AC157*IF(M157="",0,M157)*(1+IF(AF157="",0,AF157)),5))</f>
        <v/>
      </c>
      <c r="AR157" s="3" t="inlineStr">
        <is>
          <t>kgCO2e/component</t>
        </is>
      </c>
      <c r="AS157" s="5" t="n"/>
      <c r="AT157" s="9">
        <f>IF(AND($A157&lt;&gt;"",G157=""),"Supplier code empty (High);","")&amp;IF(AND(U157&lt;&gt;"",OR(U157&gt;1,U157&lt;0)),"Incorrect PDS value (High);",IF(AND(U157&lt;&gt;"",U157&gt;0.5),"High PDS value (Medium);",""))&amp;IF(AND(V157&lt;&gt;"",OR(V157&gt;5,V157&lt;1)),"Incorrect DQR value (High);","")&amp;IF(AND(S157&lt;&gt;"",OR(S157&lt;=0,S157&gt;100)),"Unusual PCF value might be wrong (High);","")&amp;IF(AND(AL157&lt;&gt;"",OR(AL157&gt;1,AL157&lt;0)),"Incorrect PDS value (High);",IF(AND(AL157&lt;&gt;"",AL157&gt;0.5),"High PDS value (Medium);",""))&amp;IF(AND(AP157&lt;&gt;"",OR(AP157&gt;5,AP157&lt;1)),"Incorrect DQR value (High);","")&amp;IF(AND($A157&lt;&gt;"",AF157&gt;1),"Incorrect scrap rate (High);",IF(AND($A157&lt;&gt;"",AF157=0),"No scrap rate (No impact);",""))&amp;IF(AND($A157&lt;&gt;"",I157="",J157="",K157=""),"No raw material available (High);","")&amp;""</f>
        <v/>
      </c>
      <c r="AU157" s="9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4" t="n"/>
      <c r="M158" s="4" t="n"/>
      <c r="N158" s="3" t="inlineStr">
        <is>
          <t>kg</t>
        </is>
      </c>
      <c r="O158" s="4" t="n"/>
      <c r="P158" s="3" t="inlineStr">
        <is>
          <t>kg</t>
        </is>
      </c>
      <c r="Q158" s="3" t="n"/>
      <c r="R158" s="5" t="n"/>
      <c r="S158" s="6" t="n"/>
      <c r="T158" s="3" t="inlineStr">
        <is>
          <t>kgCO2e/component</t>
        </is>
      </c>
      <c r="U158" s="7" t="n"/>
      <c r="V158" s="4" t="n"/>
      <c r="W158" s="8" t="n"/>
      <c r="X158" s="3" t="inlineStr">
        <is>
          <t>Supplier</t>
        </is>
      </c>
      <c r="Y158" s="3" t="inlineStr">
        <is>
          <t>No</t>
        </is>
      </c>
      <c r="Z158" s="5" t="n"/>
      <c r="AA158" s="3" t="n"/>
      <c r="AB158" s="3" t="n"/>
      <c r="AC158" s="6" t="n"/>
      <c r="AD158" s="3" t="inlineStr">
        <is>
          <t>kgCO2e/component</t>
        </is>
      </c>
      <c r="AE158" s="3" t="n"/>
      <c r="AF158" s="7" t="n"/>
      <c r="AG158" s="3" t="n"/>
      <c r="AH158" s="3" t="n"/>
      <c r="AI158" s="6" t="n"/>
      <c r="AJ158" s="3" t="inlineStr">
        <is>
          <t>kgCO2e/component</t>
        </is>
      </c>
      <c r="AK158" s="3" t="n"/>
      <c r="AL158" s="7" t="n">
        <v>0</v>
      </c>
      <c r="AM158" s="3" t="n"/>
      <c r="AN158" s="3" t="n"/>
      <c r="AO158" s="3" t="n"/>
      <c r="AP158" s="4">
        <f>IF(COUNT(AM158,AN158,AO158)=0,"",ROUND(AVERAGE(AM158,AN158,AO158),3))</f>
        <v/>
      </c>
      <c r="AQ158" s="3">
        <f>IF(AC158="","",ROUND(AC158*IF(M158="",0,M158)*(1+IF(AF158="",0,AF158)),5))</f>
        <v/>
      </c>
      <c r="AR158" s="3" t="inlineStr">
        <is>
          <t>kgCO2e/component</t>
        </is>
      </c>
      <c r="AS158" s="5" t="n"/>
      <c r="AT158" s="9">
        <f>IF(AND($A158&lt;&gt;"",G158=""),"Supplier code empty (High);","")&amp;IF(AND(U158&lt;&gt;"",OR(U158&gt;1,U158&lt;0)),"Incorrect PDS value (High);",IF(AND(U158&lt;&gt;"",U158&gt;0.5),"High PDS value (Medium);",""))&amp;IF(AND(V158&lt;&gt;"",OR(V158&gt;5,V158&lt;1)),"Incorrect DQR value (High);","")&amp;IF(AND(S158&lt;&gt;"",OR(S158&lt;=0,S158&gt;100)),"Unusual PCF value might be wrong (High);","")&amp;IF(AND(AL158&lt;&gt;"",OR(AL158&gt;1,AL158&lt;0)),"Incorrect PDS value (High);",IF(AND(AL158&lt;&gt;"",AL158&gt;0.5),"High PDS value (Medium);",""))&amp;IF(AND(AP158&lt;&gt;"",OR(AP158&gt;5,AP158&lt;1)),"Incorrect DQR value (High);","")&amp;IF(AND($A158&lt;&gt;"",AF158&gt;1),"Incorrect scrap rate (High);",IF(AND($A158&lt;&gt;"",AF158=0),"No scrap rate (No impact);",""))&amp;IF(AND($A158&lt;&gt;"",I158="",J158="",K158=""),"No raw material available (High);","")&amp;""</f>
        <v/>
      </c>
      <c r="AU158" s="9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4" t="n"/>
      <c r="M159" s="4" t="n"/>
      <c r="N159" s="3" t="inlineStr">
        <is>
          <t>kg</t>
        </is>
      </c>
      <c r="O159" s="4" t="n"/>
      <c r="P159" s="3" t="inlineStr">
        <is>
          <t>kg</t>
        </is>
      </c>
      <c r="Q159" s="3" t="n"/>
      <c r="R159" s="5" t="n"/>
      <c r="S159" s="6" t="n"/>
      <c r="T159" s="3" t="inlineStr">
        <is>
          <t>kgCO2e/component</t>
        </is>
      </c>
      <c r="U159" s="7" t="n"/>
      <c r="V159" s="4" t="n"/>
      <c r="W159" s="8" t="n"/>
      <c r="X159" s="3" t="inlineStr">
        <is>
          <t>Supplier</t>
        </is>
      </c>
      <c r="Y159" s="3" t="inlineStr">
        <is>
          <t>No</t>
        </is>
      </c>
      <c r="Z159" s="5" t="n"/>
      <c r="AA159" s="3" t="n"/>
      <c r="AB159" s="3" t="n"/>
      <c r="AC159" s="6" t="n"/>
      <c r="AD159" s="3" t="inlineStr">
        <is>
          <t>kgCO2e/component</t>
        </is>
      </c>
      <c r="AE159" s="3" t="n"/>
      <c r="AF159" s="7" t="n"/>
      <c r="AG159" s="3" t="n"/>
      <c r="AH159" s="3" t="n"/>
      <c r="AI159" s="6" t="n"/>
      <c r="AJ159" s="3" t="inlineStr">
        <is>
          <t>kgCO2e/component</t>
        </is>
      </c>
      <c r="AK159" s="3" t="n"/>
      <c r="AL159" s="7" t="n">
        <v>0</v>
      </c>
      <c r="AM159" s="3" t="n"/>
      <c r="AN159" s="3" t="n"/>
      <c r="AO159" s="3" t="n"/>
      <c r="AP159" s="4">
        <f>IF(COUNT(AM159,AN159,AO159)=0,"",ROUND(AVERAGE(AM159,AN159,AO159),3))</f>
        <v/>
      </c>
      <c r="AQ159" s="3">
        <f>IF(AC159="","",ROUND(AC159*IF(M159="",0,M159)*(1+IF(AF159="",0,AF159)),5))</f>
        <v/>
      </c>
      <c r="AR159" s="3" t="inlineStr">
        <is>
          <t>kgCO2e/component</t>
        </is>
      </c>
      <c r="AS159" s="5" t="n"/>
      <c r="AT159" s="9">
        <f>IF(AND($A159&lt;&gt;"",G159=""),"Supplier code empty (High);","")&amp;IF(AND(U159&lt;&gt;"",OR(U159&gt;1,U159&lt;0)),"Incorrect PDS value (High);",IF(AND(U159&lt;&gt;"",U159&gt;0.5),"High PDS value (Medium);",""))&amp;IF(AND(V159&lt;&gt;"",OR(V159&gt;5,V159&lt;1)),"Incorrect DQR value (High);","")&amp;IF(AND(S159&lt;&gt;"",OR(S159&lt;=0,S159&gt;100)),"Unusual PCF value might be wrong (High);","")&amp;IF(AND(AL159&lt;&gt;"",OR(AL159&gt;1,AL159&lt;0)),"Incorrect PDS value (High);",IF(AND(AL159&lt;&gt;"",AL159&gt;0.5),"High PDS value (Medium);",""))&amp;IF(AND(AP159&lt;&gt;"",OR(AP159&gt;5,AP159&lt;1)),"Incorrect DQR value (High);","")&amp;IF(AND($A159&lt;&gt;"",AF159&gt;1),"Incorrect scrap rate (High);",IF(AND($A159&lt;&gt;"",AF159=0),"No scrap rate (No impact);",""))&amp;IF(AND($A159&lt;&gt;"",I159="",J159="",K159=""),"No raw material available (High);","")&amp;""</f>
        <v/>
      </c>
      <c r="AU159" s="9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4" t="n"/>
      <c r="M160" s="4" t="n"/>
      <c r="N160" s="3" t="inlineStr">
        <is>
          <t>kg</t>
        </is>
      </c>
      <c r="O160" s="4" t="n"/>
      <c r="P160" s="3" t="inlineStr">
        <is>
          <t>kg</t>
        </is>
      </c>
      <c r="Q160" s="3" t="n"/>
      <c r="R160" s="5" t="n"/>
      <c r="S160" s="6" t="n"/>
      <c r="T160" s="3" t="inlineStr">
        <is>
          <t>kgCO2e/component</t>
        </is>
      </c>
      <c r="U160" s="7" t="n"/>
      <c r="V160" s="4" t="n"/>
      <c r="W160" s="8" t="n"/>
      <c r="X160" s="3" t="inlineStr">
        <is>
          <t>Supplier</t>
        </is>
      </c>
      <c r="Y160" s="3" t="inlineStr">
        <is>
          <t>No</t>
        </is>
      </c>
      <c r="Z160" s="5" t="n"/>
      <c r="AA160" s="3" t="n"/>
      <c r="AB160" s="3" t="n"/>
      <c r="AC160" s="6" t="n"/>
      <c r="AD160" s="3" t="inlineStr">
        <is>
          <t>kgCO2e/component</t>
        </is>
      </c>
      <c r="AE160" s="3" t="n"/>
      <c r="AF160" s="7" t="n"/>
      <c r="AG160" s="3" t="n"/>
      <c r="AH160" s="3" t="n"/>
      <c r="AI160" s="6" t="n"/>
      <c r="AJ160" s="3" t="inlineStr">
        <is>
          <t>kgCO2e/component</t>
        </is>
      </c>
      <c r="AK160" s="3" t="n"/>
      <c r="AL160" s="7" t="n">
        <v>0</v>
      </c>
      <c r="AM160" s="3" t="n"/>
      <c r="AN160" s="3" t="n"/>
      <c r="AO160" s="3" t="n"/>
      <c r="AP160" s="4">
        <f>IF(COUNT(AM160,AN160,AO160)=0,"",ROUND(AVERAGE(AM160,AN160,AO160),3))</f>
        <v/>
      </c>
      <c r="AQ160" s="3">
        <f>IF(AC160="","",ROUND(AC160*IF(M160="",0,M160)*(1+IF(AF160="",0,AF160)),5))</f>
        <v/>
      </c>
      <c r="AR160" s="3" t="inlineStr">
        <is>
          <t>kgCO2e/component</t>
        </is>
      </c>
      <c r="AS160" s="5" t="n"/>
      <c r="AT160" s="9">
        <f>IF(AND($A160&lt;&gt;"",G160=""),"Supplier code empty (High);","")&amp;IF(AND(U160&lt;&gt;"",OR(U160&gt;1,U160&lt;0)),"Incorrect PDS value (High);",IF(AND(U160&lt;&gt;"",U160&gt;0.5),"High PDS value (Medium);",""))&amp;IF(AND(V160&lt;&gt;"",OR(V160&gt;5,V160&lt;1)),"Incorrect DQR value (High);","")&amp;IF(AND(S160&lt;&gt;"",OR(S160&lt;=0,S160&gt;100)),"Unusual PCF value might be wrong (High);","")&amp;IF(AND(AL160&lt;&gt;"",OR(AL160&gt;1,AL160&lt;0)),"Incorrect PDS value (High);",IF(AND(AL160&lt;&gt;"",AL160&gt;0.5),"High PDS value (Medium);",""))&amp;IF(AND(AP160&lt;&gt;"",OR(AP160&gt;5,AP160&lt;1)),"Incorrect DQR value (High);","")&amp;IF(AND($A160&lt;&gt;"",AF160&gt;1),"Incorrect scrap rate (High);",IF(AND($A160&lt;&gt;"",AF160=0),"No scrap rate (No impact);",""))&amp;IF(AND($A160&lt;&gt;"",I160="",J160="",K160=""),"No raw material available (High);","")&amp;""</f>
        <v/>
      </c>
      <c r="AU160" s="9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4" t="n"/>
      <c r="M161" s="4" t="n"/>
      <c r="N161" s="3" t="inlineStr">
        <is>
          <t>kg</t>
        </is>
      </c>
      <c r="O161" s="4" t="n"/>
      <c r="P161" s="3" t="inlineStr">
        <is>
          <t>kg</t>
        </is>
      </c>
      <c r="Q161" s="3" t="n"/>
      <c r="R161" s="5" t="n"/>
      <c r="S161" s="6" t="n"/>
      <c r="T161" s="3" t="inlineStr">
        <is>
          <t>kgCO2e/component</t>
        </is>
      </c>
      <c r="U161" s="7" t="n"/>
      <c r="V161" s="4" t="n"/>
      <c r="W161" s="8" t="n"/>
      <c r="X161" s="3" t="inlineStr">
        <is>
          <t>Supplier</t>
        </is>
      </c>
      <c r="Y161" s="3" t="inlineStr">
        <is>
          <t>No</t>
        </is>
      </c>
      <c r="Z161" s="5" t="n"/>
      <c r="AA161" s="3" t="n"/>
      <c r="AB161" s="3" t="n"/>
      <c r="AC161" s="6" t="n"/>
      <c r="AD161" s="3" t="inlineStr">
        <is>
          <t>kgCO2e/component</t>
        </is>
      </c>
      <c r="AE161" s="3" t="n"/>
      <c r="AF161" s="7" t="n"/>
      <c r="AG161" s="3" t="n"/>
      <c r="AH161" s="3" t="n"/>
      <c r="AI161" s="6" t="n"/>
      <c r="AJ161" s="3" t="inlineStr">
        <is>
          <t>kgCO2e/component</t>
        </is>
      </c>
      <c r="AK161" s="3" t="n"/>
      <c r="AL161" s="7" t="n">
        <v>0</v>
      </c>
      <c r="AM161" s="3" t="n"/>
      <c r="AN161" s="3" t="n"/>
      <c r="AO161" s="3" t="n"/>
      <c r="AP161" s="4">
        <f>IF(COUNT(AM161,AN161,AO161)=0,"",ROUND(AVERAGE(AM161,AN161,AO161),3))</f>
        <v/>
      </c>
      <c r="AQ161" s="3">
        <f>IF(AC161="","",ROUND(AC161*IF(M161="",0,M161)*(1+IF(AF161="",0,AF161)),5))</f>
        <v/>
      </c>
      <c r="AR161" s="3" t="inlineStr">
        <is>
          <t>kgCO2e/component</t>
        </is>
      </c>
      <c r="AS161" s="5" t="n"/>
      <c r="AT161" s="9">
        <f>IF(AND($A161&lt;&gt;"",G161=""),"Supplier code empty (High);","")&amp;IF(AND(U161&lt;&gt;"",OR(U161&gt;1,U161&lt;0)),"Incorrect PDS value (High);",IF(AND(U161&lt;&gt;"",U161&gt;0.5),"High PDS value (Medium);",""))&amp;IF(AND(V161&lt;&gt;"",OR(V161&gt;5,V161&lt;1)),"Incorrect DQR value (High);","")&amp;IF(AND(S161&lt;&gt;"",OR(S161&lt;=0,S161&gt;100)),"Unusual PCF value might be wrong (High);","")&amp;IF(AND(AL161&lt;&gt;"",OR(AL161&gt;1,AL161&lt;0)),"Incorrect PDS value (High);",IF(AND(AL161&lt;&gt;"",AL161&gt;0.5),"High PDS value (Medium);",""))&amp;IF(AND(AP161&lt;&gt;"",OR(AP161&gt;5,AP161&lt;1)),"Incorrect DQR value (High);","")&amp;IF(AND($A161&lt;&gt;"",AF161&gt;1),"Incorrect scrap rate (High);",IF(AND($A161&lt;&gt;"",AF161=0),"No scrap rate (No impact);",""))&amp;IF(AND($A161&lt;&gt;"",I161="",J161="",K161=""),"No raw material available (High);","")&amp;""</f>
        <v/>
      </c>
      <c r="AU161" s="9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4" t="n"/>
      <c r="M162" s="4" t="n"/>
      <c r="N162" s="3" t="inlineStr">
        <is>
          <t>kg</t>
        </is>
      </c>
      <c r="O162" s="4" t="n"/>
      <c r="P162" s="3" t="inlineStr">
        <is>
          <t>kg</t>
        </is>
      </c>
      <c r="Q162" s="3" t="n"/>
      <c r="R162" s="5" t="n"/>
      <c r="S162" s="6" t="n"/>
      <c r="T162" s="3" t="inlineStr">
        <is>
          <t>kgCO2e/component</t>
        </is>
      </c>
      <c r="U162" s="7" t="n"/>
      <c r="V162" s="4" t="n"/>
      <c r="W162" s="8" t="n"/>
      <c r="X162" s="3" t="inlineStr">
        <is>
          <t>Supplier</t>
        </is>
      </c>
      <c r="Y162" s="3" t="inlineStr">
        <is>
          <t>No</t>
        </is>
      </c>
      <c r="Z162" s="5" t="n"/>
      <c r="AA162" s="3" t="n"/>
      <c r="AB162" s="3" t="n"/>
      <c r="AC162" s="6" t="n"/>
      <c r="AD162" s="3" t="inlineStr">
        <is>
          <t>kgCO2e/component</t>
        </is>
      </c>
      <c r="AE162" s="3" t="n"/>
      <c r="AF162" s="7" t="n"/>
      <c r="AG162" s="3" t="n"/>
      <c r="AH162" s="3" t="n"/>
      <c r="AI162" s="6" t="n"/>
      <c r="AJ162" s="3" t="inlineStr">
        <is>
          <t>kgCO2e/component</t>
        </is>
      </c>
      <c r="AK162" s="3" t="n"/>
      <c r="AL162" s="7" t="n">
        <v>0</v>
      </c>
      <c r="AM162" s="3" t="n"/>
      <c r="AN162" s="3" t="n"/>
      <c r="AO162" s="3" t="n"/>
      <c r="AP162" s="4">
        <f>IF(COUNT(AM162,AN162,AO162)=0,"",ROUND(AVERAGE(AM162,AN162,AO162),3))</f>
        <v/>
      </c>
      <c r="AQ162" s="3">
        <f>IF(AC162="","",ROUND(AC162*IF(M162="",0,M162)*(1+IF(AF162="",0,AF162)),5))</f>
        <v/>
      </c>
      <c r="AR162" s="3" t="inlineStr">
        <is>
          <t>kgCO2e/component</t>
        </is>
      </c>
      <c r="AS162" s="5" t="n"/>
      <c r="AT162" s="9">
        <f>IF(AND($A162&lt;&gt;"",G162=""),"Supplier code empty (High);","")&amp;IF(AND(U162&lt;&gt;"",OR(U162&gt;1,U162&lt;0)),"Incorrect PDS value (High);",IF(AND(U162&lt;&gt;"",U162&gt;0.5),"High PDS value (Medium);",""))&amp;IF(AND(V162&lt;&gt;"",OR(V162&gt;5,V162&lt;1)),"Incorrect DQR value (High);","")&amp;IF(AND(S162&lt;&gt;"",OR(S162&lt;=0,S162&gt;100)),"Unusual PCF value might be wrong (High);","")&amp;IF(AND(AL162&lt;&gt;"",OR(AL162&gt;1,AL162&lt;0)),"Incorrect PDS value (High);",IF(AND(AL162&lt;&gt;"",AL162&gt;0.5),"High PDS value (Medium);",""))&amp;IF(AND(AP162&lt;&gt;"",OR(AP162&gt;5,AP162&lt;1)),"Incorrect DQR value (High);","")&amp;IF(AND($A162&lt;&gt;"",AF162&gt;1),"Incorrect scrap rate (High);",IF(AND($A162&lt;&gt;"",AF162=0),"No scrap rate (No impact);",""))&amp;IF(AND($A162&lt;&gt;"",I162="",J162="",K162=""),"No raw material available (High);","")&amp;""</f>
        <v/>
      </c>
      <c r="AU162" s="9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4" t="n"/>
      <c r="M163" s="4" t="n"/>
      <c r="N163" s="3" t="inlineStr">
        <is>
          <t>kg</t>
        </is>
      </c>
      <c r="O163" s="4" t="n"/>
      <c r="P163" s="3" t="inlineStr">
        <is>
          <t>kg</t>
        </is>
      </c>
      <c r="Q163" s="3" t="n"/>
      <c r="R163" s="5" t="n"/>
      <c r="S163" s="6" t="n"/>
      <c r="T163" s="3" t="inlineStr">
        <is>
          <t>kgCO2e/component</t>
        </is>
      </c>
      <c r="U163" s="7" t="n"/>
      <c r="V163" s="4" t="n"/>
      <c r="W163" s="8" t="n"/>
      <c r="X163" s="3" t="inlineStr">
        <is>
          <t>Supplier</t>
        </is>
      </c>
      <c r="Y163" s="3" t="inlineStr">
        <is>
          <t>No</t>
        </is>
      </c>
      <c r="Z163" s="5" t="n"/>
      <c r="AA163" s="3" t="n"/>
      <c r="AB163" s="3" t="n"/>
      <c r="AC163" s="6" t="n"/>
      <c r="AD163" s="3" t="inlineStr">
        <is>
          <t>kgCO2e/component</t>
        </is>
      </c>
      <c r="AE163" s="3" t="n"/>
      <c r="AF163" s="7" t="n"/>
      <c r="AG163" s="3" t="n"/>
      <c r="AH163" s="3" t="n"/>
      <c r="AI163" s="6" t="n"/>
      <c r="AJ163" s="3" t="inlineStr">
        <is>
          <t>kgCO2e/component</t>
        </is>
      </c>
      <c r="AK163" s="3" t="n"/>
      <c r="AL163" s="7" t="n">
        <v>0</v>
      </c>
      <c r="AM163" s="3" t="n"/>
      <c r="AN163" s="3" t="n"/>
      <c r="AO163" s="3" t="n"/>
      <c r="AP163" s="4">
        <f>IF(COUNT(AM163,AN163,AO163)=0,"",ROUND(AVERAGE(AM163,AN163,AO163),3))</f>
        <v/>
      </c>
      <c r="AQ163" s="3">
        <f>IF(AC163="","",ROUND(AC163*IF(M163="",0,M163)*(1+IF(AF163="",0,AF163)),5))</f>
        <v/>
      </c>
      <c r="AR163" s="3" t="inlineStr">
        <is>
          <t>kgCO2e/component</t>
        </is>
      </c>
      <c r="AS163" s="5" t="n"/>
      <c r="AT163" s="9">
        <f>IF(AND($A163&lt;&gt;"",G163=""),"Supplier code empty (High);","")&amp;IF(AND(U163&lt;&gt;"",OR(U163&gt;1,U163&lt;0)),"Incorrect PDS value (High);",IF(AND(U163&lt;&gt;"",U163&gt;0.5),"High PDS value (Medium);",""))&amp;IF(AND(V163&lt;&gt;"",OR(V163&gt;5,V163&lt;1)),"Incorrect DQR value (High);","")&amp;IF(AND(S163&lt;&gt;"",OR(S163&lt;=0,S163&gt;100)),"Unusual PCF value might be wrong (High);","")&amp;IF(AND(AL163&lt;&gt;"",OR(AL163&gt;1,AL163&lt;0)),"Incorrect PDS value (High);",IF(AND(AL163&lt;&gt;"",AL163&gt;0.5),"High PDS value (Medium);",""))&amp;IF(AND(AP163&lt;&gt;"",OR(AP163&gt;5,AP163&lt;1)),"Incorrect DQR value (High);","")&amp;IF(AND($A163&lt;&gt;"",AF163&gt;1),"Incorrect scrap rate (High);",IF(AND($A163&lt;&gt;"",AF163=0),"No scrap rate (No impact);",""))&amp;IF(AND($A163&lt;&gt;"",I163="",J163="",K163=""),"No raw material available (High);","")&amp;""</f>
        <v/>
      </c>
      <c r="AU163" s="9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4" t="n"/>
      <c r="M164" s="4" t="n"/>
      <c r="N164" s="3" t="inlineStr">
        <is>
          <t>kg</t>
        </is>
      </c>
      <c r="O164" s="4" t="n"/>
      <c r="P164" s="3" t="inlineStr">
        <is>
          <t>kg</t>
        </is>
      </c>
      <c r="Q164" s="3" t="n"/>
      <c r="R164" s="5" t="n"/>
      <c r="S164" s="6" t="n"/>
      <c r="T164" s="3" t="inlineStr">
        <is>
          <t>kgCO2e/component</t>
        </is>
      </c>
      <c r="U164" s="7" t="n"/>
      <c r="V164" s="4" t="n"/>
      <c r="W164" s="8" t="n"/>
      <c r="X164" s="3" t="inlineStr">
        <is>
          <t>Supplier</t>
        </is>
      </c>
      <c r="Y164" s="3" t="inlineStr">
        <is>
          <t>No</t>
        </is>
      </c>
      <c r="Z164" s="5" t="n"/>
      <c r="AA164" s="3" t="n"/>
      <c r="AB164" s="3" t="n"/>
      <c r="AC164" s="6" t="n"/>
      <c r="AD164" s="3" t="inlineStr">
        <is>
          <t>kgCO2e/component</t>
        </is>
      </c>
      <c r="AE164" s="3" t="n"/>
      <c r="AF164" s="7" t="n"/>
      <c r="AG164" s="3" t="n"/>
      <c r="AH164" s="3" t="n"/>
      <c r="AI164" s="6" t="n"/>
      <c r="AJ164" s="3" t="inlineStr">
        <is>
          <t>kgCO2e/component</t>
        </is>
      </c>
      <c r="AK164" s="3" t="n"/>
      <c r="AL164" s="7" t="n">
        <v>0</v>
      </c>
      <c r="AM164" s="3" t="n"/>
      <c r="AN164" s="3" t="n"/>
      <c r="AO164" s="3" t="n"/>
      <c r="AP164" s="4">
        <f>IF(COUNT(AM164,AN164,AO164)=0,"",ROUND(AVERAGE(AM164,AN164,AO164),3))</f>
        <v/>
      </c>
      <c r="AQ164" s="3">
        <f>IF(AC164="","",ROUND(AC164*IF(M164="",0,M164)*(1+IF(AF164="",0,AF164)),5))</f>
        <v/>
      </c>
      <c r="AR164" s="3" t="inlineStr">
        <is>
          <t>kgCO2e/component</t>
        </is>
      </c>
      <c r="AS164" s="5" t="n"/>
      <c r="AT164" s="9">
        <f>IF(AND($A164&lt;&gt;"",G164=""),"Supplier code empty (High);","")&amp;IF(AND(U164&lt;&gt;"",OR(U164&gt;1,U164&lt;0)),"Incorrect PDS value (High);",IF(AND(U164&lt;&gt;"",U164&gt;0.5),"High PDS value (Medium);",""))&amp;IF(AND(V164&lt;&gt;"",OR(V164&gt;5,V164&lt;1)),"Incorrect DQR value (High);","")&amp;IF(AND(S164&lt;&gt;"",OR(S164&lt;=0,S164&gt;100)),"Unusual PCF value might be wrong (High);","")&amp;IF(AND(AL164&lt;&gt;"",OR(AL164&gt;1,AL164&lt;0)),"Incorrect PDS value (High);",IF(AND(AL164&lt;&gt;"",AL164&gt;0.5),"High PDS value (Medium);",""))&amp;IF(AND(AP164&lt;&gt;"",OR(AP164&gt;5,AP164&lt;1)),"Incorrect DQR value (High);","")&amp;IF(AND($A164&lt;&gt;"",AF164&gt;1),"Incorrect scrap rate (High);",IF(AND($A164&lt;&gt;"",AF164=0),"No scrap rate (No impact);",""))&amp;IF(AND($A164&lt;&gt;"",I164="",J164="",K164=""),"No raw material available (High);","")&amp;""</f>
        <v/>
      </c>
      <c r="AU164" s="9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4" t="n"/>
      <c r="M165" s="4" t="n"/>
      <c r="N165" s="3" t="inlineStr">
        <is>
          <t>kg</t>
        </is>
      </c>
      <c r="O165" s="4" t="n"/>
      <c r="P165" s="3" t="inlineStr">
        <is>
          <t>kg</t>
        </is>
      </c>
      <c r="Q165" s="3" t="n"/>
      <c r="R165" s="5" t="n"/>
      <c r="S165" s="6" t="n"/>
      <c r="T165" s="3" t="inlineStr">
        <is>
          <t>kgCO2e/component</t>
        </is>
      </c>
      <c r="U165" s="7" t="n"/>
      <c r="V165" s="4" t="n"/>
      <c r="W165" s="8" t="n"/>
      <c r="X165" s="3" t="inlineStr">
        <is>
          <t>Supplier</t>
        </is>
      </c>
      <c r="Y165" s="3" t="inlineStr">
        <is>
          <t>No</t>
        </is>
      </c>
      <c r="Z165" s="5" t="n"/>
      <c r="AA165" s="3" t="n"/>
      <c r="AB165" s="3" t="n"/>
      <c r="AC165" s="6" t="n"/>
      <c r="AD165" s="3" t="inlineStr">
        <is>
          <t>kgCO2e/component</t>
        </is>
      </c>
      <c r="AE165" s="3" t="n"/>
      <c r="AF165" s="7" t="n"/>
      <c r="AG165" s="3" t="n"/>
      <c r="AH165" s="3" t="n"/>
      <c r="AI165" s="6" t="n"/>
      <c r="AJ165" s="3" t="inlineStr">
        <is>
          <t>kgCO2e/component</t>
        </is>
      </c>
      <c r="AK165" s="3" t="n"/>
      <c r="AL165" s="7" t="n">
        <v>0</v>
      </c>
      <c r="AM165" s="3" t="n"/>
      <c r="AN165" s="3" t="n"/>
      <c r="AO165" s="3" t="n"/>
      <c r="AP165" s="4">
        <f>IF(COUNT(AM165,AN165,AO165)=0,"",ROUND(AVERAGE(AM165,AN165,AO165),3))</f>
        <v/>
      </c>
      <c r="AQ165" s="3">
        <f>IF(AC165="","",ROUND(AC165*IF(M165="",0,M165)*(1+IF(AF165="",0,AF165)),5))</f>
        <v/>
      </c>
      <c r="AR165" s="3" t="inlineStr">
        <is>
          <t>kgCO2e/component</t>
        </is>
      </c>
      <c r="AS165" s="5" t="n"/>
      <c r="AT165" s="9">
        <f>IF(AND($A165&lt;&gt;"",G165=""),"Supplier code empty (High);","")&amp;IF(AND(U165&lt;&gt;"",OR(U165&gt;1,U165&lt;0)),"Incorrect PDS value (High);",IF(AND(U165&lt;&gt;"",U165&gt;0.5),"High PDS value (Medium);",""))&amp;IF(AND(V165&lt;&gt;"",OR(V165&gt;5,V165&lt;1)),"Incorrect DQR value (High);","")&amp;IF(AND(S165&lt;&gt;"",OR(S165&lt;=0,S165&gt;100)),"Unusual PCF value might be wrong (High);","")&amp;IF(AND(AL165&lt;&gt;"",OR(AL165&gt;1,AL165&lt;0)),"Incorrect PDS value (High);",IF(AND(AL165&lt;&gt;"",AL165&gt;0.5),"High PDS value (Medium);",""))&amp;IF(AND(AP165&lt;&gt;"",OR(AP165&gt;5,AP165&lt;1)),"Incorrect DQR value (High);","")&amp;IF(AND($A165&lt;&gt;"",AF165&gt;1),"Incorrect scrap rate (High);",IF(AND($A165&lt;&gt;"",AF165=0),"No scrap rate (No impact);",""))&amp;IF(AND($A165&lt;&gt;"",I165="",J165="",K165=""),"No raw material available (High);","")&amp;""</f>
        <v/>
      </c>
      <c r="AU165" s="9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4" t="n"/>
      <c r="M166" s="4" t="n"/>
      <c r="N166" s="3" t="inlineStr">
        <is>
          <t>kg</t>
        </is>
      </c>
      <c r="O166" s="4" t="n"/>
      <c r="P166" s="3" t="inlineStr">
        <is>
          <t>kg</t>
        </is>
      </c>
      <c r="Q166" s="3" t="n"/>
      <c r="R166" s="5" t="n"/>
      <c r="S166" s="6" t="n"/>
      <c r="T166" s="3" t="inlineStr">
        <is>
          <t>kgCO2e/component</t>
        </is>
      </c>
      <c r="U166" s="7" t="n"/>
      <c r="V166" s="4" t="n"/>
      <c r="W166" s="8" t="n"/>
      <c r="X166" s="3" t="inlineStr">
        <is>
          <t>Supplier</t>
        </is>
      </c>
      <c r="Y166" s="3" t="inlineStr">
        <is>
          <t>No</t>
        </is>
      </c>
      <c r="Z166" s="5" t="n"/>
      <c r="AA166" s="3" t="n"/>
      <c r="AB166" s="3" t="n"/>
      <c r="AC166" s="6" t="n"/>
      <c r="AD166" s="3" t="inlineStr">
        <is>
          <t>kgCO2e/component</t>
        </is>
      </c>
      <c r="AE166" s="3" t="n"/>
      <c r="AF166" s="7" t="n"/>
      <c r="AG166" s="3" t="n"/>
      <c r="AH166" s="3" t="n"/>
      <c r="AI166" s="6" t="n"/>
      <c r="AJ166" s="3" t="inlineStr">
        <is>
          <t>kgCO2e/component</t>
        </is>
      </c>
      <c r="AK166" s="3" t="n"/>
      <c r="AL166" s="7" t="n">
        <v>0</v>
      </c>
      <c r="AM166" s="3" t="n"/>
      <c r="AN166" s="3" t="n"/>
      <c r="AO166" s="3" t="n"/>
      <c r="AP166" s="4">
        <f>IF(COUNT(AM166,AN166,AO166)=0,"",ROUND(AVERAGE(AM166,AN166,AO166),3))</f>
        <v/>
      </c>
      <c r="AQ166" s="3">
        <f>IF(AC166="","",ROUND(AC166*IF(M166="",0,M166)*(1+IF(AF166="",0,AF166)),5))</f>
        <v/>
      </c>
      <c r="AR166" s="3" t="inlineStr">
        <is>
          <t>kgCO2e/component</t>
        </is>
      </c>
      <c r="AS166" s="5" t="n"/>
      <c r="AT166" s="9">
        <f>IF(AND($A166&lt;&gt;"",G166=""),"Supplier code empty (High);","")&amp;IF(AND(U166&lt;&gt;"",OR(U166&gt;1,U166&lt;0)),"Incorrect PDS value (High);",IF(AND(U166&lt;&gt;"",U166&gt;0.5),"High PDS value (Medium);",""))&amp;IF(AND(V166&lt;&gt;"",OR(V166&gt;5,V166&lt;1)),"Incorrect DQR value (High);","")&amp;IF(AND(S166&lt;&gt;"",OR(S166&lt;=0,S166&gt;100)),"Unusual PCF value might be wrong (High);","")&amp;IF(AND(AL166&lt;&gt;"",OR(AL166&gt;1,AL166&lt;0)),"Incorrect PDS value (High);",IF(AND(AL166&lt;&gt;"",AL166&gt;0.5),"High PDS value (Medium);",""))&amp;IF(AND(AP166&lt;&gt;"",OR(AP166&gt;5,AP166&lt;1)),"Incorrect DQR value (High);","")&amp;IF(AND($A166&lt;&gt;"",AF166&gt;1),"Incorrect scrap rate (High);",IF(AND($A166&lt;&gt;"",AF166=0),"No scrap rate (No impact);",""))&amp;IF(AND($A166&lt;&gt;"",I166="",J166="",K166=""),"No raw material available (High);","")&amp;""</f>
        <v/>
      </c>
      <c r="AU166" s="9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4" t="n"/>
      <c r="M167" s="4" t="n"/>
      <c r="N167" s="3" t="inlineStr">
        <is>
          <t>kg</t>
        </is>
      </c>
      <c r="O167" s="4" t="n"/>
      <c r="P167" s="3" t="inlineStr">
        <is>
          <t>kg</t>
        </is>
      </c>
      <c r="Q167" s="3" t="n"/>
      <c r="R167" s="5" t="n"/>
      <c r="S167" s="6" t="n"/>
      <c r="T167" s="3" t="inlineStr">
        <is>
          <t>kgCO2e/component</t>
        </is>
      </c>
      <c r="U167" s="7" t="n"/>
      <c r="V167" s="4" t="n"/>
      <c r="W167" s="8" t="n"/>
      <c r="X167" s="3" t="inlineStr">
        <is>
          <t>Supplier</t>
        </is>
      </c>
      <c r="Y167" s="3" t="inlineStr">
        <is>
          <t>No</t>
        </is>
      </c>
      <c r="Z167" s="5" t="n"/>
      <c r="AA167" s="3" t="n"/>
      <c r="AB167" s="3" t="n"/>
      <c r="AC167" s="6" t="n"/>
      <c r="AD167" s="3" t="inlineStr">
        <is>
          <t>kgCO2e/component</t>
        </is>
      </c>
      <c r="AE167" s="3" t="n"/>
      <c r="AF167" s="7" t="n"/>
      <c r="AG167" s="3" t="n"/>
      <c r="AH167" s="3" t="n"/>
      <c r="AI167" s="6" t="n"/>
      <c r="AJ167" s="3" t="inlineStr">
        <is>
          <t>kgCO2e/component</t>
        </is>
      </c>
      <c r="AK167" s="3" t="n"/>
      <c r="AL167" s="7" t="n">
        <v>0</v>
      </c>
      <c r="AM167" s="3" t="n"/>
      <c r="AN167" s="3" t="n"/>
      <c r="AO167" s="3" t="n"/>
      <c r="AP167" s="4">
        <f>IF(COUNT(AM167,AN167,AO167)=0,"",ROUND(AVERAGE(AM167,AN167,AO167),3))</f>
        <v/>
      </c>
      <c r="AQ167" s="3">
        <f>IF(AC167="","",ROUND(AC167*IF(M167="",0,M167)*(1+IF(AF167="",0,AF167)),5))</f>
        <v/>
      </c>
      <c r="AR167" s="3" t="inlineStr">
        <is>
          <t>kgCO2e/component</t>
        </is>
      </c>
      <c r="AS167" s="5" t="n"/>
      <c r="AT167" s="9">
        <f>IF(AND($A167&lt;&gt;"",G167=""),"Supplier code empty (High);","")&amp;IF(AND(U167&lt;&gt;"",OR(U167&gt;1,U167&lt;0)),"Incorrect PDS value (High);",IF(AND(U167&lt;&gt;"",U167&gt;0.5),"High PDS value (Medium);",""))&amp;IF(AND(V167&lt;&gt;"",OR(V167&gt;5,V167&lt;1)),"Incorrect DQR value (High);","")&amp;IF(AND(S167&lt;&gt;"",OR(S167&lt;=0,S167&gt;100)),"Unusual PCF value might be wrong (High);","")&amp;IF(AND(AL167&lt;&gt;"",OR(AL167&gt;1,AL167&lt;0)),"Incorrect PDS value (High);",IF(AND(AL167&lt;&gt;"",AL167&gt;0.5),"High PDS value (Medium);",""))&amp;IF(AND(AP167&lt;&gt;"",OR(AP167&gt;5,AP167&lt;1)),"Incorrect DQR value (High);","")&amp;IF(AND($A167&lt;&gt;"",AF167&gt;1),"Incorrect scrap rate (High);",IF(AND($A167&lt;&gt;"",AF167=0),"No scrap rate (No impact);",""))&amp;IF(AND($A167&lt;&gt;"",I167="",J167="",K167=""),"No raw material available (High);","")&amp;""</f>
        <v/>
      </c>
      <c r="AU167" s="9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4" t="n"/>
      <c r="M168" s="4" t="n"/>
      <c r="N168" s="3" t="inlineStr">
        <is>
          <t>kg</t>
        </is>
      </c>
      <c r="O168" s="4" t="n"/>
      <c r="P168" s="3" t="inlineStr">
        <is>
          <t>kg</t>
        </is>
      </c>
      <c r="Q168" s="3" t="n"/>
      <c r="R168" s="5" t="n"/>
      <c r="S168" s="6" t="n"/>
      <c r="T168" s="3" t="inlineStr">
        <is>
          <t>kgCO2e/component</t>
        </is>
      </c>
      <c r="U168" s="7" t="n"/>
      <c r="V168" s="4" t="n"/>
      <c r="W168" s="8" t="n"/>
      <c r="X168" s="3" t="inlineStr">
        <is>
          <t>Supplier</t>
        </is>
      </c>
      <c r="Y168" s="3" t="inlineStr">
        <is>
          <t>No</t>
        </is>
      </c>
      <c r="Z168" s="5" t="n"/>
      <c r="AA168" s="3" t="n"/>
      <c r="AB168" s="3" t="n"/>
      <c r="AC168" s="6" t="n"/>
      <c r="AD168" s="3" t="inlineStr">
        <is>
          <t>kgCO2e/component</t>
        </is>
      </c>
      <c r="AE168" s="3" t="n"/>
      <c r="AF168" s="7" t="n"/>
      <c r="AG168" s="3" t="n"/>
      <c r="AH168" s="3" t="n"/>
      <c r="AI168" s="6" t="n"/>
      <c r="AJ168" s="3" t="inlineStr">
        <is>
          <t>kgCO2e/component</t>
        </is>
      </c>
      <c r="AK168" s="3" t="n"/>
      <c r="AL168" s="7" t="n">
        <v>0</v>
      </c>
      <c r="AM168" s="3" t="n"/>
      <c r="AN168" s="3" t="n"/>
      <c r="AO168" s="3" t="n"/>
      <c r="AP168" s="4">
        <f>IF(COUNT(AM168,AN168,AO168)=0,"",ROUND(AVERAGE(AM168,AN168,AO168),3))</f>
        <v/>
      </c>
      <c r="AQ168" s="3">
        <f>IF(AC168="","",ROUND(AC168*IF(M168="",0,M168)*(1+IF(AF168="",0,AF168)),5))</f>
        <v/>
      </c>
      <c r="AR168" s="3" t="inlineStr">
        <is>
          <t>kgCO2e/component</t>
        </is>
      </c>
      <c r="AS168" s="5" t="n"/>
      <c r="AT168" s="9">
        <f>IF(AND($A168&lt;&gt;"",G168=""),"Supplier code empty (High);","")&amp;IF(AND(U168&lt;&gt;"",OR(U168&gt;1,U168&lt;0)),"Incorrect PDS value (High);",IF(AND(U168&lt;&gt;"",U168&gt;0.5),"High PDS value (Medium);",""))&amp;IF(AND(V168&lt;&gt;"",OR(V168&gt;5,V168&lt;1)),"Incorrect DQR value (High);","")&amp;IF(AND(S168&lt;&gt;"",OR(S168&lt;=0,S168&gt;100)),"Unusual PCF value might be wrong (High);","")&amp;IF(AND(AL168&lt;&gt;"",OR(AL168&gt;1,AL168&lt;0)),"Incorrect PDS value (High);",IF(AND(AL168&lt;&gt;"",AL168&gt;0.5),"High PDS value (Medium);",""))&amp;IF(AND(AP168&lt;&gt;"",OR(AP168&gt;5,AP168&lt;1)),"Incorrect DQR value (High);","")&amp;IF(AND($A168&lt;&gt;"",AF168&gt;1),"Incorrect scrap rate (High);",IF(AND($A168&lt;&gt;"",AF168=0),"No scrap rate (No impact);",""))&amp;IF(AND($A168&lt;&gt;"",I168="",J168="",K168=""),"No raw material available (High);","")&amp;""</f>
        <v/>
      </c>
      <c r="AU168" s="9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4" t="n"/>
      <c r="M169" s="4" t="n"/>
      <c r="N169" s="3" t="inlineStr">
        <is>
          <t>kg</t>
        </is>
      </c>
      <c r="O169" s="4" t="n"/>
      <c r="P169" s="3" t="inlineStr">
        <is>
          <t>kg</t>
        </is>
      </c>
      <c r="Q169" s="3" t="n"/>
      <c r="R169" s="5" t="n"/>
      <c r="S169" s="6" t="n"/>
      <c r="T169" s="3" t="inlineStr">
        <is>
          <t>kgCO2e/component</t>
        </is>
      </c>
      <c r="U169" s="7" t="n"/>
      <c r="V169" s="4" t="n"/>
      <c r="W169" s="8" t="n"/>
      <c r="X169" s="3" t="inlineStr">
        <is>
          <t>Supplier</t>
        </is>
      </c>
      <c r="Y169" s="3" t="inlineStr">
        <is>
          <t>No</t>
        </is>
      </c>
      <c r="Z169" s="5" t="n"/>
      <c r="AA169" s="3" t="n"/>
      <c r="AB169" s="3" t="n"/>
      <c r="AC169" s="6" t="n"/>
      <c r="AD169" s="3" t="inlineStr">
        <is>
          <t>kgCO2e/component</t>
        </is>
      </c>
      <c r="AE169" s="3" t="n"/>
      <c r="AF169" s="7" t="n"/>
      <c r="AG169" s="3" t="n"/>
      <c r="AH169" s="3" t="n"/>
      <c r="AI169" s="6" t="n"/>
      <c r="AJ169" s="3" t="inlineStr">
        <is>
          <t>kgCO2e/component</t>
        </is>
      </c>
      <c r="AK169" s="3" t="n"/>
      <c r="AL169" s="7" t="n">
        <v>0</v>
      </c>
      <c r="AM169" s="3" t="n"/>
      <c r="AN169" s="3" t="n"/>
      <c r="AO169" s="3" t="n"/>
      <c r="AP169" s="4">
        <f>IF(COUNT(AM169,AN169,AO169)=0,"",ROUND(AVERAGE(AM169,AN169,AO169),3))</f>
        <v/>
      </c>
      <c r="AQ169" s="3">
        <f>IF(AC169="","",ROUND(AC169*IF(M169="",0,M169)*(1+IF(AF169="",0,AF169)),5))</f>
        <v/>
      </c>
      <c r="AR169" s="3" t="inlineStr">
        <is>
          <t>kgCO2e/component</t>
        </is>
      </c>
      <c r="AS169" s="5" t="n"/>
      <c r="AT169" s="9">
        <f>IF(AND($A169&lt;&gt;"",G169=""),"Supplier code empty (High);","")&amp;IF(AND(U169&lt;&gt;"",OR(U169&gt;1,U169&lt;0)),"Incorrect PDS value (High);",IF(AND(U169&lt;&gt;"",U169&gt;0.5),"High PDS value (Medium);",""))&amp;IF(AND(V169&lt;&gt;"",OR(V169&gt;5,V169&lt;1)),"Incorrect DQR value (High);","")&amp;IF(AND(S169&lt;&gt;"",OR(S169&lt;=0,S169&gt;100)),"Unusual PCF value might be wrong (High);","")&amp;IF(AND(AL169&lt;&gt;"",OR(AL169&gt;1,AL169&lt;0)),"Incorrect PDS value (High);",IF(AND(AL169&lt;&gt;"",AL169&gt;0.5),"High PDS value (Medium);",""))&amp;IF(AND(AP169&lt;&gt;"",OR(AP169&gt;5,AP169&lt;1)),"Incorrect DQR value (High);","")&amp;IF(AND($A169&lt;&gt;"",AF169&gt;1),"Incorrect scrap rate (High);",IF(AND($A169&lt;&gt;"",AF169=0),"No scrap rate (No impact);",""))&amp;IF(AND($A169&lt;&gt;"",I169="",J169="",K169=""),"No raw material available (High);","")&amp;""</f>
        <v/>
      </c>
      <c r="AU169" s="9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4" t="n"/>
      <c r="M170" s="4" t="n"/>
      <c r="N170" s="3" t="inlineStr">
        <is>
          <t>kg</t>
        </is>
      </c>
      <c r="O170" s="4" t="n"/>
      <c r="P170" s="3" t="inlineStr">
        <is>
          <t>kg</t>
        </is>
      </c>
      <c r="Q170" s="3" t="n"/>
      <c r="R170" s="5" t="n"/>
      <c r="S170" s="6" t="n"/>
      <c r="T170" s="3" t="inlineStr">
        <is>
          <t>kgCO2e/component</t>
        </is>
      </c>
      <c r="U170" s="7" t="n"/>
      <c r="V170" s="4" t="n"/>
      <c r="W170" s="8" t="n"/>
      <c r="X170" s="3" t="inlineStr">
        <is>
          <t>Supplier</t>
        </is>
      </c>
      <c r="Y170" s="3" t="inlineStr">
        <is>
          <t>No</t>
        </is>
      </c>
      <c r="Z170" s="5" t="n"/>
      <c r="AA170" s="3" t="n"/>
      <c r="AB170" s="3" t="n"/>
      <c r="AC170" s="6" t="n"/>
      <c r="AD170" s="3" t="inlineStr">
        <is>
          <t>kgCO2e/component</t>
        </is>
      </c>
      <c r="AE170" s="3" t="n"/>
      <c r="AF170" s="7" t="n"/>
      <c r="AG170" s="3" t="n"/>
      <c r="AH170" s="3" t="n"/>
      <c r="AI170" s="6" t="n"/>
      <c r="AJ170" s="3" t="inlineStr">
        <is>
          <t>kgCO2e/component</t>
        </is>
      </c>
      <c r="AK170" s="3" t="n"/>
      <c r="AL170" s="7" t="n">
        <v>0</v>
      </c>
      <c r="AM170" s="3" t="n"/>
      <c r="AN170" s="3" t="n"/>
      <c r="AO170" s="3" t="n"/>
      <c r="AP170" s="4">
        <f>IF(COUNT(AM170,AN170,AO170)=0,"",ROUND(AVERAGE(AM170,AN170,AO170),3))</f>
        <v/>
      </c>
      <c r="AQ170" s="3">
        <f>IF(AC170="","",ROUND(AC170*IF(M170="",0,M170)*(1+IF(AF170="",0,AF170)),5))</f>
        <v/>
      </c>
      <c r="AR170" s="3" t="inlineStr">
        <is>
          <t>kgCO2e/component</t>
        </is>
      </c>
      <c r="AS170" s="5" t="n"/>
      <c r="AT170" s="9">
        <f>IF(AND($A170&lt;&gt;"",G170=""),"Supplier code empty (High);","")&amp;IF(AND(U170&lt;&gt;"",OR(U170&gt;1,U170&lt;0)),"Incorrect PDS value (High);",IF(AND(U170&lt;&gt;"",U170&gt;0.5),"High PDS value (Medium);",""))&amp;IF(AND(V170&lt;&gt;"",OR(V170&gt;5,V170&lt;1)),"Incorrect DQR value (High);","")&amp;IF(AND(S170&lt;&gt;"",OR(S170&lt;=0,S170&gt;100)),"Unusual PCF value might be wrong (High);","")&amp;IF(AND(AL170&lt;&gt;"",OR(AL170&gt;1,AL170&lt;0)),"Incorrect PDS value (High);",IF(AND(AL170&lt;&gt;"",AL170&gt;0.5),"High PDS value (Medium);",""))&amp;IF(AND(AP170&lt;&gt;"",OR(AP170&gt;5,AP170&lt;1)),"Incorrect DQR value (High);","")&amp;IF(AND($A170&lt;&gt;"",AF170&gt;1),"Incorrect scrap rate (High);",IF(AND($A170&lt;&gt;"",AF170=0),"No scrap rate (No impact);",""))&amp;IF(AND($A170&lt;&gt;"",I170="",J170="",K170=""),"No raw material available (High);","")&amp;""</f>
        <v/>
      </c>
      <c r="AU170" s="9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4" t="n"/>
      <c r="M171" s="4" t="n"/>
      <c r="N171" s="3" t="inlineStr">
        <is>
          <t>kg</t>
        </is>
      </c>
      <c r="O171" s="4" t="n"/>
      <c r="P171" s="3" t="inlineStr">
        <is>
          <t>kg</t>
        </is>
      </c>
      <c r="Q171" s="3" t="n"/>
      <c r="R171" s="5" t="n"/>
      <c r="S171" s="6" t="n"/>
      <c r="T171" s="3" t="inlineStr">
        <is>
          <t>kgCO2e/component</t>
        </is>
      </c>
      <c r="U171" s="7" t="n"/>
      <c r="V171" s="4" t="n"/>
      <c r="W171" s="8" t="n"/>
      <c r="X171" s="3" t="inlineStr">
        <is>
          <t>Supplier</t>
        </is>
      </c>
      <c r="Y171" s="3" t="inlineStr">
        <is>
          <t>No</t>
        </is>
      </c>
      <c r="Z171" s="5" t="n"/>
      <c r="AA171" s="3" t="n"/>
      <c r="AB171" s="3" t="n"/>
      <c r="AC171" s="6" t="n"/>
      <c r="AD171" s="3" t="inlineStr">
        <is>
          <t>kgCO2e/component</t>
        </is>
      </c>
      <c r="AE171" s="3" t="n"/>
      <c r="AF171" s="7" t="n"/>
      <c r="AG171" s="3" t="n"/>
      <c r="AH171" s="3" t="n"/>
      <c r="AI171" s="6" t="n"/>
      <c r="AJ171" s="3" t="inlineStr">
        <is>
          <t>kgCO2e/component</t>
        </is>
      </c>
      <c r="AK171" s="3" t="n"/>
      <c r="AL171" s="7" t="n">
        <v>0</v>
      </c>
      <c r="AM171" s="3" t="n"/>
      <c r="AN171" s="3" t="n"/>
      <c r="AO171" s="3" t="n"/>
      <c r="AP171" s="4">
        <f>IF(COUNT(AM171,AN171,AO171)=0,"",ROUND(AVERAGE(AM171,AN171,AO171),3))</f>
        <v/>
      </c>
      <c r="AQ171" s="3">
        <f>IF(AC171="","",ROUND(AC171*IF(M171="",0,M171)*(1+IF(AF171="",0,AF171)),5))</f>
        <v/>
      </c>
      <c r="AR171" s="3" t="inlineStr">
        <is>
          <t>kgCO2e/component</t>
        </is>
      </c>
      <c r="AS171" s="5" t="n"/>
      <c r="AT171" s="9">
        <f>IF(AND($A171&lt;&gt;"",G171=""),"Supplier code empty (High);","")&amp;IF(AND(U171&lt;&gt;"",OR(U171&gt;1,U171&lt;0)),"Incorrect PDS value (High);",IF(AND(U171&lt;&gt;"",U171&gt;0.5),"High PDS value (Medium);",""))&amp;IF(AND(V171&lt;&gt;"",OR(V171&gt;5,V171&lt;1)),"Incorrect DQR value (High);","")&amp;IF(AND(S171&lt;&gt;"",OR(S171&lt;=0,S171&gt;100)),"Unusual PCF value might be wrong (High);","")&amp;IF(AND(AL171&lt;&gt;"",OR(AL171&gt;1,AL171&lt;0)),"Incorrect PDS value (High);",IF(AND(AL171&lt;&gt;"",AL171&gt;0.5),"High PDS value (Medium);",""))&amp;IF(AND(AP171&lt;&gt;"",OR(AP171&gt;5,AP171&lt;1)),"Incorrect DQR value (High);","")&amp;IF(AND($A171&lt;&gt;"",AF171&gt;1),"Incorrect scrap rate (High);",IF(AND($A171&lt;&gt;"",AF171=0),"No scrap rate (No impact);",""))&amp;IF(AND($A171&lt;&gt;"",I171="",J171="",K171=""),"No raw material available (High);","")&amp;""</f>
        <v/>
      </c>
      <c r="AU171" s="9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4" t="n"/>
      <c r="M172" s="4" t="n"/>
      <c r="N172" s="3" t="inlineStr">
        <is>
          <t>kg</t>
        </is>
      </c>
      <c r="O172" s="4" t="n"/>
      <c r="P172" s="3" t="inlineStr">
        <is>
          <t>kg</t>
        </is>
      </c>
      <c r="Q172" s="3" t="n"/>
      <c r="R172" s="5" t="n"/>
      <c r="S172" s="6" t="n"/>
      <c r="T172" s="3" t="inlineStr">
        <is>
          <t>kgCO2e/component</t>
        </is>
      </c>
      <c r="U172" s="7" t="n"/>
      <c r="V172" s="4" t="n"/>
      <c r="W172" s="8" t="n"/>
      <c r="X172" s="3" t="inlineStr">
        <is>
          <t>Supplier</t>
        </is>
      </c>
      <c r="Y172" s="3" t="inlineStr">
        <is>
          <t>No</t>
        </is>
      </c>
      <c r="Z172" s="5" t="n"/>
      <c r="AA172" s="3" t="n"/>
      <c r="AB172" s="3" t="n"/>
      <c r="AC172" s="6" t="n"/>
      <c r="AD172" s="3" t="inlineStr">
        <is>
          <t>kgCO2e/component</t>
        </is>
      </c>
      <c r="AE172" s="3" t="n"/>
      <c r="AF172" s="7" t="n"/>
      <c r="AG172" s="3" t="n"/>
      <c r="AH172" s="3" t="n"/>
      <c r="AI172" s="6" t="n"/>
      <c r="AJ172" s="3" t="inlineStr">
        <is>
          <t>kgCO2e/component</t>
        </is>
      </c>
      <c r="AK172" s="3" t="n"/>
      <c r="AL172" s="7" t="n">
        <v>0</v>
      </c>
      <c r="AM172" s="3" t="n"/>
      <c r="AN172" s="3" t="n"/>
      <c r="AO172" s="3" t="n"/>
      <c r="AP172" s="4">
        <f>IF(COUNT(AM172,AN172,AO172)=0,"",ROUND(AVERAGE(AM172,AN172,AO172),3))</f>
        <v/>
      </c>
      <c r="AQ172" s="3">
        <f>IF(AC172="","",ROUND(AC172*IF(M172="",0,M172)*(1+IF(AF172="",0,AF172)),5))</f>
        <v/>
      </c>
      <c r="AR172" s="3" t="inlineStr">
        <is>
          <t>kgCO2e/component</t>
        </is>
      </c>
      <c r="AS172" s="5" t="n"/>
      <c r="AT172" s="9">
        <f>IF(AND($A172&lt;&gt;"",G172=""),"Supplier code empty (High);","")&amp;IF(AND(U172&lt;&gt;"",OR(U172&gt;1,U172&lt;0)),"Incorrect PDS value (High);",IF(AND(U172&lt;&gt;"",U172&gt;0.5),"High PDS value (Medium);",""))&amp;IF(AND(V172&lt;&gt;"",OR(V172&gt;5,V172&lt;1)),"Incorrect DQR value (High);","")&amp;IF(AND(S172&lt;&gt;"",OR(S172&lt;=0,S172&gt;100)),"Unusual PCF value might be wrong (High);","")&amp;IF(AND(AL172&lt;&gt;"",OR(AL172&gt;1,AL172&lt;0)),"Incorrect PDS value (High);",IF(AND(AL172&lt;&gt;"",AL172&gt;0.5),"High PDS value (Medium);",""))&amp;IF(AND(AP172&lt;&gt;"",OR(AP172&gt;5,AP172&lt;1)),"Incorrect DQR value (High);","")&amp;IF(AND($A172&lt;&gt;"",AF172&gt;1),"Incorrect scrap rate (High);",IF(AND($A172&lt;&gt;"",AF172=0),"No scrap rate (No impact);",""))&amp;IF(AND($A172&lt;&gt;"",I172="",J172="",K172=""),"No raw material available (High);","")&amp;""</f>
        <v/>
      </c>
      <c r="AU172" s="9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4" t="n"/>
      <c r="M173" s="4" t="n"/>
      <c r="N173" s="3" t="inlineStr">
        <is>
          <t>kg</t>
        </is>
      </c>
      <c r="O173" s="4" t="n"/>
      <c r="P173" s="3" t="inlineStr">
        <is>
          <t>kg</t>
        </is>
      </c>
      <c r="Q173" s="3" t="n"/>
      <c r="R173" s="5" t="n"/>
      <c r="S173" s="6" t="n"/>
      <c r="T173" s="3" t="inlineStr">
        <is>
          <t>kgCO2e/component</t>
        </is>
      </c>
      <c r="U173" s="7" t="n"/>
      <c r="V173" s="4" t="n"/>
      <c r="W173" s="8" t="n"/>
      <c r="X173" s="3" t="inlineStr">
        <is>
          <t>Supplier</t>
        </is>
      </c>
      <c r="Y173" s="3" t="inlineStr">
        <is>
          <t>No</t>
        </is>
      </c>
      <c r="Z173" s="5" t="n"/>
      <c r="AA173" s="3" t="n"/>
      <c r="AB173" s="3" t="n"/>
      <c r="AC173" s="6" t="n"/>
      <c r="AD173" s="3" t="inlineStr">
        <is>
          <t>kgCO2e/component</t>
        </is>
      </c>
      <c r="AE173" s="3" t="n"/>
      <c r="AF173" s="7" t="n"/>
      <c r="AG173" s="3" t="n"/>
      <c r="AH173" s="3" t="n"/>
      <c r="AI173" s="6" t="n"/>
      <c r="AJ173" s="3" t="inlineStr">
        <is>
          <t>kgCO2e/component</t>
        </is>
      </c>
      <c r="AK173" s="3" t="n"/>
      <c r="AL173" s="7" t="n">
        <v>0</v>
      </c>
      <c r="AM173" s="3" t="n"/>
      <c r="AN173" s="3" t="n"/>
      <c r="AO173" s="3" t="n"/>
      <c r="AP173" s="4">
        <f>IF(COUNT(AM173,AN173,AO173)=0,"",ROUND(AVERAGE(AM173,AN173,AO173),3))</f>
        <v/>
      </c>
      <c r="AQ173" s="3">
        <f>IF(AC173="","",ROUND(AC173*IF(M173="",0,M173)*(1+IF(AF173="",0,AF173)),5))</f>
        <v/>
      </c>
      <c r="AR173" s="3" t="inlineStr">
        <is>
          <t>kgCO2e/component</t>
        </is>
      </c>
      <c r="AS173" s="5" t="n"/>
      <c r="AT173" s="9">
        <f>IF(AND($A173&lt;&gt;"",G173=""),"Supplier code empty (High);","")&amp;IF(AND(U173&lt;&gt;"",OR(U173&gt;1,U173&lt;0)),"Incorrect PDS value (High);",IF(AND(U173&lt;&gt;"",U173&gt;0.5),"High PDS value (Medium);",""))&amp;IF(AND(V173&lt;&gt;"",OR(V173&gt;5,V173&lt;1)),"Incorrect DQR value (High);","")&amp;IF(AND(S173&lt;&gt;"",OR(S173&lt;=0,S173&gt;100)),"Unusual PCF value might be wrong (High);","")&amp;IF(AND(AL173&lt;&gt;"",OR(AL173&gt;1,AL173&lt;0)),"Incorrect PDS value (High);",IF(AND(AL173&lt;&gt;"",AL173&gt;0.5),"High PDS value (Medium);",""))&amp;IF(AND(AP173&lt;&gt;"",OR(AP173&gt;5,AP173&lt;1)),"Incorrect DQR value (High);","")&amp;IF(AND($A173&lt;&gt;"",AF173&gt;1),"Incorrect scrap rate (High);",IF(AND($A173&lt;&gt;"",AF173=0),"No scrap rate (No impact);",""))&amp;IF(AND($A173&lt;&gt;"",I173="",J173="",K173=""),"No raw material available (High);","")&amp;""</f>
        <v/>
      </c>
      <c r="AU173" s="9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4" t="n"/>
      <c r="M174" s="4" t="n"/>
      <c r="N174" s="3" t="inlineStr">
        <is>
          <t>kg</t>
        </is>
      </c>
      <c r="O174" s="4" t="n"/>
      <c r="P174" s="3" t="inlineStr">
        <is>
          <t>kg</t>
        </is>
      </c>
      <c r="Q174" s="3" t="n"/>
      <c r="R174" s="5" t="n"/>
      <c r="S174" s="6" t="n"/>
      <c r="T174" s="3" t="inlineStr">
        <is>
          <t>kgCO2e/component</t>
        </is>
      </c>
      <c r="U174" s="7" t="n"/>
      <c r="V174" s="4" t="n"/>
      <c r="W174" s="8" t="n"/>
      <c r="X174" s="3" t="inlineStr">
        <is>
          <t>Supplier</t>
        </is>
      </c>
      <c r="Y174" s="3" t="inlineStr">
        <is>
          <t>No</t>
        </is>
      </c>
      <c r="Z174" s="5" t="n"/>
      <c r="AA174" s="3" t="n"/>
      <c r="AB174" s="3" t="n"/>
      <c r="AC174" s="6" t="n"/>
      <c r="AD174" s="3" t="inlineStr">
        <is>
          <t>kgCO2e/component</t>
        </is>
      </c>
      <c r="AE174" s="3" t="n"/>
      <c r="AF174" s="7" t="n"/>
      <c r="AG174" s="3" t="n"/>
      <c r="AH174" s="3" t="n"/>
      <c r="AI174" s="6" t="n"/>
      <c r="AJ174" s="3" t="inlineStr">
        <is>
          <t>kgCO2e/component</t>
        </is>
      </c>
      <c r="AK174" s="3" t="n"/>
      <c r="AL174" s="7" t="n">
        <v>0</v>
      </c>
      <c r="AM174" s="3" t="n"/>
      <c r="AN174" s="3" t="n"/>
      <c r="AO174" s="3" t="n"/>
      <c r="AP174" s="4">
        <f>IF(COUNT(AM174,AN174,AO174)=0,"",ROUND(AVERAGE(AM174,AN174,AO174),3))</f>
        <v/>
      </c>
      <c r="AQ174" s="3">
        <f>IF(AC174="","",ROUND(AC174*IF(M174="",0,M174)*(1+IF(AF174="",0,AF174)),5))</f>
        <v/>
      </c>
      <c r="AR174" s="3" t="inlineStr">
        <is>
          <t>kgCO2e/component</t>
        </is>
      </c>
      <c r="AS174" s="5" t="n"/>
      <c r="AT174" s="9">
        <f>IF(AND($A174&lt;&gt;"",G174=""),"Supplier code empty (High);","")&amp;IF(AND(U174&lt;&gt;"",OR(U174&gt;1,U174&lt;0)),"Incorrect PDS value (High);",IF(AND(U174&lt;&gt;"",U174&gt;0.5),"High PDS value (Medium);",""))&amp;IF(AND(V174&lt;&gt;"",OR(V174&gt;5,V174&lt;1)),"Incorrect DQR value (High);","")&amp;IF(AND(S174&lt;&gt;"",OR(S174&lt;=0,S174&gt;100)),"Unusual PCF value might be wrong (High);","")&amp;IF(AND(AL174&lt;&gt;"",OR(AL174&gt;1,AL174&lt;0)),"Incorrect PDS value (High);",IF(AND(AL174&lt;&gt;"",AL174&gt;0.5),"High PDS value (Medium);",""))&amp;IF(AND(AP174&lt;&gt;"",OR(AP174&gt;5,AP174&lt;1)),"Incorrect DQR value (High);","")&amp;IF(AND($A174&lt;&gt;"",AF174&gt;1),"Incorrect scrap rate (High);",IF(AND($A174&lt;&gt;"",AF174=0),"No scrap rate (No impact);",""))&amp;IF(AND($A174&lt;&gt;"",I174="",J174="",K174=""),"No raw material available (High);","")&amp;""</f>
        <v/>
      </c>
      <c r="AU174" s="9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4" t="n"/>
      <c r="M175" s="4" t="n"/>
      <c r="N175" s="3" t="inlineStr">
        <is>
          <t>kg</t>
        </is>
      </c>
      <c r="O175" s="4" t="n"/>
      <c r="P175" s="3" t="inlineStr">
        <is>
          <t>kg</t>
        </is>
      </c>
      <c r="Q175" s="3" t="n"/>
      <c r="R175" s="5" t="n"/>
      <c r="S175" s="6" t="n"/>
      <c r="T175" s="3" t="inlineStr">
        <is>
          <t>kgCO2e/component</t>
        </is>
      </c>
      <c r="U175" s="7" t="n"/>
      <c r="V175" s="4" t="n"/>
      <c r="W175" s="8" t="n"/>
      <c r="X175" s="3" t="inlineStr">
        <is>
          <t>Supplier</t>
        </is>
      </c>
      <c r="Y175" s="3" t="inlineStr">
        <is>
          <t>No</t>
        </is>
      </c>
      <c r="Z175" s="5" t="n"/>
      <c r="AA175" s="3" t="n"/>
      <c r="AB175" s="3" t="n"/>
      <c r="AC175" s="6" t="n"/>
      <c r="AD175" s="3" t="inlineStr">
        <is>
          <t>kgCO2e/component</t>
        </is>
      </c>
      <c r="AE175" s="3" t="n"/>
      <c r="AF175" s="7" t="n"/>
      <c r="AG175" s="3" t="n"/>
      <c r="AH175" s="3" t="n"/>
      <c r="AI175" s="6" t="n"/>
      <c r="AJ175" s="3" t="inlineStr">
        <is>
          <t>kgCO2e/component</t>
        </is>
      </c>
      <c r="AK175" s="3" t="n"/>
      <c r="AL175" s="7" t="n">
        <v>0</v>
      </c>
      <c r="AM175" s="3" t="n"/>
      <c r="AN175" s="3" t="n"/>
      <c r="AO175" s="3" t="n"/>
      <c r="AP175" s="4">
        <f>IF(COUNT(AM175,AN175,AO175)=0,"",ROUND(AVERAGE(AM175,AN175,AO175),3))</f>
        <v/>
      </c>
      <c r="AQ175" s="3">
        <f>IF(AC175="","",ROUND(AC175*IF(M175="",0,M175)*(1+IF(AF175="",0,AF175)),5))</f>
        <v/>
      </c>
      <c r="AR175" s="3" t="inlineStr">
        <is>
          <t>kgCO2e/component</t>
        </is>
      </c>
      <c r="AS175" s="5" t="n"/>
      <c r="AT175" s="9">
        <f>IF(AND($A175&lt;&gt;"",G175=""),"Supplier code empty (High);","")&amp;IF(AND(U175&lt;&gt;"",OR(U175&gt;1,U175&lt;0)),"Incorrect PDS value (High);",IF(AND(U175&lt;&gt;"",U175&gt;0.5),"High PDS value (Medium);",""))&amp;IF(AND(V175&lt;&gt;"",OR(V175&gt;5,V175&lt;1)),"Incorrect DQR value (High);","")&amp;IF(AND(S175&lt;&gt;"",OR(S175&lt;=0,S175&gt;100)),"Unusual PCF value might be wrong (High);","")&amp;IF(AND(AL175&lt;&gt;"",OR(AL175&gt;1,AL175&lt;0)),"Incorrect PDS value (High);",IF(AND(AL175&lt;&gt;"",AL175&gt;0.5),"High PDS value (Medium);",""))&amp;IF(AND(AP175&lt;&gt;"",OR(AP175&gt;5,AP175&lt;1)),"Incorrect DQR value (High);","")&amp;IF(AND($A175&lt;&gt;"",AF175&gt;1),"Incorrect scrap rate (High);",IF(AND($A175&lt;&gt;"",AF175=0),"No scrap rate (No impact);",""))&amp;IF(AND($A175&lt;&gt;"",I175="",J175="",K175=""),"No raw material available (High);","")&amp;""</f>
        <v/>
      </c>
      <c r="AU175" s="9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4" t="n"/>
      <c r="M176" s="4" t="n"/>
      <c r="N176" s="3" t="inlineStr">
        <is>
          <t>kg</t>
        </is>
      </c>
      <c r="O176" s="4" t="n"/>
      <c r="P176" s="3" t="inlineStr">
        <is>
          <t>kg</t>
        </is>
      </c>
      <c r="Q176" s="3" t="n"/>
      <c r="R176" s="5" t="n"/>
      <c r="S176" s="6" t="n"/>
      <c r="T176" s="3" t="inlineStr">
        <is>
          <t>kgCO2e/component</t>
        </is>
      </c>
      <c r="U176" s="7" t="n"/>
      <c r="V176" s="4" t="n"/>
      <c r="W176" s="8" t="n"/>
      <c r="X176" s="3" t="inlineStr">
        <is>
          <t>Supplier</t>
        </is>
      </c>
      <c r="Y176" s="3" t="inlineStr">
        <is>
          <t>No</t>
        </is>
      </c>
      <c r="Z176" s="5" t="n"/>
      <c r="AA176" s="3" t="n"/>
      <c r="AB176" s="3" t="n"/>
      <c r="AC176" s="6" t="n"/>
      <c r="AD176" s="3" t="inlineStr">
        <is>
          <t>kgCO2e/component</t>
        </is>
      </c>
      <c r="AE176" s="3" t="n"/>
      <c r="AF176" s="7" t="n"/>
      <c r="AG176" s="3" t="n"/>
      <c r="AH176" s="3" t="n"/>
      <c r="AI176" s="6" t="n"/>
      <c r="AJ176" s="3" t="inlineStr">
        <is>
          <t>kgCO2e/component</t>
        </is>
      </c>
      <c r="AK176" s="3" t="n"/>
      <c r="AL176" s="7" t="n">
        <v>0</v>
      </c>
      <c r="AM176" s="3" t="n"/>
      <c r="AN176" s="3" t="n"/>
      <c r="AO176" s="3" t="n"/>
      <c r="AP176" s="4">
        <f>IF(COUNT(AM176,AN176,AO176)=0,"",ROUND(AVERAGE(AM176,AN176,AO176),3))</f>
        <v/>
      </c>
      <c r="AQ176" s="3">
        <f>IF(AC176="","",ROUND(AC176*IF(M176="",0,M176)*(1+IF(AF176="",0,AF176)),5))</f>
        <v/>
      </c>
      <c r="AR176" s="3" t="inlineStr">
        <is>
          <t>kgCO2e/component</t>
        </is>
      </c>
      <c r="AS176" s="5" t="n"/>
      <c r="AT176" s="9">
        <f>IF(AND($A176&lt;&gt;"",G176=""),"Supplier code empty (High);","")&amp;IF(AND(U176&lt;&gt;"",OR(U176&gt;1,U176&lt;0)),"Incorrect PDS value (High);",IF(AND(U176&lt;&gt;"",U176&gt;0.5),"High PDS value (Medium);",""))&amp;IF(AND(V176&lt;&gt;"",OR(V176&gt;5,V176&lt;1)),"Incorrect DQR value (High);","")&amp;IF(AND(S176&lt;&gt;"",OR(S176&lt;=0,S176&gt;100)),"Unusual PCF value might be wrong (High);","")&amp;IF(AND(AL176&lt;&gt;"",OR(AL176&gt;1,AL176&lt;0)),"Incorrect PDS value (High);",IF(AND(AL176&lt;&gt;"",AL176&gt;0.5),"High PDS value (Medium);",""))&amp;IF(AND(AP176&lt;&gt;"",OR(AP176&gt;5,AP176&lt;1)),"Incorrect DQR value (High);","")&amp;IF(AND($A176&lt;&gt;"",AF176&gt;1),"Incorrect scrap rate (High);",IF(AND($A176&lt;&gt;"",AF176=0),"No scrap rate (No impact);",""))&amp;IF(AND($A176&lt;&gt;"",I176="",J176="",K176=""),"No raw material available (High);","")&amp;""</f>
        <v/>
      </c>
      <c r="AU176" s="9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4" t="n"/>
      <c r="M177" s="4" t="n"/>
      <c r="N177" s="3" t="inlineStr">
        <is>
          <t>kg</t>
        </is>
      </c>
      <c r="O177" s="4" t="n"/>
      <c r="P177" s="3" t="inlineStr">
        <is>
          <t>kg</t>
        </is>
      </c>
      <c r="Q177" s="3" t="n"/>
      <c r="R177" s="5" t="n"/>
      <c r="S177" s="6" t="n"/>
      <c r="T177" s="3" t="inlineStr">
        <is>
          <t>kgCO2e/component</t>
        </is>
      </c>
      <c r="U177" s="7" t="n"/>
      <c r="V177" s="4" t="n"/>
      <c r="W177" s="8" t="n"/>
      <c r="X177" s="3" t="inlineStr">
        <is>
          <t>Supplier</t>
        </is>
      </c>
      <c r="Y177" s="3" t="inlineStr">
        <is>
          <t>No</t>
        </is>
      </c>
      <c r="Z177" s="5" t="n"/>
      <c r="AA177" s="3" t="n"/>
      <c r="AB177" s="3" t="n"/>
      <c r="AC177" s="6" t="n"/>
      <c r="AD177" s="3" t="inlineStr">
        <is>
          <t>kgCO2e/component</t>
        </is>
      </c>
      <c r="AE177" s="3" t="n"/>
      <c r="AF177" s="7" t="n"/>
      <c r="AG177" s="3" t="n"/>
      <c r="AH177" s="3" t="n"/>
      <c r="AI177" s="6" t="n"/>
      <c r="AJ177" s="3" t="inlineStr">
        <is>
          <t>kgCO2e/component</t>
        </is>
      </c>
      <c r="AK177" s="3" t="n"/>
      <c r="AL177" s="7" t="n">
        <v>0</v>
      </c>
      <c r="AM177" s="3" t="n"/>
      <c r="AN177" s="3" t="n"/>
      <c r="AO177" s="3" t="n"/>
      <c r="AP177" s="4">
        <f>IF(COUNT(AM177,AN177,AO177)=0,"",ROUND(AVERAGE(AM177,AN177,AO177),3))</f>
        <v/>
      </c>
      <c r="AQ177" s="3">
        <f>IF(AC177="","",ROUND(AC177*IF(M177="",0,M177)*(1+IF(AF177="",0,AF177)),5))</f>
        <v/>
      </c>
      <c r="AR177" s="3" t="inlineStr">
        <is>
          <t>kgCO2e/component</t>
        </is>
      </c>
      <c r="AS177" s="5" t="n"/>
      <c r="AT177" s="9">
        <f>IF(AND($A177&lt;&gt;"",G177=""),"Supplier code empty (High);","")&amp;IF(AND(U177&lt;&gt;"",OR(U177&gt;1,U177&lt;0)),"Incorrect PDS value (High);",IF(AND(U177&lt;&gt;"",U177&gt;0.5),"High PDS value (Medium);",""))&amp;IF(AND(V177&lt;&gt;"",OR(V177&gt;5,V177&lt;1)),"Incorrect DQR value (High);","")&amp;IF(AND(S177&lt;&gt;"",OR(S177&lt;=0,S177&gt;100)),"Unusual PCF value might be wrong (High);","")&amp;IF(AND(AL177&lt;&gt;"",OR(AL177&gt;1,AL177&lt;0)),"Incorrect PDS value (High);",IF(AND(AL177&lt;&gt;"",AL177&gt;0.5),"High PDS value (Medium);",""))&amp;IF(AND(AP177&lt;&gt;"",OR(AP177&gt;5,AP177&lt;1)),"Incorrect DQR value (High);","")&amp;IF(AND($A177&lt;&gt;"",AF177&gt;1),"Incorrect scrap rate (High);",IF(AND($A177&lt;&gt;"",AF177=0),"No scrap rate (No impact);",""))&amp;IF(AND($A177&lt;&gt;"",I177="",J177="",K177=""),"No raw material available (High);","")&amp;""</f>
        <v/>
      </c>
      <c r="AU177" s="9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4" t="n"/>
      <c r="M178" s="4" t="n"/>
      <c r="N178" s="3" t="inlineStr">
        <is>
          <t>kg</t>
        </is>
      </c>
      <c r="O178" s="4" t="n"/>
      <c r="P178" s="3" t="inlineStr">
        <is>
          <t>kg</t>
        </is>
      </c>
      <c r="Q178" s="3" t="n"/>
      <c r="R178" s="5" t="n"/>
      <c r="S178" s="6" t="n"/>
      <c r="T178" s="3" t="inlineStr">
        <is>
          <t>kgCO2e/component</t>
        </is>
      </c>
      <c r="U178" s="7" t="n"/>
      <c r="V178" s="4" t="n"/>
      <c r="W178" s="8" t="n"/>
      <c r="X178" s="3" t="inlineStr">
        <is>
          <t>Supplier</t>
        </is>
      </c>
      <c r="Y178" s="3" t="inlineStr">
        <is>
          <t>No</t>
        </is>
      </c>
      <c r="Z178" s="5" t="n"/>
      <c r="AA178" s="3" t="n"/>
      <c r="AB178" s="3" t="n"/>
      <c r="AC178" s="6" t="n"/>
      <c r="AD178" s="3" t="inlineStr">
        <is>
          <t>kgCO2e/component</t>
        </is>
      </c>
      <c r="AE178" s="3" t="n"/>
      <c r="AF178" s="7" t="n"/>
      <c r="AG178" s="3" t="n"/>
      <c r="AH178" s="3" t="n"/>
      <c r="AI178" s="6" t="n"/>
      <c r="AJ178" s="3" t="inlineStr">
        <is>
          <t>kgCO2e/component</t>
        </is>
      </c>
      <c r="AK178" s="3" t="n"/>
      <c r="AL178" s="7" t="n">
        <v>0</v>
      </c>
      <c r="AM178" s="3" t="n"/>
      <c r="AN178" s="3" t="n"/>
      <c r="AO178" s="3" t="n"/>
      <c r="AP178" s="4">
        <f>IF(COUNT(AM178,AN178,AO178)=0,"",ROUND(AVERAGE(AM178,AN178,AO178),3))</f>
        <v/>
      </c>
      <c r="AQ178" s="3">
        <f>IF(AC178="","",ROUND(AC178*IF(M178="",0,M178)*(1+IF(AF178="",0,AF178)),5))</f>
        <v/>
      </c>
      <c r="AR178" s="3" t="inlineStr">
        <is>
          <t>kgCO2e/component</t>
        </is>
      </c>
      <c r="AS178" s="5" t="n"/>
      <c r="AT178" s="9">
        <f>IF(AND($A178&lt;&gt;"",G178=""),"Supplier code empty (High);","")&amp;IF(AND(U178&lt;&gt;"",OR(U178&gt;1,U178&lt;0)),"Incorrect PDS value (High);",IF(AND(U178&lt;&gt;"",U178&gt;0.5),"High PDS value (Medium);",""))&amp;IF(AND(V178&lt;&gt;"",OR(V178&gt;5,V178&lt;1)),"Incorrect DQR value (High);","")&amp;IF(AND(S178&lt;&gt;"",OR(S178&lt;=0,S178&gt;100)),"Unusual PCF value might be wrong (High);","")&amp;IF(AND(AL178&lt;&gt;"",OR(AL178&gt;1,AL178&lt;0)),"Incorrect PDS value (High);",IF(AND(AL178&lt;&gt;"",AL178&gt;0.5),"High PDS value (Medium);",""))&amp;IF(AND(AP178&lt;&gt;"",OR(AP178&gt;5,AP178&lt;1)),"Incorrect DQR value (High);","")&amp;IF(AND($A178&lt;&gt;"",AF178&gt;1),"Incorrect scrap rate (High);",IF(AND($A178&lt;&gt;"",AF178=0),"No scrap rate (No impact);",""))&amp;IF(AND($A178&lt;&gt;"",I178="",J178="",K178=""),"No raw material available (High);","")&amp;""</f>
        <v/>
      </c>
      <c r="AU178" s="9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4" t="n"/>
      <c r="M179" s="4" t="n"/>
      <c r="N179" s="3" t="inlineStr">
        <is>
          <t>kg</t>
        </is>
      </c>
      <c r="O179" s="4" t="n"/>
      <c r="P179" s="3" t="inlineStr">
        <is>
          <t>kg</t>
        </is>
      </c>
      <c r="Q179" s="3" t="n"/>
      <c r="R179" s="5" t="n"/>
      <c r="S179" s="6" t="n"/>
      <c r="T179" s="3" t="inlineStr">
        <is>
          <t>kgCO2e/component</t>
        </is>
      </c>
      <c r="U179" s="7" t="n"/>
      <c r="V179" s="4" t="n"/>
      <c r="W179" s="8" t="n"/>
      <c r="X179" s="3" t="inlineStr">
        <is>
          <t>Supplier</t>
        </is>
      </c>
      <c r="Y179" s="3" t="inlineStr">
        <is>
          <t>No</t>
        </is>
      </c>
      <c r="Z179" s="5" t="n"/>
      <c r="AA179" s="3" t="n"/>
      <c r="AB179" s="3" t="n"/>
      <c r="AC179" s="6" t="n"/>
      <c r="AD179" s="3" t="inlineStr">
        <is>
          <t>kgCO2e/component</t>
        </is>
      </c>
      <c r="AE179" s="3" t="n"/>
      <c r="AF179" s="7" t="n"/>
      <c r="AG179" s="3" t="n"/>
      <c r="AH179" s="3" t="n"/>
      <c r="AI179" s="6" t="n"/>
      <c r="AJ179" s="3" t="inlineStr">
        <is>
          <t>kgCO2e/component</t>
        </is>
      </c>
      <c r="AK179" s="3" t="n"/>
      <c r="AL179" s="7" t="n">
        <v>0</v>
      </c>
      <c r="AM179" s="3" t="n"/>
      <c r="AN179" s="3" t="n"/>
      <c r="AO179" s="3" t="n"/>
      <c r="AP179" s="4">
        <f>IF(COUNT(AM179,AN179,AO179)=0,"",ROUND(AVERAGE(AM179,AN179,AO179),3))</f>
        <v/>
      </c>
      <c r="AQ179" s="3">
        <f>IF(AC179="","",ROUND(AC179*IF(M179="",0,M179)*(1+IF(AF179="",0,AF179)),5))</f>
        <v/>
      </c>
      <c r="AR179" s="3" t="inlineStr">
        <is>
          <t>kgCO2e/component</t>
        </is>
      </c>
      <c r="AS179" s="5" t="n"/>
      <c r="AT179" s="9">
        <f>IF(AND($A179&lt;&gt;"",G179=""),"Supplier code empty (High);","")&amp;IF(AND(U179&lt;&gt;"",OR(U179&gt;1,U179&lt;0)),"Incorrect PDS value (High);",IF(AND(U179&lt;&gt;"",U179&gt;0.5),"High PDS value (Medium);",""))&amp;IF(AND(V179&lt;&gt;"",OR(V179&gt;5,V179&lt;1)),"Incorrect DQR value (High);","")&amp;IF(AND(S179&lt;&gt;"",OR(S179&lt;=0,S179&gt;100)),"Unusual PCF value might be wrong (High);","")&amp;IF(AND(AL179&lt;&gt;"",OR(AL179&gt;1,AL179&lt;0)),"Incorrect PDS value (High);",IF(AND(AL179&lt;&gt;"",AL179&gt;0.5),"High PDS value (Medium);",""))&amp;IF(AND(AP179&lt;&gt;"",OR(AP179&gt;5,AP179&lt;1)),"Incorrect DQR value (High);","")&amp;IF(AND($A179&lt;&gt;"",AF179&gt;1),"Incorrect scrap rate (High);",IF(AND($A179&lt;&gt;"",AF179=0),"No scrap rate (No impact);",""))&amp;IF(AND($A179&lt;&gt;"",I179="",J179="",K179=""),"No raw material available (High);","")&amp;""</f>
        <v/>
      </c>
      <c r="AU179" s="9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4" t="n"/>
      <c r="M180" s="4" t="n"/>
      <c r="N180" s="3" t="inlineStr">
        <is>
          <t>kg</t>
        </is>
      </c>
      <c r="O180" s="4" t="n"/>
      <c r="P180" s="3" t="inlineStr">
        <is>
          <t>kg</t>
        </is>
      </c>
      <c r="Q180" s="3" t="n"/>
      <c r="R180" s="5" t="n"/>
      <c r="S180" s="6" t="n"/>
      <c r="T180" s="3" t="inlineStr">
        <is>
          <t>kgCO2e/component</t>
        </is>
      </c>
      <c r="U180" s="7" t="n"/>
      <c r="V180" s="4" t="n"/>
      <c r="W180" s="8" t="n"/>
      <c r="X180" s="3" t="inlineStr">
        <is>
          <t>Supplier</t>
        </is>
      </c>
      <c r="Y180" s="3" t="inlineStr">
        <is>
          <t>No</t>
        </is>
      </c>
      <c r="Z180" s="5" t="n"/>
      <c r="AA180" s="3" t="n"/>
      <c r="AB180" s="3" t="n"/>
      <c r="AC180" s="6" t="n"/>
      <c r="AD180" s="3" t="inlineStr">
        <is>
          <t>kgCO2e/component</t>
        </is>
      </c>
      <c r="AE180" s="3" t="n"/>
      <c r="AF180" s="7" t="n"/>
      <c r="AG180" s="3" t="n"/>
      <c r="AH180" s="3" t="n"/>
      <c r="AI180" s="6" t="n"/>
      <c r="AJ180" s="3" t="inlineStr">
        <is>
          <t>kgCO2e/component</t>
        </is>
      </c>
      <c r="AK180" s="3" t="n"/>
      <c r="AL180" s="7" t="n">
        <v>0</v>
      </c>
      <c r="AM180" s="3" t="n"/>
      <c r="AN180" s="3" t="n"/>
      <c r="AO180" s="3" t="n"/>
      <c r="AP180" s="4">
        <f>IF(COUNT(AM180,AN180,AO180)=0,"",ROUND(AVERAGE(AM180,AN180,AO180),3))</f>
        <v/>
      </c>
      <c r="AQ180" s="3">
        <f>IF(AC180="","",ROUND(AC180*IF(M180="",0,M180)*(1+IF(AF180="",0,AF180)),5))</f>
        <v/>
      </c>
      <c r="AR180" s="3" t="inlineStr">
        <is>
          <t>kgCO2e/component</t>
        </is>
      </c>
      <c r="AS180" s="5" t="n"/>
      <c r="AT180" s="9">
        <f>IF(AND($A180&lt;&gt;"",G180=""),"Supplier code empty (High);","")&amp;IF(AND(U180&lt;&gt;"",OR(U180&gt;1,U180&lt;0)),"Incorrect PDS value (High);",IF(AND(U180&lt;&gt;"",U180&gt;0.5),"High PDS value (Medium);",""))&amp;IF(AND(V180&lt;&gt;"",OR(V180&gt;5,V180&lt;1)),"Incorrect DQR value (High);","")&amp;IF(AND(S180&lt;&gt;"",OR(S180&lt;=0,S180&gt;100)),"Unusual PCF value might be wrong (High);","")&amp;IF(AND(AL180&lt;&gt;"",OR(AL180&gt;1,AL180&lt;0)),"Incorrect PDS value (High);",IF(AND(AL180&lt;&gt;"",AL180&gt;0.5),"High PDS value (Medium);",""))&amp;IF(AND(AP180&lt;&gt;"",OR(AP180&gt;5,AP180&lt;1)),"Incorrect DQR value (High);","")&amp;IF(AND($A180&lt;&gt;"",AF180&gt;1),"Incorrect scrap rate (High);",IF(AND($A180&lt;&gt;"",AF180=0),"No scrap rate (No impact);",""))&amp;IF(AND($A180&lt;&gt;"",I180="",J180="",K180=""),"No raw material available (High);","")&amp;""</f>
        <v/>
      </c>
      <c r="AU180" s="9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4" t="n"/>
      <c r="M181" s="4" t="n"/>
      <c r="N181" s="3" t="inlineStr">
        <is>
          <t>kg</t>
        </is>
      </c>
      <c r="O181" s="4" t="n"/>
      <c r="P181" s="3" t="inlineStr">
        <is>
          <t>kg</t>
        </is>
      </c>
      <c r="Q181" s="3" t="n"/>
      <c r="R181" s="5" t="n"/>
      <c r="S181" s="6" t="n"/>
      <c r="T181" s="3" t="inlineStr">
        <is>
          <t>kgCO2e/component</t>
        </is>
      </c>
      <c r="U181" s="7" t="n"/>
      <c r="V181" s="4" t="n"/>
      <c r="W181" s="8" t="n"/>
      <c r="X181" s="3" t="inlineStr">
        <is>
          <t>Supplier</t>
        </is>
      </c>
      <c r="Y181" s="3" t="inlineStr">
        <is>
          <t>No</t>
        </is>
      </c>
      <c r="Z181" s="5" t="n"/>
      <c r="AA181" s="3" t="n"/>
      <c r="AB181" s="3" t="n"/>
      <c r="AC181" s="6" t="n"/>
      <c r="AD181" s="3" t="inlineStr">
        <is>
          <t>kgCO2e/component</t>
        </is>
      </c>
      <c r="AE181" s="3" t="n"/>
      <c r="AF181" s="7" t="n"/>
      <c r="AG181" s="3" t="n"/>
      <c r="AH181" s="3" t="n"/>
      <c r="AI181" s="6" t="n"/>
      <c r="AJ181" s="3" t="inlineStr">
        <is>
          <t>kgCO2e/component</t>
        </is>
      </c>
      <c r="AK181" s="3" t="n"/>
      <c r="AL181" s="7" t="n">
        <v>0</v>
      </c>
      <c r="AM181" s="3" t="n"/>
      <c r="AN181" s="3" t="n"/>
      <c r="AO181" s="3" t="n"/>
      <c r="AP181" s="4">
        <f>IF(COUNT(AM181,AN181,AO181)=0,"",ROUND(AVERAGE(AM181,AN181,AO181),3))</f>
        <v/>
      </c>
      <c r="AQ181" s="3">
        <f>IF(AC181="","",ROUND(AC181*IF(M181="",0,M181)*(1+IF(AF181="",0,AF181)),5))</f>
        <v/>
      </c>
      <c r="AR181" s="3" t="inlineStr">
        <is>
          <t>kgCO2e/component</t>
        </is>
      </c>
      <c r="AS181" s="5" t="n"/>
      <c r="AT181" s="9">
        <f>IF(AND($A181&lt;&gt;"",G181=""),"Supplier code empty (High);","")&amp;IF(AND(U181&lt;&gt;"",OR(U181&gt;1,U181&lt;0)),"Incorrect PDS value (High);",IF(AND(U181&lt;&gt;"",U181&gt;0.5),"High PDS value (Medium);",""))&amp;IF(AND(V181&lt;&gt;"",OR(V181&gt;5,V181&lt;1)),"Incorrect DQR value (High);","")&amp;IF(AND(S181&lt;&gt;"",OR(S181&lt;=0,S181&gt;100)),"Unusual PCF value might be wrong (High);","")&amp;IF(AND(AL181&lt;&gt;"",OR(AL181&gt;1,AL181&lt;0)),"Incorrect PDS value (High);",IF(AND(AL181&lt;&gt;"",AL181&gt;0.5),"High PDS value (Medium);",""))&amp;IF(AND(AP181&lt;&gt;"",OR(AP181&gt;5,AP181&lt;1)),"Incorrect DQR value (High);","")&amp;IF(AND($A181&lt;&gt;"",AF181&gt;1),"Incorrect scrap rate (High);",IF(AND($A181&lt;&gt;"",AF181=0),"No scrap rate (No impact);",""))&amp;IF(AND($A181&lt;&gt;"",I181="",J181="",K181=""),"No raw material available (High);","")&amp;""</f>
        <v/>
      </c>
      <c r="AU181" s="9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4" t="n"/>
      <c r="M182" s="4" t="n"/>
      <c r="N182" s="3" t="inlineStr">
        <is>
          <t>kg</t>
        </is>
      </c>
      <c r="O182" s="4" t="n"/>
      <c r="P182" s="3" t="inlineStr">
        <is>
          <t>kg</t>
        </is>
      </c>
      <c r="Q182" s="3" t="n"/>
      <c r="R182" s="5" t="n"/>
      <c r="S182" s="6" t="n"/>
      <c r="T182" s="3" t="inlineStr">
        <is>
          <t>kgCO2e/component</t>
        </is>
      </c>
      <c r="U182" s="7" t="n"/>
      <c r="V182" s="4" t="n"/>
      <c r="W182" s="8" t="n"/>
      <c r="X182" s="3" t="inlineStr">
        <is>
          <t>Supplier</t>
        </is>
      </c>
      <c r="Y182" s="3" t="inlineStr">
        <is>
          <t>No</t>
        </is>
      </c>
      <c r="Z182" s="5" t="n"/>
      <c r="AA182" s="3" t="n"/>
      <c r="AB182" s="3" t="n"/>
      <c r="AC182" s="6" t="n"/>
      <c r="AD182" s="3" t="inlineStr">
        <is>
          <t>kgCO2e/component</t>
        </is>
      </c>
      <c r="AE182" s="3" t="n"/>
      <c r="AF182" s="7" t="n"/>
      <c r="AG182" s="3" t="n"/>
      <c r="AH182" s="3" t="n"/>
      <c r="AI182" s="6" t="n"/>
      <c r="AJ182" s="3" t="inlineStr">
        <is>
          <t>kgCO2e/component</t>
        </is>
      </c>
      <c r="AK182" s="3" t="n"/>
      <c r="AL182" s="7" t="n">
        <v>0</v>
      </c>
      <c r="AM182" s="3" t="n"/>
      <c r="AN182" s="3" t="n"/>
      <c r="AO182" s="3" t="n"/>
      <c r="AP182" s="4">
        <f>IF(COUNT(AM182,AN182,AO182)=0,"",ROUND(AVERAGE(AM182,AN182,AO182),3))</f>
        <v/>
      </c>
      <c r="AQ182" s="3">
        <f>IF(AC182="","",ROUND(AC182*IF(M182="",0,M182)*(1+IF(AF182="",0,AF182)),5))</f>
        <v/>
      </c>
      <c r="AR182" s="3" t="inlineStr">
        <is>
          <t>kgCO2e/component</t>
        </is>
      </c>
      <c r="AS182" s="5" t="n"/>
      <c r="AT182" s="9">
        <f>IF(AND($A182&lt;&gt;"",G182=""),"Supplier code empty (High);","")&amp;IF(AND(U182&lt;&gt;"",OR(U182&gt;1,U182&lt;0)),"Incorrect PDS value (High);",IF(AND(U182&lt;&gt;"",U182&gt;0.5),"High PDS value (Medium);",""))&amp;IF(AND(V182&lt;&gt;"",OR(V182&gt;5,V182&lt;1)),"Incorrect DQR value (High);","")&amp;IF(AND(S182&lt;&gt;"",OR(S182&lt;=0,S182&gt;100)),"Unusual PCF value might be wrong (High);","")&amp;IF(AND(AL182&lt;&gt;"",OR(AL182&gt;1,AL182&lt;0)),"Incorrect PDS value (High);",IF(AND(AL182&lt;&gt;"",AL182&gt;0.5),"High PDS value (Medium);",""))&amp;IF(AND(AP182&lt;&gt;"",OR(AP182&gt;5,AP182&lt;1)),"Incorrect DQR value (High);","")&amp;IF(AND($A182&lt;&gt;"",AF182&gt;1),"Incorrect scrap rate (High);",IF(AND($A182&lt;&gt;"",AF182=0),"No scrap rate (No impact);",""))&amp;IF(AND($A182&lt;&gt;"",I182="",J182="",K182=""),"No raw material available (High);","")&amp;""</f>
        <v/>
      </c>
      <c r="AU182" s="9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4" t="n"/>
      <c r="M183" s="4" t="n"/>
      <c r="N183" s="3" t="inlineStr">
        <is>
          <t>kg</t>
        </is>
      </c>
      <c r="O183" s="4" t="n"/>
      <c r="P183" s="3" t="inlineStr">
        <is>
          <t>kg</t>
        </is>
      </c>
      <c r="Q183" s="3" t="n"/>
      <c r="R183" s="5" t="n"/>
      <c r="S183" s="6" t="n"/>
      <c r="T183" s="3" t="inlineStr">
        <is>
          <t>kgCO2e/component</t>
        </is>
      </c>
      <c r="U183" s="7" t="n"/>
      <c r="V183" s="4" t="n"/>
      <c r="W183" s="8" t="n"/>
      <c r="X183" s="3" t="inlineStr">
        <is>
          <t>Supplier</t>
        </is>
      </c>
      <c r="Y183" s="3" t="inlineStr">
        <is>
          <t>No</t>
        </is>
      </c>
      <c r="Z183" s="5" t="n"/>
      <c r="AA183" s="3" t="n"/>
      <c r="AB183" s="3" t="n"/>
      <c r="AC183" s="6" t="n"/>
      <c r="AD183" s="3" t="inlineStr">
        <is>
          <t>kgCO2e/component</t>
        </is>
      </c>
      <c r="AE183" s="3" t="n"/>
      <c r="AF183" s="7" t="n"/>
      <c r="AG183" s="3" t="n"/>
      <c r="AH183" s="3" t="n"/>
      <c r="AI183" s="6" t="n"/>
      <c r="AJ183" s="3" t="inlineStr">
        <is>
          <t>kgCO2e/component</t>
        </is>
      </c>
      <c r="AK183" s="3" t="n"/>
      <c r="AL183" s="7" t="n">
        <v>0</v>
      </c>
      <c r="AM183" s="3" t="n"/>
      <c r="AN183" s="3" t="n"/>
      <c r="AO183" s="3" t="n"/>
      <c r="AP183" s="4">
        <f>IF(COUNT(AM183,AN183,AO183)=0,"",ROUND(AVERAGE(AM183,AN183,AO183),3))</f>
        <v/>
      </c>
      <c r="AQ183" s="3">
        <f>IF(AC183="","",ROUND(AC183*IF(M183="",0,M183)*(1+IF(AF183="",0,AF183)),5))</f>
        <v/>
      </c>
      <c r="AR183" s="3" t="inlineStr">
        <is>
          <t>kgCO2e/component</t>
        </is>
      </c>
      <c r="AS183" s="5" t="n"/>
      <c r="AT183" s="9">
        <f>IF(AND($A183&lt;&gt;"",G183=""),"Supplier code empty (High);","")&amp;IF(AND(U183&lt;&gt;"",OR(U183&gt;1,U183&lt;0)),"Incorrect PDS value (High);",IF(AND(U183&lt;&gt;"",U183&gt;0.5),"High PDS value (Medium);",""))&amp;IF(AND(V183&lt;&gt;"",OR(V183&gt;5,V183&lt;1)),"Incorrect DQR value (High);","")&amp;IF(AND(S183&lt;&gt;"",OR(S183&lt;=0,S183&gt;100)),"Unusual PCF value might be wrong (High);","")&amp;IF(AND(AL183&lt;&gt;"",OR(AL183&gt;1,AL183&lt;0)),"Incorrect PDS value (High);",IF(AND(AL183&lt;&gt;"",AL183&gt;0.5),"High PDS value (Medium);",""))&amp;IF(AND(AP183&lt;&gt;"",OR(AP183&gt;5,AP183&lt;1)),"Incorrect DQR value (High);","")&amp;IF(AND($A183&lt;&gt;"",AF183&gt;1),"Incorrect scrap rate (High);",IF(AND($A183&lt;&gt;"",AF183=0),"No scrap rate (No impact);",""))&amp;IF(AND($A183&lt;&gt;"",I183="",J183="",K183=""),"No raw material available (High);","")&amp;""</f>
        <v/>
      </c>
      <c r="AU183" s="9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4" t="n"/>
      <c r="M184" s="4" t="n"/>
      <c r="N184" s="3" t="inlineStr">
        <is>
          <t>kg</t>
        </is>
      </c>
      <c r="O184" s="4" t="n"/>
      <c r="P184" s="3" t="inlineStr">
        <is>
          <t>kg</t>
        </is>
      </c>
      <c r="Q184" s="3" t="n"/>
      <c r="R184" s="5" t="n"/>
      <c r="S184" s="6" t="n"/>
      <c r="T184" s="3" t="inlineStr">
        <is>
          <t>kgCO2e/component</t>
        </is>
      </c>
      <c r="U184" s="7" t="n"/>
      <c r="V184" s="4" t="n"/>
      <c r="W184" s="8" t="n"/>
      <c r="X184" s="3" t="inlineStr">
        <is>
          <t>Supplier</t>
        </is>
      </c>
      <c r="Y184" s="3" t="inlineStr">
        <is>
          <t>No</t>
        </is>
      </c>
      <c r="Z184" s="5" t="n"/>
      <c r="AA184" s="3" t="n"/>
      <c r="AB184" s="3" t="n"/>
      <c r="AC184" s="6" t="n"/>
      <c r="AD184" s="3" t="inlineStr">
        <is>
          <t>kgCO2e/component</t>
        </is>
      </c>
      <c r="AE184" s="3" t="n"/>
      <c r="AF184" s="7" t="n"/>
      <c r="AG184" s="3" t="n"/>
      <c r="AH184" s="3" t="n"/>
      <c r="AI184" s="6" t="n"/>
      <c r="AJ184" s="3" t="inlineStr">
        <is>
          <t>kgCO2e/component</t>
        </is>
      </c>
      <c r="AK184" s="3" t="n"/>
      <c r="AL184" s="7" t="n">
        <v>0</v>
      </c>
      <c r="AM184" s="3" t="n"/>
      <c r="AN184" s="3" t="n"/>
      <c r="AO184" s="3" t="n"/>
      <c r="AP184" s="4">
        <f>IF(COUNT(AM184,AN184,AO184)=0,"",ROUND(AVERAGE(AM184,AN184,AO184),3))</f>
        <v/>
      </c>
      <c r="AQ184" s="3">
        <f>IF(AC184="","",ROUND(AC184*IF(M184="",0,M184)*(1+IF(AF184="",0,AF184)),5))</f>
        <v/>
      </c>
      <c r="AR184" s="3" t="inlineStr">
        <is>
          <t>kgCO2e/component</t>
        </is>
      </c>
      <c r="AS184" s="5" t="n"/>
      <c r="AT184" s="9">
        <f>IF(AND($A184&lt;&gt;"",G184=""),"Supplier code empty (High);","")&amp;IF(AND(U184&lt;&gt;"",OR(U184&gt;1,U184&lt;0)),"Incorrect PDS value (High);",IF(AND(U184&lt;&gt;"",U184&gt;0.5),"High PDS value (Medium);",""))&amp;IF(AND(V184&lt;&gt;"",OR(V184&gt;5,V184&lt;1)),"Incorrect DQR value (High);","")&amp;IF(AND(S184&lt;&gt;"",OR(S184&lt;=0,S184&gt;100)),"Unusual PCF value might be wrong (High);","")&amp;IF(AND(AL184&lt;&gt;"",OR(AL184&gt;1,AL184&lt;0)),"Incorrect PDS value (High);",IF(AND(AL184&lt;&gt;"",AL184&gt;0.5),"High PDS value (Medium);",""))&amp;IF(AND(AP184&lt;&gt;"",OR(AP184&gt;5,AP184&lt;1)),"Incorrect DQR value (High);","")&amp;IF(AND($A184&lt;&gt;"",AF184&gt;1),"Incorrect scrap rate (High);",IF(AND($A184&lt;&gt;"",AF184=0),"No scrap rate (No impact);",""))&amp;IF(AND($A184&lt;&gt;"",I184="",J184="",K184=""),"No raw material available (High);","")&amp;""</f>
        <v/>
      </c>
      <c r="AU184" s="9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4" t="n"/>
      <c r="M185" s="4" t="n"/>
      <c r="N185" s="3" t="inlineStr">
        <is>
          <t>kg</t>
        </is>
      </c>
      <c r="O185" s="4" t="n"/>
      <c r="P185" s="3" t="inlineStr">
        <is>
          <t>kg</t>
        </is>
      </c>
      <c r="Q185" s="3" t="n"/>
      <c r="R185" s="5" t="n"/>
      <c r="S185" s="6" t="n"/>
      <c r="T185" s="3" t="inlineStr">
        <is>
          <t>kgCO2e/component</t>
        </is>
      </c>
      <c r="U185" s="7" t="n"/>
      <c r="V185" s="4" t="n"/>
      <c r="W185" s="8" t="n"/>
      <c r="X185" s="3" t="inlineStr">
        <is>
          <t>Supplier</t>
        </is>
      </c>
      <c r="Y185" s="3" t="inlineStr">
        <is>
          <t>No</t>
        </is>
      </c>
      <c r="Z185" s="5" t="n"/>
      <c r="AA185" s="3" t="n"/>
      <c r="AB185" s="3" t="n"/>
      <c r="AC185" s="6" t="n"/>
      <c r="AD185" s="3" t="inlineStr">
        <is>
          <t>kgCO2e/component</t>
        </is>
      </c>
      <c r="AE185" s="3" t="n"/>
      <c r="AF185" s="7" t="n"/>
      <c r="AG185" s="3" t="n"/>
      <c r="AH185" s="3" t="n"/>
      <c r="AI185" s="6" t="n"/>
      <c r="AJ185" s="3" t="inlineStr">
        <is>
          <t>kgCO2e/component</t>
        </is>
      </c>
      <c r="AK185" s="3" t="n"/>
      <c r="AL185" s="7" t="n">
        <v>0</v>
      </c>
      <c r="AM185" s="3" t="n"/>
      <c r="AN185" s="3" t="n"/>
      <c r="AO185" s="3" t="n"/>
      <c r="AP185" s="4">
        <f>IF(COUNT(AM185,AN185,AO185)=0,"",ROUND(AVERAGE(AM185,AN185,AO185),3))</f>
        <v/>
      </c>
      <c r="AQ185" s="3">
        <f>IF(AC185="","",ROUND(AC185*IF(M185="",0,M185)*(1+IF(AF185="",0,AF185)),5))</f>
        <v/>
      </c>
      <c r="AR185" s="3" t="inlineStr">
        <is>
          <t>kgCO2e/component</t>
        </is>
      </c>
      <c r="AS185" s="5" t="n"/>
      <c r="AT185" s="9">
        <f>IF(AND($A185&lt;&gt;"",G185=""),"Supplier code empty (High);","")&amp;IF(AND(U185&lt;&gt;"",OR(U185&gt;1,U185&lt;0)),"Incorrect PDS value (High);",IF(AND(U185&lt;&gt;"",U185&gt;0.5),"High PDS value (Medium);",""))&amp;IF(AND(V185&lt;&gt;"",OR(V185&gt;5,V185&lt;1)),"Incorrect DQR value (High);","")&amp;IF(AND(S185&lt;&gt;"",OR(S185&lt;=0,S185&gt;100)),"Unusual PCF value might be wrong (High);","")&amp;IF(AND(AL185&lt;&gt;"",OR(AL185&gt;1,AL185&lt;0)),"Incorrect PDS value (High);",IF(AND(AL185&lt;&gt;"",AL185&gt;0.5),"High PDS value (Medium);",""))&amp;IF(AND(AP185&lt;&gt;"",OR(AP185&gt;5,AP185&lt;1)),"Incorrect DQR value (High);","")&amp;IF(AND($A185&lt;&gt;"",AF185&gt;1),"Incorrect scrap rate (High);",IF(AND($A185&lt;&gt;"",AF185=0),"No scrap rate (No impact);",""))&amp;IF(AND($A185&lt;&gt;"",I185="",J185="",K185=""),"No raw material available (High);","")&amp;""</f>
        <v/>
      </c>
      <c r="AU185" s="9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4" t="n"/>
      <c r="M186" s="4" t="n"/>
      <c r="N186" s="3" t="inlineStr">
        <is>
          <t>kg</t>
        </is>
      </c>
      <c r="O186" s="4" t="n"/>
      <c r="P186" s="3" t="inlineStr">
        <is>
          <t>kg</t>
        </is>
      </c>
      <c r="Q186" s="3" t="n"/>
      <c r="R186" s="5" t="n"/>
      <c r="S186" s="6" t="n"/>
      <c r="T186" s="3" t="inlineStr">
        <is>
          <t>kgCO2e/component</t>
        </is>
      </c>
      <c r="U186" s="7" t="n"/>
      <c r="V186" s="4" t="n"/>
      <c r="W186" s="8" t="n"/>
      <c r="X186" s="3" t="inlineStr">
        <is>
          <t>Supplier</t>
        </is>
      </c>
      <c r="Y186" s="3" t="inlineStr">
        <is>
          <t>No</t>
        </is>
      </c>
      <c r="Z186" s="5" t="n"/>
      <c r="AA186" s="3" t="n"/>
      <c r="AB186" s="3" t="n"/>
      <c r="AC186" s="6" t="n"/>
      <c r="AD186" s="3" t="inlineStr">
        <is>
          <t>kgCO2e/component</t>
        </is>
      </c>
      <c r="AE186" s="3" t="n"/>
      <c r="AF186" s="7" t="n"/>
      <c r="AG186" s="3" t="n"/>
      <c r="AH186" s="3" t="n"/>
      <c r="AI186" s="6" t="n"/>
      <c r="AJ186" s="3" t="inlineStr">
        <is>
          <t>kgCO2e/component</t>
        </is>
      </c>
      <c r="AK186" s="3" t="n"/>
      <c r="AL186" s="7" t="n">
        <v>0</v>
      </c>
      <c r="AM186" s="3" t="n"/>
      <c r="AN186" s="3" t="n"/>
      <c r="AO186" s="3" t="n"/>
      <c r="AP186" s="4">
        <f>IF(COUNT(AM186,AN186,AO186)=0,"",ROUND(AVERAGE(AM186,AN186,AO186),3))</f>
        <v/>
      </c>
      <c r="AQ186" s="3">
        <f>IF(AC186="","",ROUND(AC186*IF(M186="",0,M186)*(1+IF(AF186="",0,AF186)),5))</f>
        <v/>
      </c>
      <c r="AR186" s="3" t="inlineStr">
        <is>
          <t>kgCO2e/component</t>
        </is>
      </c>
      <c r="AS186" s="5" t="n"/>
      <c r="AT186" s="9">
        <f>IF(AND($A186&lt;&gt;"",G186=""),"Supplier code empty (High);","")&amp;IF(AND(U186&lt;&gt;"",OR(U186&gt;1,U186&lt;0)),"Incorrect PDS value (High);",IF(AND(U186&lt;&gt;"",U186&gt;0.5),"High PDS value (Medium);",""))&amp;IF(AND(V186&lt;&gt;"",OR(V186&gt;5,V186&lt;1)),"Incorrect DQR value (High);","")&amp;IF(AND(S186&lt;&gt;"",OR(S186&lt;=0,S186&gt;100)),"Unusual PCF value might be wrong (High);","")&amp;IF(AND(AL186&lt;&gt;"",OR(AL186&gt;1,AL186&lt;0)),"Incorrect PDS value (High);",IF(AND(AL186&lt;&gt;"",AL186&gt;0.5),"High PDS value (Medium);",""))&amp;IF(AND(AP186&lt;&gt;"",OR(AP186&gt;5,AP186&lt;1)),"Incorrect DQR value (High);","")&amp;IF(AND($A186&lt;&gt;"",AF186&gt;1),"Incorrect scrap rate (High);",IF(AND($A186&lt;&gt;"",AF186=0),"No scrap rate (No impact);",""))&amp;IF(AND($A186&lt;&gt;"",I186="",J186="",K186=""),"No raw material available (High);","")&amp;""</f>
        <v/>
      </c>
      <c r="AU186" s="9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4" t="n"/>
      <c r="M187" s="4" t="n"/>
      <c r="N187" s="3" t="inlineStr">
        <is>
          <t>kg</t>
        </is>
      </c>
      <c r="O187" s="4" t="n"/>
      <c r="P187" s="3" t="inlineStr">
        <is>
          <t>kg</t>
        </is>
      </c>
      <c r="Q187" s="3" t="n"/>
      <c r="R187" s="5" t="n"/>
      <c r="S187" s="6" t="n"/>
      <c r="T187" s="3" t="inlineStr">
        <is>
          <t>kgCO2e/component</t>
        </is>
      </c>
      <c r="U187" s="7" t="n"/>
      <c r="V187" s="4" t="n"/>
      <c r="W187" s="8" t="n"/>
      <c r="X187" s="3" t="inlineStr">
        <is>
          <t>Supplier</t>
        </is>
      </c>
      <c r="Y187" s="3" t="inlineStr">
        <is>
          <t>No</t>
        </is>
      </c>
      <c r="Z187" s="5" t="n"/>
      <c r="AA187" s="3" t="n"/>
      <c r="AB187" s="3" t="n"/>
      <c r="AC187" s="6" t="n"/>
      <c r="AD187" s="3" t="inlineStr">
        <is>
          <t>kgCO2e/component</t>
        </is>
      </c>
      <c r="AE187" s="3" t="n"/>
      <c r="AF187" s="7" t="n"/>
      <c r="AG187" s="3" t="n"/>
      <c r="AH187" s="3" t="n"/>
      <c r="AI187" s="6" t="n"/>
      <c r="AJ187" s="3" t="inlineStr">
        <is>
          <t>kgCO2e/component</t>
        </is>
      </c>
      <c r="AK187" s="3" t="n"/>
      <c r="AL187" s="7" t="n">
        <v>0</v>
      </c>
      <c r="AM187" s="3" t="n"/>
      <c r="AN187" s="3" t="n"/>
      <c r="AO187" s="3" t="n"/>
      <c r="AP187" s="4">
        <f>IF(COUNT(AM187,AN187,AO187)=0,"",ROUND(AVERAGE(AM187,AN187,AO187),3))</f>
        <v/>
      </c>
      <c r="AQ187" s="3">
        <f>IF(AC187="","",ROUND(AC187*IF(M187="",0,M187)*(1+IF(AF187="",0,AF187)),5))</f>
        <v/>
      </c>
      <c r="AR187" s="3" t="inlineStr">
        <is>
          <t>kgCO2e/component</t>
        </is>
      </c>
      <c r="AS187" s="5" t="n"/>
      <c r="AT187" s="9">
        <f>IF(AND($A187&lt;&gt;"",G187=""),"Supplier code empty (High);","")&amp;IF(AND(U187&lt;&gt;"",OR(U187&gt;1,U187&lt;0)),"Incorrect PDS value (High);",IF(AND(U187&lt;&gt;"",U187&gt;0.5),"High PDS value (Medium);",""))&amp;IF(AND(V187&lt;&gt;"",OR(V187&gt;5,V187&lt;1)),"Incorrect DQR value (High);","")&amp;IF(AND(S187&lt;&gt;"",OR(S187&lt;=0,S187&gt;100)),"Unusual PCF value might be wrong (High);","")&amp;IF(AND(AL187&lt;&gt;"",OR(AL187&gt;1,AL187&lt;0)),"Incorrect PDS value (High);",IF(AND(AL187&lt;&gt;"",AL187&gt;0.5),"High PDS value (Medium);",""))&amp;IF(AND(AP187&lt;&gt;"",OR(AP187&gt;5,AP187&lt;1)),"Incorrect DQR value (High);","")&amp;IF(AND($A187&lt;&gt;"",AF187&gt;1),"Incorrect scrap rate (High);",IF(AND($A187&lt;&gt;"",AF187=0),"No scrap rate (No impact);",""))&amp;IF(AND($A187&lt;&gt;"",I187="",J187="",K187=""),"No raw material available (High);","")&amp;""</f>
        <v/>
      </c>
      <c r="AU187" s="9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4" t="n"/>
      <c r="M188" s="4" t="n"/>
      <c r="N188" s="3" t="inlineStr">
        <is>
          <t>kg</t>
        </is>
      </c>
      <c r="O188" s="4" t="n"/>
      <c r="P188" s="3" t="inlineStr">
        <is>
          <t>kg</t>
        </is>
      </c>
      <c r="Q188" s="3" t="n"/>
      <c r="R188" s="5" t="n"/>
      <c r="S188" s="6" t="n"/>
      <c r="T188" s="3" t="inlineStr">
        <is>
          <t>kgCO2e/component</t>
        </is>
      </c>
      <c r="U188" s="7" t="n"/>
      <c r="V188" s="4" t="n"/>
      <c r="W188" s="8" t="n"/>
      <c r="X188" s="3" t="inlineStr">
        <is>
          <t>Supplier</t>
        </is>
      </c>
      <c r="Y188" s="3" t="inlineStr">
        <is>
          <t>No</t>
        </is>
      </c>
      <c r="Z188" s="5" t="n"/>
      <c r="AA188" s="3" t="n"/>
      <c r="AB188" s="3" t="n"/>
      <c r="AC188" s="6" t="n"/>
      <c r="AD188" s="3" t="inlineStr">
        <is>
          <t>kgCO2e/component</t>
        </is>
      </c>
      <c r="AE188" s="3" t="n"/>
      <c r="AF188" s="7" t="n"/>
      <c r="AG188" s="3" t="n"/>
      <c r="AH188" s="3" t="n"/>
      <c r="AI188" s="6" t="n"/>
      <c r="AJ188" s="3" t="inlineStr">
        <is>
          <t>kgCO2e/component</t>
        </is>
      </c>
      <c r="AK188" s="3" t="n"/>
      <c r="AL188" s="7" t="n">
        <v>0</v>
      </c>
      <c r="AM188" s="3" t="n"/>
      <c r="AN188" s="3" t="n"/>
      <c r="AO188" s="3" t="n"/>
      <c r="AP188" s="4">
        <f>IF(COUNT(AM188,AN188,AO188)=0,"",ROUND(AVERAGE(AM188,AN188,AO188),3))</f>
        <v/>
      </c>
      <c r="AQ188" s="3">
        <f>IF(AC188="","",ROUND(AC188*IF(M188="",0,M188)*(1+IF(AF188="",0,AF188)),5))</f>
        <v/>
      </c>
      <c r="AR188" s="3" t="inlineStr">
        <is>
          <t>kgCO2e/component</t>
        </is>
      </c>
      <c r="AS188" s="5" t="n"/>
      <c r="AT188" s="9">
        <f>IF(AND($A188&lt;&gt;"",G188=""),"Supplier code empty (High);","")&amp;IF(AND(U188&lt;&gt;"",OR(U188&gt;1,U188&lt;0)),"Incorrect PDS value (High);",IF(AND(U188&lt;&gt;"",U188&gt;0.5),"High PDS value (Medium);",""))&amp;IF(AND(V188&lt;&gt;"",OR(V188&gt;5,V188&lt;1)),"Incorrect DQR value (High);","")&amp;IF(AND(S188&lt;&gt;"",OR(S188&lt;=0,S188&gt;100)),"Unusual PCF value might be wrong (High);","")&amp;IF(AND(AL188&lt;&gt;"",OR(AL188&gt;1,AL188&lt;0)),"Incorrect PDS value (High);",IF(AND(AL188&lt;&gt;"",AL188&gt;0.5),"High PDS value (Medium);",""))&amp;IF(AND(AP188&lt;&gt;"",OR(AP188&gt;5,AP188&lt;1)),"Incorrect DQR value (High);","")&amp;IF(AND($A188&lt;&gt;"",AF188&gt;1),"Incorrect scrap rate (High);",IF(AND($A188&lt;&gt;"",AF188=0),"No scrap rate (No impact);",""))&amp;IF(AND($A188&lt;&gt;"",I188="",J188="",K188=""),"No raw material available (High);","")&amp;""</f>
        <v/>
      </c>
      <c r="AU188" s="9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4" t="n"/>
      <c r="M189" s="4" t="n"/>
      <c r="N189" s="3" t="inlineStr">
        <is>
          <t>kg</t>
        </is>
      </c>
      <c r="O189" s="4" t="n"/>
      <c r="P189" s="3" t="inlineStr">
        <is>
          <t>kg</t>
        </is>
      </c>
      <c r="Q189" s="3" t="n"/>
      <c r="R189" s="5" t="n"/>
      <c r="S189" s="6" t="n"/>
      <c r="T189" s="3" t="inlineStr">
        <is>
          <t>kgCO2e/component</t>
        </is>
      </c>
      <c r="U189" s="7" t="n"/>
      <c r="V189" s="4" t="n"/>
      <c r="W189" s="8" t="n"/>
      <c r="X189" s="3" t="inlineStr">
        <is>
          <t>Supplier</t>
        </is>
      </c>
      <c r="Y189" s="3" t="inlineStr">
        <is>
          <t>No</t>
        </is>
      </c>
      <c r="Z189" s="5" t="n"/>
      <c r="AA189" s="3" t="n"/>
      <c r="AB189" s="3" t="n"/>
      <c r="AC189" s="6" t="n"/>
      <c r="AD189" s="3" t="inlineStr">
        <is>
          <t>kgCO2e/component</t>
        </is>
      </c>
      <c r="AE189" s="3" t="n"/>
      <c r="AF189" s="7" t="n"/>
      <c r="AG189" s="3" t="n"/>
      <c r="AH189" s="3" t="n"/>
      <c r="AI189" s="6" t="n"/>
      <c r="AJ189" s="3" t="inlineStr">
        <is>
          <t>kgCO2e/component</t>
        </is>
      </c>
      <c r="AK189" s="3" t="n"/>
      <c r="AL189" s="7" t="n">
        <v>0</v>
      </c>
      <c r="AM189" s="3" t="n"/>
      <c r="AN189" s="3" t="n"/>
      <c r="AO189" s="3" t="n"/>
      <c r="AP189" s="4">
        <f>IF(COUNT(AM189,AN189,AO189)=0,"",ROUND(AVERAGE(AM189,AN189,AO189),3))</f>
        <v/>
      </c>
      <c r="AQ189" s="3">
        <f>IF(AC189="","",ROUND(AC189*IF(M189="",0,M189)*(1+IF(AF189="",0,AF189)),5))</f>
        <v/>
      </c>
      <c r="AR189" s="3" t="inlineStr">
        <is>
          <t>kgCO2e/component</t>
        </is>
      </c>
      <c r="AS189" s="5" t="n"/>
      <c r="AT189" s="9">
        <f>IF(AND($A189&lt;&gt;"",G189=""),"Supplier code empty (High);","")&amp;IF(AND(U189&lt;&gt;"",OR(U189&gt;1,U189&lt;0)),"Incorrect PDS value (High);",IF(AND(U189&lt;&gt;"",U189&gt;0.5),"High PDS value (Medium);",""))&amp;IF(AND(V189&lt;&gt;"",OR(V189&gt;5,V189&lt;1)),"Incorrect DQR value (High);","")&amp;IF(AND(S189&lt;&gt;"",OR(S189&lt;=0,S189&gt;100)),"Unusual PCF value might be wrong (High);","")&amp;IF(AND(AL189&lt;&gt;"",OR(AL189&gt;1,AL189&lt;0)),"Incorrect PDS value (High);",IF(AND(AL189&lt;&gt;"",AL189&gt;0.5),"High PDS value (Medium);",""))&amp;IF(AND(AP189&lt;&gt;"",OR(AP189&gt;5,AP189&lt;1)),"Incorrect DQR value (High);","")&amp;IF(AND($A189&lt;&gt;"",AF189&gt;1),"Incorrect scrap rate (High);",IF(AND($A189&lt;&gt;"",AF189=0),"No scrap rate (No impact);",""))&amp;IF(AND($A189&lt;&gt;"",I189="",J189="",K189=""),"No raw material available (High);","")&amp;""</f>
        <v/>
      </c>
      <c r="AU189" s="9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4" t="n"/>
      <c r="M190" s="4" t="n"/>
      <c r="N190" s="3" t="inlineStr">
        <is>
          <t>kg</t>
        </is>
      </c>
      <c r="O190" s="4" t="n"/>
      <c r="P190" s="3" t="inlineStr">
        <is>
          <t>kg</t>
        </is>
      </c>
      <c r="Q190" s="3" t="n"/>
      <c r="R190" s="5" t="n"/>
      <c r="S190" s="6" t="n"/>
      <c r="T190" s="3" t="inlineStr">
        <is>
          <t>kgCO2e/component</t>
        </is>
      </c>
      <c r="U190" s="7" t="n"/>
      <c r="V190" s="4" t="n"/>
      <c r="W190" s="8" t="n"/>
      <c r="X190" s="3" t="inlineStr">
        <is>
          <t>Supplier</t>
        </is>
      </c>
      <c r="Y190" s="3" t="inlineStr">
        <is>
          <t>No</t>
        </is>
      </c>
      <c r="Z190" s="5" t="n"/>
      <c r="AA190" s="3" t="n"/>
      <c r="AB190" s="3" t="n"/>
      <c r="AC190" s="6" t="n"/>
      <c r="AD190" s="3" t="inlineStr">
        <is>
          <t>kgCO2e/component</t>
        </is>
      </c>
      <c r="AE190" s="3" t="n"/>
      <c r="AF190" s="7" t="n"/>
      <c r="AG190" s="3" t="n"/>
      <c r="AH190" s="3" t="n"/>
      <c r="AI190" s="6" t="n"/>
      <c r="AJ190" s="3" t="inlineStr">
        <is>
          <t>kgCO2e/component</t>
        </is>
      </c>
      <c r="AK190" s="3" t="n"/>
      <c r="AL190" s="7" t="n">
        <v>0</v>
      </c>
      <c r="AM190" s="3" t="n"/>
      <c r="AN190" s="3" t="n"/>
      <c r="AO190" s="3" t="n"/>
      <c r="AP190" s="4">
        <f>IF(COUNT(AM190,AN190,AO190)=0,"",ROUND(AVERAGE(AM190,AN190,AO190),3))</f>
        <v/>
      </c>
      <c r="AQ190" s="3">
        <f>IF(AC190="","",ROUND(AC190*IF(M190="",0,M190)*(1+IF(AF190="",0,AF190)),5))</f>
        <v/>
      </c>
      <c r="AR190" s="3" t="inlineStr">
        <is>
          <t>kgCO2e/component</t>
        </is>
      </c>
      <c r="AS190" s="5" t="n"/>
      <c r="AT190" s="9">
        <f>IF(AND($A190&lt;&gt;"",G190=""),"Supplier code empty (High);","")&amp;IF(AND(U190&lt;&gt;"",OR(U190&gt;1,U190&lt;0)),"Incorrect PDS value (High);",IF(AND(U190&lt;&gt;"",U190&gt;0.5),"High PDS value (Medium);",""))&amp;IF(AND(V190&lt;&gt;"",OR(V190&gt;5,V190&lt;1)),"Incorrect DQR value (High);","")&amp;IF(AND(S190&lt;&gt;"",OR(S190&lt;=0,S190&gt;100)),"Unusual PCF value might be wrong (High);","")&amp;IF(AND(AL190&lt;&gt;"",OR(AL190&gt;1,AL190&lt;0)),"Incorrect PDS value (High);",IF(AND(AL190&lt;&gt;"",AL190&gt;0.5),"High PDS value (Medium);",""))&amp;IF(AND(AP190&lt;&gt;"",OR(AP190&gt;5,AP190&lt;1)),"Incorrect DQR value (High);","")&amp;IF(AND($A190&lt;&gt;"",AF190&gt;1),"Incorrect scrap rate (High);",IF(AND($A190&lt;&gt;"",AF190=0),"No scrap rate (No impact);",""))&amp;IF(AND($A190&lt;&gt;"",I190="",J190="",K190=""),"No raw material available (High);","")&amp;""</f>
        <v/>
      </c>
      <c r="AU190" s="9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4" t="n"/>
      <c r="M191" s="4" t="n"/>
      <c r="N191" s="3" t="inlineStr">
        <is>
          <t>kg</t>
        </is>
      </c>
      <c r="O191" s="4" t="n"/>
      <c r="P191" s="3" t="inlineStr">
        <is>
          <t>kg</t>
        </is>
      </c>
      <c r="Q191" s="3" t="n"/>
      <c r="R191" s="5" t="n"/>
      <c r="S191" s="6" t="n"/>
      <c r="T191" s="3" t="inlineStr">
        <is>
          <t>kgCO2e/component</t>
        </is>
      </c>
      <c r="U191" s="7" t="n"/>
      <c r="V191" s="4" t="n"/>
      <c r="W191" s="8" t="n"/>
      <c r="X191" s="3" t="inlineStr">
        <is>
          <t>Supplier</t>
        </is>
      </c>
      <c r="Y191" s="3" t="inlineStr">
        <is>
          <t>No</t>
        </is>
      </c>
      <c r="Z191" s="5" t="n"/>
      <c r="AA191" s="3" t="n"/>
      <c r="AB191" s="3" t="n"/>
      <c r="AC191" s="6" t="n"/>
      <c r="AD191" s="3" t="inlineStr">
        <is>
          <t>kgCO2e/component</t>
        </is>
      </c>
      <c r="AE191" s="3" t="n"/>
      <c r="AF191" s="7" t="n"/>
      <c r="AG191" s="3" t="n"/>
      <c r="AH191" s="3" t="n"/>
      <c r="AI191" s="6" t="n"/>
      <c r="AJ191" s="3" t="inlineStr">
        <is>
          <t>kgCO2e/component</t>
        </is>
      </c>
      <c r="AK191" s="3" t="n"/>
      <c r="AL191" s="7" t="n">
        <v>0</v>
      </c>
      <c r="AM191" s="3" t="n"/>
      <c r="AN191" s="3" t="n"/>
      <c r="AO191" s="3" t="n"/>
      <c r="AP191" s="4">
        <f>IF(COUNT(AM191,AN191,AO191)=0,"",ROUND(AVERAGE(AM191,AN191,AO191),3))</f>
        <v/>
      </c>
      <c r="AQ191" s="3">
        <f>IF(AC191="","",ROUND(AC191*IF(M191="",0,M191)*(1+IF(AF191="",0,AF191)),5))</f>
        <v/>
      </c>
      <c r="AR191" s="3" t="inlineStr">
        <is>
          <t>kgCO2e/component</t>
        </is>
      </c>
      <c r="AS191" s="5" t="n"/>
      <c r="AT191" s="9">
        <f>IF(AND($A191&lt;&gt;"",G191=""),"Supplier code empty (High);","")&amp;IF(AND(U191&lt;&gt;"",OR(U191&gt;1,U191&lt;0)),"Incorrect PDS value (High);",IF(AND(U191&lt;&gt;"",U191&gt;0.5),"High PDS value (Medium);",""))&amp;IF(AND(V191&lt;&gt;"",OR(V191&gt;5,V191&lt;1)),"Incorrect DQR value (High);","")&amp;IF(AND(S191&lt;&gt;"",OR(S191&lt;=0,S191&gt;100)),"Unusual PCF value might be wrong (High);","")&amp;IF(AND(AL191&lt;&gt;"",OR(AL191&gt;1,AL191&lt;0)),"Incorrect PDS value (High);",IF(AND(AL191&lt;&gt;"",AL191&gt;0.5),"High PDS value (Medium);",""))&amp;IF(AND(AP191&lt;&gt;"",OR(AP191&gt;5,AP191&lt;1)),"Incorrect DQR value (High);","")&amp;IF(AND($A191&lt;&gt;"",AF191&gt;1),"Incorrect scrap rate (High);",IF(AND($A191&lt;&gt;"",AF191=0),"No scrap rate (No impact);",""))&amp;IF(AND($A191&lt;&gt;"",I191="",J191="",K191=""),"No raw material available (High);","")&amp;""</f>
        <v/>
      </c>
      <c r="AU191" s="9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4" t="n"/>
      <c r="M192" s="4" t="n"/>
      <c r="N192" s="3" t="inlineStr">
        <is>
          <t>kg</t>
        </is>
      </c>
      <c r="O192" s="4" t="n"/>
      <c r="P192" s="3" t="inlineStr">
        <is>
          <t>kg</t>
        </is>
      </c>
      <c r="Q192" s="3" t="n"/>
      <c r="R192" s="5" t="n"/>
      <c r="S192" s="6" t="n"/>
      <c r="T192" s="3" t="inlineStr">
        <is>
          <t>kgCO2e/component</t>
        </is>
      </c>
      <c r="U192" s="7" t="n"/>
      <c r="V192" s="4" t="n"/>
      <c r="W192" s="8" t="n"/>
      <c r="X192" s="3" t="inlineStr">
        <is>
          <t>Supplier</t>
        </is>
      </c>
      <c r="Y192" s="3" t="inlineStr">
        <is>
          <t>No</t>
        </is>
      </c>
      <c r="Z192" s="5" t="n"/>
      <c r="AA192" s="3" t="n"/>
      <c r="AB192" s="3" t="n"/>
      <c r="AC192" s="6" t="n"/>
      <c r="AD192" s="3" t="inlineStr">
        <is>
          <t>kgCO2e/component</t>
        </is>
      </c>
      <c r="AE192" s="3" t="n"/>
      <c r="AF192" s="7" t="n"/>
      <c r="AG192" s="3" t="n"/>
      <c r="AH192" s="3" t="n"/>
      <c r="AI192" s="6" t="n"/>
      <c r="AJ192" s="3" t="inlineStr">
        <is>
          <t>kgCO2e/component</t>
        </is>
      </c>
      <c r="AK192" s="3" t="n"/>
      <c r="AL192" s="7" t="n">
        <v>0</v>
      </c>
      <c r="AM192" s="3" t="n"/>
      <c r="AN192" s="3" t="n"/>
      <c r="AO192" s="3" t="n"/>
      <c r="AP192" s="4">
        <f>IF(COUNT(AM192,AN192,AO192)=0,"",ROUND(AVERAGE(AM192,AN192,AO192),3))</f>
        <v/>
      </c>
      <c r="AQ192" s="3">
        <f>IF(AC192="","",ROUND(AC192*IF(M192="",0,M192)*(1+IF(AF192="",0,AF192)),5))</f>
        <v/>
      </c>
      <c r="AR192" s="3" t="inlineStr">
        <is>
          <t>kgCO2e/component</t>
        </is>
      </c>
      <c r="AS192" s="5" t="n"/>
      <c r="AT192" s="9">
        <f>IF(AND($A192&lt;&gt;"",G192=""),"Supplier code empty (High);","")&amp;IF(AND(U192&lt;&gt;"",OR(U192&gt;1,U192&lt;0)),"Incorrect PDS value (High);",IF(AND(U192&lt;&gt;"",U192&gt;0.5),"High PDS value (Medium);",""))&amp;IF(AND(V192&lt;&gt;"",OR(V192&gt;5,V192&lt;1)),"Incorrect DQR value (High);","")&amp;IF(AND(S192&lt;&gt;"",OR(S192&lt;=0,S192&gt;100)),"Unusual PCF value might be wrong (High);","")&amp;IF(AND(AL192&lt;&gt;"",OR(AL192&gt;1,AL192&lt;0)),"Incorrect PDS value (High);",IF(AND(AL192&lt;&gt;"",AL192&gt;0.5),"High PDS value (Medium);",""))&amp;IF(AND(AP192&lt;&gt;"",OR(AP192&gt;5,AP192&lt;1)),"Incorrect DQR value (High);","")&amp;IF(AND($A192&lt;&gt;"",AF192&gt;1),"Incorrect scrap rate (High);",IF(AND($A192&lt;&gt;"",AF192=0),"No scrap rate (No impact);",""))&amp;IF(AND($A192&lt;&gt;"",I192="",J192="",K192=""),"No raw material available (High);","")&amp;""</f>
        <v/>
      </c>
      <c r="AU192" s="9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4" t="n"/>
      <c r="M193" s="4" t="n"/>
      <c r="N193" s="3" t="inlineStr">
        <is>
          <t>kg</t>
        </is>
      </c>
      <c r="O193" s="4" t="n"/>
      <c r="P193" s="3" t="inlineStr">
        <is>
          <t>kg</t>
        </is>
      </c>
      <c r="Q193" s="3" t="n"/>
      <c r="R193" s="5" t="n"/>
      <c r="S193" s="6" t="n"/>
      <c r="T193" s="3" t="inlineStr">
        <is>
          <t>kgCO2e/component</t>
        </is>
      </c>
      <c r="U193" s="7" t="n"/>
      <c r="V193" s="4" t="n"/>
      <c r="W193" s="8" t="n"/>
      <c r="X193" s="3" t="inlineStr">
        <is>
          <t>Supplier</t>
        </is>
      </c>
      <c r="Y193" s="3" t="inlineStr">
        <is>
          <t>No</t>
        </is>
      </c>
      <c r="Z193" s="5" t="n"/>
      <c r="AA193" s="3" t="n"/>
      <c r="AB193" s="3" t="n"/>
      <c r="AC193" s="6" t="n"/>
      <c r="AD193" s="3" t="inlineStr">
        <is>
          <t>kgCO2e/component</t>
        </is>
      </c>
      <c r="AE193" s="3" t="n"/>
      <c r="AF193" s="7" t="n"/>
      <c r="AG193" s="3" t="n"/>
      <c r="AH193" s="3" t="n"/>
      <c r="AI193" s="6" t="n"/>
      <c r="AJ193" s="3" t="inlineStr">
        <is>
          <t>kgCO2e/component</t>
        </is>
      </c>
      <c r="AK193" s="3" t="n"/>
      <c r="AL193" s="7" t="n">
        <v>0</v>
      </c>
      <c r="AM193" s="3" t="n"/>
      <c r="AN193" s="3" t="n"/>
      <c r="AO193" s="3" t="n"/>
      <c r="AP193" s="4">
        <f>IF(COUNT(AM193,AN193,AO193)=0,"",ROUND(AVERAGE(AM193,AN193,AO193),3))</f>
        <v/>
      </c>
      <c r="AQ193" s="3">
        <f>IF(AC193="","",ROUND(AC193*IF(M193="",0,M193)*(1+IF(AF193="",0,AF193)),5))</f>
        <v/>
      </c>
      <c r="AR193" s="3" t="inlineStr">
        <is>
          <t>kgCO2e/component</t>
        </is>
      </c>
      <c r="AS193" s="5" t="n"/>
      <c r="AT193" s="9">
        <f>IF(AND($A193&lt;&gt;"",G193=""),"Supplier code empty (High);","")&amp;IF(AND(U193&lt;&gt;"",OR(U193&gt;1,U193&lt;0)),"Incorrect PDS value (High);",IF(AND(U193&lt;&gt;"",U193&gt;0.5),"High PDS value (Medium);",""))&amp;IF(AND(V193&lt;&gt;"",OR(V193&gt;5,V193&lt;1)),"Incorrect DQR value (High);","")&amp;IF(AND(S193&lt;&gt;"",OR(S193&lt;=0,S193&gt;100)),"Unusual PCF value might be wrong (High);","")&amp;IF(AND(AL193&lt;&gt;"",OR(AL193&gt;1,AL193&lt;0)),"Incorrect PDS value (High);",IF(AND(AL193&lt;&gt;"",AL193&gt;0.5),"High PDS value (Medium);",""))&amp;IF(AND(AP193&lt;&gt;"",OR(AP193&gt;5,AP193&lt;1)),"Incorrect DQR value (High);","")&amp;IF(AND($A193&lt;&gt;"",AF193&gt;1),"Incorrect scrap rate (High);",IF(AND($A193&lt;&gt;"",AF193=0),"No scrap rate (No impact);",""))&amp;IF(AND($A193&lt;&gt;"",I193="",J193="",K193=""),"No raw material available (High);","")&amp;""</f>
        <v/>
      </c>
      <c r="AU193" s="9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4" t="n"/>
      <c r="M194" s="4" t="n"/>
      <c r="N194" s="3" t="inlineStr">
        <is>
          <t>kg</t>
        </is>
      </c>
      <c r="O194" s="4" t="n"/>
      <c r="P194" s="3" t="inlineStr">
        <is>
          <t>kg</t>
        </is>
      </c>
      <c r="Q194" s="3" t="n"/>
      <c r="R194" s="5" t="n"/>
      <c r="S194" s="6" t="n"/>
      <c r="T194" s="3" t="inlineStr">
        <is>
          <t>kgCO2e/component</t>
        </is>
      </c>
      <c r="U194" s="7" t="n"/>
      <c r="V194" s="4" t="n"/>
      <c r="W194" s="8" t="n"/>
      <c r="X194" s="3" t="inlineStr">
        <is>
          <t>Supplier</t>
        </is>
      </c>
      <c r="Y194" s="3" t="inlineStr">
        <is>
          <t>No</t>
        </is>
      </c>
      <c r="Z194" s="5" t="n"/>
      <c r="AA194" s="3" t="n"/>
      <c r="AB194" s="3" t="n"/>
      <c r="AC194" s="6" t="n"/>
      <c r="AD194" s="3" t="inlineStr">
        <is>
          <t>kgCO2e/component</t>
        </is>
      </c>
      <c r="AE194" s="3" t="n"/>
      <c r="AF194" s="7" t="n"/>
      <c r="AG194" s="3" t="n"/>
      <c r="AH194" s="3" t="n"/>
      <c r="AI194" s="6" t="n"/>
      <c r="AJ194" s="3" t="inlineStr">
        <is>
          <t>kgCO2e/component</t>
        </is>
      </c>
      <c r="AK194" s="3" t="n"/>
      <c r="AL194" s="7" t="n">
        <v>0</v>
      </c>
      <c r="AM194" s="3" t="n"/>
      <c r="AN194" s="3" t="n"/>
      <c r="AO194" s="3" t="n"/>
      <c r="AP194" s="4">
        <f>IF(COUNT(AM194,AN194,AO194)=0,"",ROUND(AVERAGE(AM194,AN194,AO194),3))</f>
        <v/>
      </c>
      <c r="AQ194" s="3">
        <f>IF(AC194="","",ROUND(AC194*IF(M194="",0,M194)*(1+IF(AF194="",0,AF194)),5))</f>
        <v/>
      </c>
      <c r="AR194" s="3" t="inlineStr">
        <is>
          <t>kgCO2e/component</t>
        </is>
      </c>
      <c r="AS194" s="5" t="n"/>
      <c r="AT194" s="9">
        <f>IF(AND($A194&lt;&gt;"",G194=""),"Supplier code empty (High);","")&amp;IF(AND(U194&lt;&gt;"",OR(U194&gt;1,U194&lt;0)),"Incorrect PDS value (High);",IF(AND(U194&lt;&gt;"",U194&gt;0.5),"High PDS value (Medium);",""))&amp;IF(AND(V194&lt;&gt;"",OR(V194&gt;5,V194&lt;1)),"Incorrect DQR value (High);","")&amp;IF(AND(S194&lt;&gt;"",OR(S194&lt;=0,S194&gt;100)),"Unusual PCF value might be wrong (High);","")&amp;IF(AND(AL194&lt;&gt;"",OR(AL194&gt;1,AL194&lt;0)),"Incorrect PDS value (High);",IF(AND(AL194&lt;&gt;"",AL194&gt;0.5),"High PDS value (Medium);",""))&amp;IF(AND(AP194&lt;&gt;"",OR(AP194&gt;5,AP194&lt;1)),"Incorrect DQR value (High);","")&amp;IF(AND($A194&lt;&gt;"",AF194&gt;1),"Incorrect scrap rate (High);",IF(AND($A194&lt;&gt;"",AF194=0),"No scrap rate (No impact);",""))&amp;IF(AND($A194&lt;&gt;"",I194="",J194="",K194=""),"No raw material available (High);","")&amp;""</f>
        <v/>
      </c>
      <c r="AU194" s="9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4" t="n"/>
      <c r="M195" s="4" t="n"/>
      <c r="N195" s="3" t="inlineStr">
        <is>
          <t>kg</t>
        </is>
      </c>
      <c r="O195" s="4" t="n"/>
      <c r="P195" s="3" t="inlineStr">
        <is>
          <t>kg</t>
        </is>
      </c>
      <c r="Q195" s="3" t="n"/>
      <c r="R195" s="5" t="n"/>
      <c r="S195" s="6" t="n"/>
      <c r="T195" s="3" t="inlineStr">
        <is>
          <t>kgCO2e/component</t>
        </is>
      </c>
      <c r="U195" s="7" t="n"/>
      <c r="V195" s="4" t="n"/>
      <c r="W195" s="8" t="n"/>
      <c r="X195" s="3" t="inlineStr">
        <is>
          <t>Supplier</t>
        </is>
      </c>
      <c r="Y195" s="3" t="inlineStr">
        <is>
          <t>No</t>
        </is>
      </c>
      <c r="Z195" s="5" t="n"/>
      <c r="AA195" s="3" t="n"/>
      <c r="AB195" s="3" t="n"/>
      <c r="AC195" s="6" t="n"/>
      <c r="AD195" s="3" t="inlineStr">
        <is>
          <t>kgCO2e/component</t>
        </is>
      </c>
      <c r="AE195" s="3" t="n"/>
      <c r="AF195" s="7" t="n"/>
      <c r="AG195" s="3" t="n"/>
      <c r="AH195" s="3" t="n"/>
      <c r="AI195" s="6" t="n"/>
      <c r="AJ195" s="3" t="inlineStr">
        <is>
          <t>kgCO2e/component</t>
        </is>
      </c>
      <c r="AK195" s="3" t="n"/>
      <c r="AL195" s="7" t="n">
        <v>0</v>
      </c>
      <c r="AM195" s="3" t="n"/>
      <c r="AN195" s="3" t="n"/>
      <c r="AO195" s="3" t="n"/>
      <c r="AP195" s="4">
        <f>IF(COUNT(AM195,AN195,AO195)=0,"",ROUND(AVERAGE(AM195,AN195,AO195),3))</f>
        <v/>
      </c>
      <c r="AQ195" s="3">
        <f>IF(AC195="","",ROUND(AC195*IF(M195="",0,M195)*(1+IF(AF195="",0,AF195)),5))</f>
        <v/>
      </c>
      <c r="AR195" s="3" t="inlineStr">
        <is>
          <t>kgCO2e/component</t>
        </is>
      </c>
      <c r="AS195" s="5" t="n"/>
      <c r="AT195" s="9">
        <f>IF(AND($A195&lt;&gt;"",G195=""),"Supplier code empty (High);","")&amp;IF(AND(U195&lt;&gt;"",OR(U195&gt;1,U195&lt;0)),"Incorrect PDS value (High);",IF(AND(U195&lt;&gt;"",U195&gt;0.5),"High PDS value (Medium);",""))&amp;IF(AND(V195&lt;&gt;"",OR(V195&gt;5,V195&lt;1)),"Incorrect DQR value (High);","")&amp;IF(AND(S195&lt;&gt;"",OR(S195&lt;=0,S195&gt;100)),"Unusual PCF value might be wrong (High);","")&amp;IF(AND(AL195&lt;&gt;"",OR(AL195&gt;1,AL195&lt;0)),"Incorrect PDS value (High);",IF(AND(AL195&lt;&gt;"",AL195&gt;0.5),"High PDS value (Medium);",""))&amp;IF(AND(AP195&lt;&gt;"",OR(AP195&gt;5,AP195&lt;1)),"Incorrect DQR value (High);","")&amp;IF(AND($A195&lt;&gt;"",AF195&gt;1),"Incorrect scrap rate (High);",IF(AND($A195&lt;&gt;"",AF195=0),"No scrap rate (No impact);",""))&amp;IF(AND($A195&lt;&gt;"",I195="",J195="",K195=""),"No raw material available (High);","")&amp;""</f>
        <v/>
      </c>
      <c r="AU195" s="9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4" t="n"/>
      <c r="M196" s="4" t="n"/>
      <c r="N196" s="3" t="inlineStr">
        <is>
          <t>kg</t>
        </is>
      </c>
      <c r="O196" s="4" t="n"/>
      <c r="P196" s="3" t="inlineStr">
        <is>
          <t>kg</t>
        </is>
      </c>
      <c r="Q196" s="3" t="n"/>
      <c r="R196" s="5" t="n"/>
      <c r="S196" s="6" t="n"/>
      <c r="T196" s="3" t="inlineStr">
        <is>
          <t>kgCO2e/component</t>
        </is>
      </c>
      <c r="U196" s="7" t="n"/>
      <c r="V196" s="4" t="n"/>
      <c r="W196" s="8" t="n"/>
      <c r="X196" s="3" t="inlineStr">
        <is>
          <t>Supplier</t>
        </is>
      </c>
      <c r="Y196" s="3" t="inlineStr">
        <is>
          <t>No</t>
        </is>
      </c>
      <c r="Z196" s="5" t="n"/>
      <c r="AA196" s="3" t="n"/>
      <c r="AB196" s="3" t="n"/>
      <c r="AC196" s="6" t="n"/>
      <c r="AD196" s="3" t="inlineStr">
        <is>
          <t>kgCO2e/component</t>
        </is>
      </c>
      <c r="AE196" s="3" t="n"/>
      <c r="AF196" s="7" t="n"/>
      <c r="AG196" s="3" t="n"/>
      <c r="AH196" s="3" t="n"/>
      <c r="AI196" s="6" t="n"/>
      <c r="AJ196" s="3" t="inlineStr">
        <is>
          <t>kgCO2e/component</t>
        </is>
      </c>
      <c r="AK196" s="3" t="n"/>
      <c r="AL196" s="7" t="n">
        <v>0</v>
      </c>
      <c r="AM196" s="3" t="n"/>
      <c r="AN196" s="3" t="n"/>
      <c r="AO196" s="3" t="n"/>
      <c r="AP196" s="4">
        <f>IF(COUNT(AM196,AN196,AO196)=0,"",ROUND(AVERAGE(AM196,AN196,AO196),3))</f>
        <v/>
      </c>
      <c r="AQ196" s="3">
        <f>IF(AC196="","",ROUND(AC196*IF(M196="",0,M196)*(1+IF(AF196="",0,AF196)),5))</f>
        <v/>
      </c>
      <c r="AR196" s="3" t="inlineStr">
        <is>
          <t>kgCO2e/component</t>
        </is>
      </c>
      <c r="AS196" s="5" t="n"/>
      <c r="AT196" s="9">
        <f>IF(AND($A196&lt;&gt;"",G196=""),"Supplier code empty (High);","")&amp;IF(AND(U196&lt;&gt;"",OR(U196&gt;1,U196&lt;0)),"Incorrect PDS value (High);",IF(AND(U196&lt;&gt;"",U196&gt;0.5),"High PDS value (Medium);",""))&amp;IF(AND(V196&lt;&gt;"",OR(V196&gt;5,V196&lt;1)),"Incorrect DQR value (High);","")&amp;IF(AND(S196&lt;&gt;"",OR(S196&lt;=0,S196&gt;100)),"Unusual PCF value might be wrong (High);","")&amp;IF(AND(AL196&lt;&gt;"",OR(AL196&gt;1,AL196&lt;0)),"Incorrect PDS value (High);",IF(AND(AL196&lt;&gt;"",AL196&gt;0.5),"High PDS value (Medium);",""))&amp;IF(AND(AP196&lt;&gt;"",OR(AP196&gt;5,AP196&lt;1)),"Incorrect DQR value (High);","")&amp;IF(AND($A196&lt;&gt;"",AF196&gt;1),"Incorrect scrap rate (High);",IF(AND($A196&lt;&gt;"",AF196=0),"No scrap rate (No impact);",""))&amp;IF(AND($A196&lt;&gt;"",I196="",J196="",K196=""),"No raw material available (High);","")&amp;""</f>
        <v/>
      </c>
      <c r="AU196" s="9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4" t="n"/>
      <c r="M197" s="4" t="n"/>
      <c r="N197" s="3" t="inlineStr">
        <is>
          <t>kg</t>
        </is>
      </c>
      <c r="O197" s="4" t="n"/>
      <c r="P197" s="3" t="inlineStr">
        <is>
          <t>kg</t>
        </is>
      </c>
      <c r="Q197" s="3" t="n"/>
      <c r="R197" s="5" t="n"/>
      <c r="S197" s="6" t="n"/>
      <c r="T197" s="3" t="inlineStr">
        <is>
          <t>kgCO2e/component</t>
        </is>
      </c>
      <c r="U197" s="7" t="n"/>
      <c r="V197" s="4" t="n"/>
      <c r="W197" s="8" t="n"/>
      <c r="X197" s="3" t="inlineStr">
        <is>
          <t>Supplier</t>
        </is>
      </c>
      <c r="Y197" s="3" t="inlineStr">
        <is>
          <t>No</t>
        </is>
      </c>
      <c r="Z197" s="5" t="n"/>
      <c r="AA197" s="3" t="n"/>
      <c r="AB197" s="3" t="n"/>
      <c r="AC197" s="6" t="n"/>
      <c r="AD197" s="3" t="inlineStr">
        <is>
          <t>kgCO2e/component</t>
        </is>
      </c>
      <c r="AE197" s="3" t="n"/>
      <c r="AF197" s="7" t="n"/>
      <c r="AG197" s="3" t="n"/>
      <c r="AH197" s="3" t="n"/>
      <c r="AI197" s="6" t="n"/>
      <c r="AJ197" s="3" t="inlineStr">
        <is>
          <t>kgCO2e/component</t>
        </is>
      </c>
      <c r="AK197" s="3" t="n"/>
      <c r="AL197" s="7" t="n">
        <v>0</v>
      </c>
      <c r="AM197" s="3" t="n"/>
      <c r="AN197" s="3" t="n"/>
      <c r="AO197" s="3" t="n"/>
      <c r="AP197" s="4">
        <f>IF(COUNT(AM197,AN197,AO197)=0,"",ROUND(AVERAGE(AM197,AN197,AO197),3))</f>
        <v/>
      </c>
      <c r="AQ197" s="3">
        <f>IF(AC197="","",ROUND(AC197*IF(M197="",0,M197)*(1+IF(AF197="",0,AF197)),5))</f>
        <v/>
      </c>
      <c r="AR197" s="3" t="inlineStr">
        <is>
          <t>kgCO2e/component</t>
        </is>
      </c>
      <c r="AS197" s="5" t="n"/>
      <c r="AT197" s="9">
        <f>IF(AND($A197&lt;&gt;"",G197=""),"Supplier code empty (High);","")&amp;IF(AND(U197&lt;&gt;"",OR(U197&gt;1,U197&lt;0)),"Incorrect PDS value (High);",IF(AND(U197&lt;&gt;"",U197&gt;0.5),"High PDS value (Medium);",""))&amp;IF(AND(V197&lt;&gt;"",OR(V197&gt;5,V197&lt;1)),"Incorrect DQR value (High);","")&amp;IF(AND(S197&lt;&gt;"",OR(S197&lt;=0,S197&gt;100)),"Unusual PCF value might be wrong (High);","")&amp;IF(AND(AL197&lt;&gt;"",OR(AL197&gt;1,AL197&lt;0)),"Incorrect PDS value (High);",IF(AND(AL197&lt;&gt;"",AL197&gt;0.5),"High PDS value (Medium);",""))&amp;IF(AND(AP197&lt;&gt;"",OR(AP197&gt;5,AP197&lt;1)),"Incorrect DQR value (High);","")&amp;IF(AND($A197&lt;&gt;"",AF197&gt;1),"Incorrect scrap rate (High);",IF(AND($A197&lt;&gt;"",AF197=0),"No scrap rate (No impact);",""))&amp;IF(AND($A197&lt;&gt;"",I197="",J197="",K197=""),"No raw material available (High);","")&amp;""</f>
        <v/>
      </c>
      <c r="AU197" s="9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4" t="n"/>
      <c r="M198" s="4" t="n"/>
      <c r="N198" s="3" t="inlineStr">
        <is>
          <t>kg</t>
        </is>
      </c>
      <c r="O198" s="4" t="n"/>
      <c r="P198" s="3" t="inlineStr">
        <is>
          <t>kg</t>
        </is>
      </c>
      <c r="Q198" s="3" t="n"/>
      <c r="R198" s="5" t="n"/>
      <c r="S198" s="6" t="n"/>
      <c r="T198" s="3" t="inlineStr">
        <is>
          <t>kgCO2e/component</t>
        </is>
      </c>
      <c r="U198" s="7" t="n"/>
      <c r="V198" s="4" t="n"/>
      <c r="W198" s="8" t="n"/>
      <c r="X198" s="3" t="inlineStr">
        <is>
          <t>Supplier</t>
        </is>
      </c>
      <c r="Y198" s="3" t="inlineStr">
        <is>
          <t>No</t>
        </is>
      </c>
      <c r="Z198" s="5" t="n"/>
      <c r="AA198" s="3" t="n"/>
      <c r="AB198" s="3" t="n"/>
      <c r="AC198" s="6" t="n"/>
      <c r="AD198" s="3" t="inlineStr">
        <is>
          <t>kgCO2e/component</t>
        </is>
      </c>
      <c r="AE198" s="3" t="n"/>
      <c r="AF198" s="7" t="n"/>
      <c r="AG198" s="3" t="n"/>
      <c r="AH198" s="3" t="n"/>
      <c r="AI198" s="6" t="n"/>
      <c r="AJ198" s="3" t="inlineStr">
        <is>
          <t>kgCO2e/component</t>
        </is>
      </c>
      <c r="AK198" s="3" t="n"/>
      <c r="AL198" s="7" t="n">
        <v>0</v>
      </c>
      <c r="AM198" s="3" t="n"/>
      <c r="AN198" s="3" t="n"/>
      <c r="AO198" s="3" t="n"/>
      <c r="AP198" s="4">
        <f>IF(COUNT(AM198,AN198,AO198)=0,"",ROUND(AVERAGE(AM198,AN198,AO198),3))</f>
        <v/>
      </c>
      <c r="AQ198" s="3">
        <f>IF(AC198="","",ROUND(AC198*IF(M198="",0,M198)*(1+IF(AF198="",0,AF198)),5))</f>
        <v/>
      </c>
      <c r="AR198" s="3" t="inlineStr">
        <is>
          <t>kgCO2e/component</t>
        </is>
      </c>
      <c r="AS198" s="5" t="n"/>
      <c r="AT198" s="9">
        <f>IF(AND($A198&lt;&gt;"",G198=""),"Supplier code empty (High);","")&amp;IF(AND(U198&lt;&gt;"",OR(U198&gt;1,U198&lt;0)),"Incorrect PDS value (High);",IF(AND(U198&lt;&gt;"",U198&gt;0.5),"High PDS value (Medium);",""))&amp;IF(AND(V198&lt;&gt;"",OR(V198&gt;5,V198&lt;1)),"Incorrect DQR value (High);","")&amp;IF(AND(S198&lt;&gt;"",OR(S198&lt;=0,S198&gt;100)),"Unusual PCF value might be wrong (High);","")&amp;IF(AND(AL198&lt;&gt;"",OR(AL198&gt;1,AL198&lt;0)),"Incorrect PDS value (High);",IF(AND(AL198&lt;&gt;"",AL198&gt;0.5),"High PDS value (Medium);",""))&amp;IF(AND(AP198&lt;&gt;"",OR(AP198&gt;5,AP198&lt;1)),"Incorrect DQR value (High);","")&amp;IF(AND($A198&lt;&gt;"",AF198&gt;1),"Incorrect scrap rate (High);",IF(AND($A198&lt;&gt;"",AF198=0),"No scrap rate (No impact);",""))&amp;IF(AND($A198&lt;&gt;"",I198="",J198="",K198=""),"No raw material available (High);","")&amp;""</f>
        <v/>
      </c>
      <c r="AU198" s="9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4" t="n"/>
      <c r="M199" s="4" t="n"/>
      <c r="N199" s="3" t="inlineStr">
        <is>
          <t>kg</t>
        </is>
      </c>
      <c r="O199" s="4" t="n"/>
      <c r="P199" s="3" t="inlineStr">
        <is>
          <t>kg</t>
        </is>
      </c>
      <c r="Q199" s="3" t="n"/>
      <c r="R199" s="5" t="n"/>
      <c r="S199" s="6" t="n"/>
      <c r="T199" s="3" t="inlineStr">
        <is>
          <t>kgCO2e/component</t>
        </is>
      </c>
      <c r="U199" s="7" t="n"/>
      <c r="V199" s="4" t="n"/>
      <c r="W199" s="8" t="n"/>
      <c r="X199" s="3" t="inlineStr">
        <is>
          <t>Supplier</t>
        </is>
      </c>
      <c r="Y199" s="3" t="inlineStr">
        <is>
          <t>No</t>
        </is>
      </c>
      <c r="Z199" s="5" t="n"/>
      <c r="AA199" s="3" t="n"/>
      <c r="AB199" s="3" t="n"/>
      <c r="AC199" s="6" t="n"/>
      <c r="AD199" s="3" t="inlineStr">
        <is>
          <t>kgCO2e/component</t>
        </is>
      </c>
      <c r="AE199" s="3" t="n"/>
      <c r="AF199" s="7" t="n"/>
      <c r="AG199" s="3" t="n"/>
      <c r="AH199" s="3" t="n"/>
      <c r="AI199" s="6" t="n"/>
      <c r="AJ199" s="3" t="inlineStr">
        <is>
          <t>kgCO2e/component</t>
        </is>
      </c>
      <c r="AK199" s="3" t="n"/>
      <c r="AL199" s="7" t="n">
        <v>0</v>
      </c>
      <c r="AM199" s="3" t="n"/>
      <c r="AN199" s="3" t="n"/>
      <c r="AO199" s="3" t="n"/>
      <c r="AP199" s="4">
        <f>IF(COUNT(AM199,AN199,AO199)=0,"",ROUND(AVERAGE(AM199,AN199,AO199),3))</f>
        <v/>
      </c>
      <c r="AQ199" s="3">
        <f>IF(AC199="","",ROUND(AC199*IF(M199="",0,M199)*(1+IF(AF199="",0,AF199)),5))</f>
        <v/>
      </c>
      <c r="AR199" s="3" t="inlineStr">
        <is>
          <t>kgCO2e/component</t>
        </is>
      </c>
      <c r="AS199" s="5" t="n"/>
      <c r="AT199" s="9">
        <f>IF(AND($A199&lt;&gt;"",G199=""),"Supplier code empty (High);","")&amp;IF(AND(U199&lt;&gt;"",OR(U199&gt;1,U199&lt;0)),"Incorrect PDS value (High);",IF(AND(U199&lt;&gt;"",U199&gt;0.5),"High PDS value (Medium);",""))&amp;IF(AND(V199&lt;&gt;"",OR(V199&gt;5,V199&lt;1)),"Incorrect DQR value (High);","")&amp;IF(AND(S199&lt;&gt;"",OR(S199&lt;=0,S199&gt;100)),"Unusual PCF value might be wrong (High);","")&amp;IF(AND(AL199&lt;&gt;"",OR(AL199&gt;1,AL199&lt;0)),"Incorrect PDS value (High);",IF(AND(AL199&lt;&gt;"",AL199&gt;0.5),"High PDS value (Medium);",""))&amp;IF(AND(AP199&lt;&gt;"",OR(AP199&gt;5,AP199&lt;1)),"Incorrect DQR value (High);","")&amp;IF(AND($A199&lt;&gt;"",AF199&gt;1),"Incorrect scrap rate (High);",IF(AND($A199&lt;&gt;"",AF199=0),"No scrap rate (No impact);",""))&amp;IF(AND($A199&lt;&gt;"",I199="",J199="",K199=""),"No raw material available (High);","")&amp;""</f>
        <v/>
      </c>
      <c r="AU199" s="9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4" t="n"/>
      <c r="M200" s="4" t="n"/>
      <c r="N200" s="3" t="inlineStr">
        <is>
          <t>kg</t>
        </is>
      </c>
      <c r="O200" s="4" t="n"/>
      <c r="P200" s="3" t="inlineStr">
        <is>
          <t>kg</t>
        </is>
      </c>
      <c r="Q200" s="3" t="n"/>
      <c r="R200" s="5" t="n"/>
      <c r="S200" s="6" t="n"/>
      <c r="T200" s="3" t="inlineStr">
        <is>
          <t>kgCO2e/component</t>
        </is>
      </c>
      <c r="U200" s="7" t="n"/>
      <c r="V200" s="4" t="n"/>
      <c r="W200" s="8" t="n"/>
      <c r="X200" s="3" t="inlineStr">
        <is>
          <t>Supplier</t>
        </is>
      </c>
      <c r="Y200" s="3" t="inlineStr">
        <is>
          <t>No</t>
        </is>
      </c>
      <c r="Z200" s="5" t="n"/>
      <c r="AA200" s="3" t="n"/>
      <c r="AB200" s="3" t="n"/>
      <c r="AC200" s="6" t="n"/>
      <c r="AD200" s="3" t="inlineStr">
        <is>
          <t>kgCO2e/component</t>
        </is>
      </c>
      <c r="AE200" s="3" t="n"/>
      <c r="AF200" s="7" t="n"/>
      <c r="AG200" s="3" t="n"/>
      <c r="AH200" s="3" t="n"/>
      <c r="AI200" s="6" t="n"/>
      <c r="AJ200" s="3" t="inlineStr">
        <is>
          <t>kgCO2e/component</t>
        </is>
      </c>
      <c r="AK200" s="3" t="n"/>
      <c r="AL200" s="7" t="n">
        <v>0</v>
      </c>
      <c r="AM200" s="3" t="n"/>
      <c r="AN200" s="3" t="n"/>
      <c r="AO200" s="3" t="n"/>
      <c r="AP200" s="4">
        <f>IF(COUNT(AM200,AN200,AO200)=0,"",ROUND(AVERAGE(AM200,AN200,AO200),3))</f>
        <v/>
      </c>
      <c r="AQ200" s="3">
        <f>IF(AC200="","",ROUND(AC200*IF(M200="",0,M200)*(1+IF(AF200="",0,AF200)),5))</f>
        <v/>
      </c>
      <c r="AR200" s="3" t="inlineStr">
        <is>
          <t>kgCO2e/component</t>
        </is>
      </c>
      <c r="AS200" s="5" t="n"/>
      <c r="AT200" s="9">
        <f>IF(AND($A200&lt;&gt;"",G200=""),"Supplier code empty (High);","")&amp;IF(AND(U200&lt;&gt;"",OR(U200&gt;1,U200&lt;0)),"Incorrect PDS value (High);",IF(AND(U200&lt;&gt;"",U200&gt;0.5),"High PDS value (Medium);",""))&amp;IF(AND(V200&lt;&gt;"",OR(V200&gt;5,V200&lt;1)),"Incorrect DQR value (High);","")&amp;IF(AND(S200&lt;&gt;"",OR(S200&lt;=0,S200&gt;100)),"Unusual PCF value might be wrong (High);","")&amp;IF(AND(AL200&lt;&gt;"",OR(AL200&gt;1,AL200&lt;0)),"Incorrect PDS value (High);",IF(AND(AL200&lt;&gt;"",AL200&gt;0.5),"High PDS value (Medium);",""))&amp;IF(AND(AP200&lt;&gt;"",OR(AP200&gt;5,AP200&lt;1)),"Incorrect DQR value (High);","")&amp;IF(AND($A200&lt;&gt;"",AF200&gt;1),"Incorrect scrap rate (High);",IF(AND($A200&lt;&gt;"",AF200=0),"No scrap rate (No impact);",""))&amp;IF(AND($A200&lt;&gt;"",I200="",J200="",K200=""),"No raw material available (High);","")&amp;""</f>
        <v/>
      </c>
      <c r="AU200" s="9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4" t="n"/>
      <c r="M201" s="4" t="n"/>
      <c r="N201" s="3" t="inlineStr">
        <is>
          <t>kg</t>
        </is>
      </c>
      <c r="O201" s="4" t="n"/>
      <c r="P201" s="3" t="inlineStr">
        <is>
          <t>kg</t>
        </is>
      </c>
      <c r="Q201" s="3" t="n"/>
      <c r="R201" s="5" t="n"/>
      <c r="S201" s="6" t="n"/>
      <c r="T201" s="3" t="inlineStr">
        <is>
          <t>kgCO2e/component</t>
        </is>
      </c>
      <c r="U201" s="7" t="n"/>
      <c r="V201" s="4" t="n"/>
      <c r="W201" s="8" t="n"/>
      <c r="X201" s="3" t="inlineStr">
        <is>
          <t>Supplier</t>
        </is>
      </c>
      <c r="Y201" s="3" t="inlineStr">
        <is>
          <t>No</t>
        </is>
      </c>
      <c r="Z201" s="5" t="n"/>
      <c r="AA201" s="3" t="n"/>
      <c r="AB201" s="3" t="n"/>
      <c r="AC201" s="6" t="n"/>
      <c r="AD201" s="3" t="inlineStr">
        <is>
          <t>kgCO2e/component</t>
        </is>
      </c>
      <c r="AE201" s="3" t="n"/>
      <c r="AF201" s="7" t="n"/>
      <c r="AG201" s="3" t="n"/>
      <c r="AH201" s="3" t="n"/>
      <c r="AI201" s="6" t="n"/>
      <c r="AJ201" s="3" t="inlineStr">
        <is>
          <t>kgCO2e/component</t>
        </is>
      </c>
      <c r="AK201" s="3" t="n"/>
      <c r="AL201" s="7" t="n">
        <v>0</v>
      </c>
      <c r="AM201" s="3" t="n"/>
      <c r="AN201" s="3" t="n"/>
      <c r="AO201" s="3" t="n"/>
      <c r="AP201" s="4">
        <f>IF(COUNT(AM201,AN201,AO201)=0,"",ROUND(AVERAGE(AM201,AN201,AO201),3))</f>
        <v/>
      </c>
      <c r="AQ201" s="3">
        <f>IF(AC201="","",ROUND(AC201*IF(M201="",0,M201)*(1+IF(AF201="",0,AF201)),5))</f>
        <v/>
      </c>
      <c r="AR201" s="3" t="inlineStr">
        <is>
          <t>kgCO2e/component</t>
        </is>
      </c>
      <c r="AS201" s="5" t="n"/>
      <c r="AT201" s="9">
        <f>IF(AND($A201&lt;&gt;"",G201=""),"Supplier code empty (High);","")&amp;IF(AND(U201&lt;&gt;"",OR(U201&gt;1,U201&lt;0)),"Incorrect PDS value (High);",IF(AND(U201&lt;&gt;"",U201&gt;0.5),"High PDS value (Medium);",""))&amp;IF(AND(V201&lt;&gt;"",OR(V201&gt;5,V201&lt;1)),"Incorrect DQR value (High);","")&amp;IF(AND(S201&lt;&gt;"",OR(S201&lt;=0,S201&gt;100)),"Unusual PCF value might be wrong (High);","")&amp;IF(AND(AL201&lt;&gt;"",OR(AL201&gt;1,AL201&lt;0)),"Incorrect PDS value (High);",IF(AND(AL201&lt;&gt;"",AL201&gt;0.5),"High PDS value (Medium);",""))&amp;IF(AND(AP201&lt;&gt;"",OR(AP201&gt;5,AP201&lt;1)),"Incorrect DQR value (High);","")&amp;IF(AND($A201&lt;&gt;"",AF201&gt;1),"Incorrect scrap rate (High);",IF(AND($A201&lt;&gt;"",AF201=0),"No scrap rate (No impact);",""))&amp;IF(AND($A201&lt;&gt;"",I201="",J201="",K201=""),"No raw material available (High);","")&amp;""</f>
        <v/>
      </c>
      <c r="AU201" s="9" t="n"/>
    </row>
  </sheetData>
  <conditionalFormatting sqref="U2:U201">
    <cfRule type="cellIs" priority="1" operator="greaterThan" dxfId="0">
      <formula>1</formula>
    </cfRule>
    <cfRule type="cellIs" priority="2" operator="lessThan" dxfId="0">
      <formula>0</formula>
    </cfRule>
  </conditionalFormatting>
  <conditionalFormatting sqref="AF2:AF201">
    <cfRule type="cellIs" priority="3" operator="greaterThan" dxfId="0">
      <formula>1</formula>
    </cfRule>
    <cfRule type="cellIs" priority="4" operator="lessThan" dxfId="0">
      <formula>0</formula>
    </cfRule>
  </conditionalFormatting>
  <conditionalFormatting sqref="AL2:AL201">
    <cfRule type="cellIs" priority="5" operator="greaterThan" dxfId="0">
      <formula>1</formula>
    </cfRule>
    <cfRule type="cellIs" priority="6" operator="lessThan" dxfId="0">
      <formula>0</formula>
    </cfRule>
  </conditionalFormatting>
  <dataValidations count="2">
    <dataValidation sqref="Y2:Y201" showDropDown="0" showInputMessage="0" showErrorMessage="0" allowBlank="1" type="list">
      <formula1>"Yes,No"</formula1>
    </dataValidation>
    <dataValidation sqref="AM2:AM201 AN2:AN201 AO2:AO20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B13" sqref="B13"/>
    </sheetView>
  </sheetViews>
  <sheetFormatPr baseColWidth="10" defaultColWidth="9.140625" defaultRowHeight="15"/>
  <cols>
    <col width="10" customWidth="1" min="1" max="1"/>
    <col width="60" customWidth="1" min="2" max="2"/>
    <col width="3" customWidth="1" min="3" max="3"/>
    <col width="10" customWidth="1" min="4" max="4"/>
    <col width="60" customWidth="1" min="5" max="5"/>
    <col width="3" customWidth="1" min="6" max="6"/>
    <col width="18" customWidth="1" min="7" max="7"/>
  </cols>
  <sheetData>
    <row r="1">
      <c r="A1" t="inlineStr">
        <is>
          <t>Source</t>
        </is>
      </c>
      <c r="B1" t="inlineStr">
        <is>
          <t>PACT Methodology 3.0 - Page 66</t>
        </is>
      </c>
    </row>
    <row r="2">
      <c r="A2" t="inlineStr">
        <is>
          <t>Link</t>
        </is>
      </c>
      <c r="B2" t="inlineStr">
        <is>
          <t>https://docs.carbon-transparency.org/</t>
        </is>
      </c>
    </row>
    <row r="4">
      <c r="A4" s="32" t="inlineStr">
        <is>
          <t>Technological representativeness (TECH DQR)</t>
        </is>
      </c>
      <c r="B4" s="33" t="n"/>
      <c r="D4" s="32" t="inlineStr">
        <is>
          <t>Geographical representativeness (GEO DQR)</t>
        </is>
      </c>
      <c r="E4" s="33" t="n"/>
      <c r="F4" s="2" t="n"/>
      <c r="G4" s="2" t="n"/>
    </row>
    <row r="5">
      <c r="A5" s="23" t="inlineStr">
        <is>
          <t>Score</t>
        </is>
      </c>
      <c r="B5" s="27" t="inlineStr">
        <is>
          <t>Description</t>
        </is>
      </c>
      <c r="D5" s="23" t="inlineStr">
        <is>
          <t>Score</t>
        </is>
      </c>
      <c r="E5" s="27" t="inlineStr">
        <is>
          <t>Description</t>
        </is>
      </c>
      <c r="F5" s="2" t="n"/>
      <c r="G5" s="2" t="n"/>
    </row>
    <row r="6" ht="30" customHeight="1">
      <c r="A6" s="24" t="inlineStr">
        <is>
          <t>1</t>
        </is>
      </c>
      <c r="B6" s="26" t="inlineStr">
        <is>
          <t>Dataset reflects the exact technology employed (plant-specific process).</t>
        </is>
      </c>
      <c r="D6" s="24" t="inlineStr">
        <is>
          <t>1</t>
        </is>
      </c>
      <c r="E6" s="26" t="inlineStr">
        <is>
          <t>Country subdivision where the product is manufactured (e.g., US state, region).</t>
        </is>
      </c>
      <c r="F6" s="2" t="n"/>
      <c r="G6" s="2" t="n"/>
    </row>
    <row r="7" ht="30" customHeight="1">
      <c r="A7" s="24" t="inlineStr">
        <is>
          <t>2</t>
        </is>
      </c>
      <c r="B7" s="26" t="inlineStr">
        <is>
          <t>Same technology, company/site-specific but not necessarily plant-specific.</t>
        </is>
      </c>
      <c r="D7" s="24" t="inlineStr">
        <is>
          <t>2</t>
        </is>
      </c>
      <c r="E7" s="26" t="inlineStr">
        <is>
          <t>Country average for the manufacturing country.</t>
        </is>
      </c>
      <c r="F7" s="2" t="n"/>
      <c r="G7" s="2" t="n"/>
    </row>
    <row r="8" ht="30" customHeight="1">
      <c r="A8" s="24" t="inlineStr">
        <is>
          <t>3</t>
        </is>
      </c>
      <c r="B8" s="26" t="inlineStr">
        <is>
          <t>Average for an equivalent technology to the one employed (same technology group).</t>
        </is>
      </c>
      <c r="D8" s="24" t="inlineStr">
        <is>
          <t>3</t>
        </is>
      </c>
      <c r="E8" s="26" t="inlineStr">
        <is>
          <t>Regional average including the site (e.g., Europe, Asia, North America).</t>
        </is>
      </c>
      <c r="F8" s="2" t="n"/>
      <c r="G8" s="2" t="n"/>
    </row>
    <row r="9" ht="30" customHeight="1">
      <c r="A9" s="24" t="inlineStr">
        <is>
          <t>4</t>
        </is>
      </c>
      <c r="B9" s="26" t="inlineStr">
        <is>
          <t>Technological proxy (similar but not the same technology, regardless of the supplier).</t>
        </is>
      </c>
      <c r="D9" s="24" t="inlineStr">
        <is>
          <t>4</t>
        </is>
      </c>
      <c r="E9" s="26" t="inlineStr">
        <is>
          <t>Global average.</t>
        </is>
      </c>
      <c r="F9" s="2" t="n"/>
      <c r="G9" s="2" t="n"/>
    </row>
    <row r="10" ht="30" customHeight="1">
      <c r="A10" s="24" t="inlineStr">
        <is>
          <t>5</t>
        </is>
      </c>
      <c r="B10" s="26" t="inlineStr">
        <is>
          <t>Different or unknown technology versus the technology actually employed.</t>
        </is>
      </c>
      <c r="D10" s="24" t="inlineStr">
        <is>
          <t>5</t>
        </is>
      </c>
      <c r="E10" s="26" t="inlineStr">
        <is>
          <t>Unknown geographical scope, or a country/region not including the manufacturing site.</t>
        </is>
      </c>
      <c r="F10" s="2" t="n"/>
      <c r="G10" s="2" t="n"/>
    </row>
    <row r="12">
      <c r="A12" s="34" t="inlineStr">
        <is>
          <t>Temporal / Time representativeness (TEMP DQR)</t>
        </is>
      </c>
      <c r="B12" s="35" t="n"/>
      <c r="D12" s="34" t="inlineStr">
        <is>
          <t>Overall DQR evaluation</t>
        </is>
      </c>
      <c r="E12" s="35" t="n"/>
      <c r="F12" s="2" t="n"/>
      <c r="G12" s="2" t="n"/>
    </row>
    <row r="13" ht="30" customHeight="1">
      <c r="A13" s="23" t="inlineStr">
        <is>
          <t>Score</t>
        </is>
      </c>
      <c r="B13" s="27" t="inlineStr">
        <is>
          <t>Description</t>
        </is>
      </c>
      <c r="D13" s="23" t="inlineStr">
        <is>
          <t>Overall DQR</t>
        </is>
      </c>
      <c r="E13" s="25" t="inlineStr">
        <is>
          <t>Quality level</t>
        </is>
      </c>
      <c r="F13" s="2" t="n"/>
      <c r="G13" s="2" t="n"/>
    </row>
    <row r="14" ht="30" customHeight="1">
      <c r="A14" s="24" t="inlineStr">
        <is>
          <t>1</t>
        </is>
      </c>
      <c r="B14" s="26" t="inlineStr">
        <is>
          <t>Difference of 1 year or less (366 days) between the dataset's reference year and the PCF reference year.</t>
        </is>
      </c>
      <c r="D14" s="24" t="inlineStr">
        <is>
          <t>DQR &lt; 1.5</t>
        </is>
      </c>
      <c r="E14" s="26" t="inlineStr">
        <is>
          <t>Excellent quality</t>
        </is>
      </c>
      <c r="F14" s="2" t="n"/>
      <c r="G14" s="2" t="n"/>
    </row>
    <row r="15" ht="30" customHeight="1">
      <c r="A15" s="24" t="inlineStr">
        <is>
          <t>2</t>
        </is>
      </c>
      <c r="B15" s="26" t="inlineStr">
        <is>
          <t>Difference of more than 1 year and up to 2 years (731 days).</t>
        </is>
      </c>
      <c r="D15" s="24" t="inlineStr">
        <is>
          <t>1.5 &lt; DQR &lt; 2.0</t>
        </is>
      </c>
      <c r="E15" s="26" t="inlineStr">
        <is>
          <t>Very good quality</t>
        </is>
      </c>
      <c r="F15" s="2" t="n"/>
      <c r="G15" s="2" t="n"/>
    </row>
    <row r="16" ht="30" customHeight="1">
      <c r="A16" s="24" t="inlineStr">
        <is>
          <t>3</t>
        </is>
      </c>
      <c r="B16" s="26" t="inlineStr">
        <is>
          <t>Difference of more than 2 years and up to 3 years (1,096 days).</t>
        </is>
      </c>
      <c r="D16" s="24" t="inlineStr">
        <is>
          <t>2.0 &lt; DQR &lt; 3.0</t>
        </is>
      </c>
      <c r="E16" s="26" t="inlineStr">
        <is>
          <t>Good quality</t>
        </is>
      </c>
      <c r="F16" s="2" t="n"/>
      <c r="G16" s="2" t="n"/>
    </row>
    <row r="17" ht="30" customHeight="1">
      <c r="A17" s="24" t="inlineStr">
        <is>
          <t>4</t>
        </is>
      </c>
      <c r="B17" s="26" t="inlineStr">
        <is>
          <t>Difference of more than 3 years and up to 4 years (1,461 days).</t>
        </is>
      </c>
      <c r="D17" s="24" t="inlineStr">
        <is>
          <t>3.0 &lt; DQR &lt; 4.0</t>
        </is>
      </c>
      <c r="E17" s="26" t="inlineStr">
        <is>
          <t>Fair quality</t>
        </is>
      </c>
      <c r="F17" s="2" t="n"/>
      <c r="G17" s="2" t="n"/>
    </row>
    <row r="18">
      <c r="A18" s="24" t="inlineStr">
        <is>
          <t>5</t>
        </is>
      </c>
      <c r="B18" s="26" t="inlineStr">
        <is>
          <t>Difference of more than 4 years, or unknown.</t>
        </is>
      </c>
      <c r="D18" s="24" t="inlineStr">
        <is>
          <t>DQR &gt; 4.0</t>
        </is>
      </c>
      <c r="E18" s="26" t="inlineStr">
        <is>
          <t>Poor quality</t>
        </is>
      </c>
      <c r="F18" s="2" t="n"/>
      <c r="G18" s="2" t="n"/>
    </row>
  </sheetData>
  <mergeCells count="4">
    <mergeCell ref="A4:B4"/>
    <mergeCell ref="D4:E4"/>
    <mergeCell ref="D12:E1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2026-09-24T14:51:18Z</dcterms:created>
  <dcterms:modified xsi:type="dcterms:W3CDTF">2026-09-29T12:01:50Z</dcterms:modified>
  <cp:lastModifiedBy>Thomas Gendron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0x01010056DDEF9C20EFA740BF0093F45CF58928</vt:lpwstr>
  </property>
  <property name="MediaServiceImageTags" fmtid="{D5CDD505-2E9C-101B-9397-08002B2CF9AE}" pid="3">
    <vt:lpwstr/>
  </property>
</Properties>
</file>